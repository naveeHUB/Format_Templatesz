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c1\Desktop\June\"/>
    </mc:Choice>
  </mc:AlternateContent>
  <xr:revisionPtr revIDLastSave="0" documentId="13_ncr:1_{9C9CD621-8A79-4CFC-ACB9-1F2B99E8E55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NewSheet1" sheetId="1" state="hidden" r:id="rId1"/>
    <sheet name="Sheet1" sheetId="2" r:id="rId2"/>
    <sheet name="June 2026 Sales plan" sheetId="4" state="hidden" r:id="rId3"/>
    <sheet name="Sheet5" sheetId="6" state="hidden" r:id="rId4"/>
    <sheet name="JUNE sale plan 2026" sheetId="5" r:id="rId5"/>
    <sheet name="Sheet11" sheetId="8" r:id="rId6"/>
    <sheet name="JUNE Plan vs Actual" sheetId="9" r:id="rId7"/>
    <sheet name="JUNE sale plan 2026 (2)" sheetId="7" state="hidden" r:id="rId8"/>
  </sheets>
  <definedNames>
    <definedName name="_xlnm._FilterDatabase" localSheetId="2" hidden="1">'June 2026 Sales plan'!$A$4:$K$786</definedName>
    <definedName name="_xlnm._FilterDatabase" localSheetId="6" hidden="1">'JUNE Plan vs Actual'!$A$4:$M$103</definedName>
    <definedName name="_xlnm._FilterDatabase" localSheetId="4" hidden="1">'JUNE sale plan 2026'!$A$4:$K$103</definedName>
    <definedName name="_xlnm._FilterDatabase" localSheetId="7" hidden="1">'JUNE sale plan 2026 (2)'!$A$4:$K$103</definedName>
    <definedName name="_xlnm._FilterDatabase" localSheetId="0" hidden="1">NewSheet1!$A$1:$T$1</definedName>
    <definedName name="_xlnm._FilterDatabase" localSheetId="1" hidden="1">Sheet1!$A$1:$U$783</definedName>
    <definedName name="_xlnm.Print_Area" localSheetId="6">'JUNE Plan vs Actual'!$C$4:$M$104</definedName>
    <definedName name="_xlnm.Print_Area" localSheetId="4">'JUNE sale plan 2026'!$D$4:$J$103</definedName>
  </definedName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K7" i="9" l="1"/>
  <c r="K8" i="9"/>
  <c r="K9" i="9"/>
  <c r="K10" i="9"/>
  <c r="K104" i="9" s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6" i="9"/>
  <c r="K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5" i="9"/>
  <c r="C3" i="9"/>
  <c r="K8" i="8"/>
  <c r="L8" i="8" s="1"/>
  <c r="M8" i="8" s="1"/>
  <c r="K9" i="8"/>
  <c r="L9" i="8" s="1"/>
  <c r="M9" i="8" s="1"/>
  <c r="K10" i="8"/>
  <c r="L10" i="8" s="1"/>
  <c r="M10" i="8" s="1"/>
  <c r="K11" i="8"/>
  <c r="L11" i="8" s="1"/>
  <c r="M11" i="8" s="1"/>
  <c r="K12" i="8"/>
  <c r="L12" i="8" s="1"/>
  <c r="M12" i="8" s="1"/>
  <c r="K13" i="8"/>
  <c r="L13" i="8" s="1"/>
  <c r="M13" i="8" s="1"/>
  <c r="K14" i="8"/>
  <c r="L14" i="8"/>
  <c r="M14" i="8" s="1"/>
  <c r="K15" i="8"/>
  <c r="L15" i="8" s="1"/>
  <c r="M15" i="8" s="1"/>
  <c r="K16" i="8"/>
  <c r="L16" i="8" s="1"/>
  <c r="M16" i="8" s="1"/>
  <c r="K7" i="8"/>
  <c r="L7" i="8" s="1"/>
  <c r="M7" i="8" s="1"/>
  <c r="L67" i="5"/>
  <c r="I2" i="7"/>
  <c r="I1" i="7"/>
  <c r="M104" i="9" l="1"/>
  <c r="M3" i="9"/>
  <c r="K3" i="9"/>
  <c r="K104" i="7"/>
  <c r="L67" i="7"/>
  <c r="K3" i="7"/>
  <c r="C3" i="7"/>
  <c r="C3" i="5"/>
  <c r="K104" i="5"/>
  <c r="K3" i="5"/>
  <c r="I786" i="4"/>
  <c r="K786" i="4" s="1"/>
  <c r="I785" i="4"/>
  <c r="K785" i="4" s="1"/>
  <c r="I784" i="4"/>
  <c r="K784" i="4" s="1"/>
  <c r="I783" i="4"/>
  <c r="K783" i="4" s="1"/>
  <c r="I782" i="4"/>
  <c r="K782" i="4" s="1"/>
  <c r="I781" i="4"/>
  <c r="K781" i="4" s="1"/>
  <c r="I780" i="4"/>
  <c r="K780" i="4" s="1"/>
  <c r="I779" i="4"/>
  <c r="K779" i="4" s="1"/>
  <c r="I778" i="4"/>
  <c r="K778" i="4" s="1"/>
  <c r="I777" i="4"/>
  <c r="K777" i="4" s="1"/>
  <c r="I776" i="4"/>
  <c r="K776" i="4" s="1"/>
  <c r="I775" i="4"/>
  <c r="K775" i="4" s="1"/>
  <c r="I774" i="4"/>
  <c r="K774" i="4" s="1"/>
  <c r="I773" i="4"/>
  <c r="K773" i="4" s="1"/>
  <c r="I772" i="4"/>
  <c r="K772" i="4" s="1"/>
  <c r="I771" i="4"/>
  <c r="K771" i="4" s="1"/>
  <c r="I770" i="4"/>
  <c r="K770" i="4" s="1"/>
  <c r="I769" i="4"/>
  <c r="K769" i="4" s="1"/>
  <c r="I768" i="4"/>
  <c r="K768" i="4" s="1"/>
  <c r="I767" i="4"/>
  <c r="K767" i="4" s="1"/>
  <c r="I766" i="4"/>
  <c r="K766" i="4" s="1"/>
  <c r="I765" i="4"/>
  <c r="K765" i="4" s="1"/>
  <c r="I764" i="4"/>
  <c r="K764" i="4" s="1"/>
  <c r="I763" i="4"/>
  <c r="K763" i="4" s="1"/>
  <c r="I762" i="4"/>
  <c r="K762" i="4" s="1"/>
  <c r="I761" i="4"/>
  <c r="K761" i="4" s="1"/>
  <c r="I760" i="4"/>
  <c r="K760" i="4" s="1"/>
  <c r="I759" i="4"/>
  <c r="K759" i="4" s="1"/>
  <c r="I758" i="4"/>
  <c r="K758" i="4" s="1"/>
  <c r="I757" i="4"/>
  <c r="K757" i="4" s="1"/>
  <c r="I756" i="4"/>
  <c r="K756" i="4" s="1"/>
  <c r="I755" i="4"/>
  <c r="K755" i="4" s="1"/>
  <c r="I754" i="4"/>
  <c r="K754" i="4" s="1"/>
  <c r="I753" i="4"/>
  <c r="K753" i="4" s="1"/>
  <c r="I752" i="4"/>
  <c r="K752" i="4" s="1"/>
  <c r="I751" i="4"/>
  <c r="K751" i="4" s="1"/>
  <c r="I750" i="4"/>
  <c r="K750" i="4" s="1"/>
  <c r="I749" i="4"/>
  <c r="K749" i="4" s="1"/>
  <c r="I748" i="4"/>
  <c r="K748" i="4" s="1"/>
  <c r="I747" i="4"/>
  <c r="K747" i="4" s="1"/>
  <c r="I746" i="4"/>
  <c r="K746" i="4" s="1"/>
  <c r="I745" i="4"/>
  <c r="K745" i="4" s="1"/>
  <c r="I744" i="4"/>
  <c r="K744" i="4" s="1"/>
  <c r="H743" i="4"/>
  <c r="I743" i="4" s="1"/>
  <c r="K743" i="4" s="1"/>
  <c r="H742" i="4"/>
  <c r="I742" i="4" s="1"/>
  <c r="K742" i="4" s="1"/>
  <c r="H741" i="4"/>
  <c r="I741" i="4" s="1"/>
  <c r="K741" i="4" s="1"/>
  <c r="H740" i="4"/>
  <c r="I740" i="4" s="1"/>
  <c r="K740" i="4" s="1"/>
  <c r="H739" i="4"/>
  <c r="I739" i="4" s="1"/>
  <c r="K739" i="4" s="1"/>
  <c r="H738" i="4"/>
  <c r="I738" i="4" s="1"/>
  <c r="K738" i="4" s="1"/>
  <c r="H737" i="4"/>
  <c r="I737" i="4" s="1"/>
  <c r="K737" i="4" s="1"/>
  <c r="H736" i="4"/>
  <c r="I736" i="4" s="1"/>
  <c r="K736" i="4" s="1"/>
  <c r="H735" i="4"/>
  <c r="I735" i="4" s="1"/>
  <c r="K735" i="4" s="1"/>
  <c r="H734" i="4"/>
  <c r="I734" i="4" s="1"/>
  <c r="K734" i="4" s="1"/>
  <c r="H733" i="4"/>
  <c r="I733" i="4" s="1"/>
  <c r="K733" i="4" s="1"/>
  <c r="H732" i="4"/>
  <c r="I732" i="4" s="1"/>
  <c r="K732" i="4" s="1"/>
  <c r="H731" i="4"/>
  <c r="I731" i="4" s="1"/>
  <c r="K731" i="4" s="1"/>
  <c r="H730" i="4"/>
  <c r="I730" i="4" s="1"/>
  <c r="K730" i="4" s="1"/>
  <c r="H729" i="4"/>
  <c r="I729" i="4" s="1"/>
  <c r="K729" i="4" s="1"/>
  <c r="H728" i="4"/>
  <c r="I728" i="4" s="1"/>
  <c r="K728" i="4" s="1"/>
  <c r="H727" i="4"/>
  <c r="I727" i="4" s="1"/>
  <c r="K727" i="4" s="1"/>
  <c r="H726" i="4"/>
  <c r="I726" i="4" s="1"/>
  <c r="K726" i="4" s="1"/>
  <c r="H725" i="4"/>
  <c r="I725" i="4" s="1"/>
  <c r="K725" i="4" s="1"/>
  <c r="H724" i="4"/>
  <c r="I724" i="4" s="1"/>
  <c r="K724" i="4" s="1"/>
  <c r="H723" i="4"/>
  <c r="I723" i="4" s="1"/>
  <c r="K723" i="4" s="1"/>
  <c r="H722" i="4"/>
  <c r="I722" i="4" s="1"/>
  <c r="K722" i="4" s="1"/>
  <c r="H721" i="4"/>
  <c r="I721" i="4" s="1"/>
  <c r="K721" i="4" s="1"/>
  <c r="H720" i="4"/>
  <c r="I720" i="4" s="1"/>
  <c r="K720" i="4" s="1"/>
  <c r="I719" i="4"/>
  <c r="K719" i="4" s="1"/>
  <c r="I718" i="4"/>
  <c r="K718" i="4" s="1"/>
  <c r="I717" i="4"/>
  <c r="K717" i="4" s="1"/>
  <c r="I716" i="4"/>
  <c r="K716" i="4" s="1"/>
  <c r="I715" i="4"/>
  <c r="K715" i="4" s="1"/>
  <c r="H714" i="4"/>
  <c r="I714" i="4" s="1"/>
  <c r="K714" i="4" s="1"/>
  <c r="H713" i="4"/>
  <c r="I713" i="4" s="1"/>
  <c r="K713" i="4" s="1"/>
  <c r="H712" i="4"/>
  <c r="I712" i="4" s="1"/>
  <c r="K712" i="4" s="1"/>
  <c r="H711" i="4"/>
  <c r="I711" i="4" s="1"/>
  <c r="K711" i="4" s="1"/>
  <c r="H710" i="4"/>
  <c r="I710" i="4" s="1"/>
  <c r="K710" i="4" s="1"/>
  <c r="H709" i="4"/>
  <c r="I709" i="4" s="1"/>
  <c r="K709" i="4" s="1"/>
  <c r="H708" i="4"/>
  <c r="I708" i="4" s="1"/>
  <c r="K708" i="4" s="1"/>
  <c r="H707" i="4"/>
  <c r="I707" i="4" s="1"/>
  <c r="K707" i="4" s="1"/>
  <c r="H706" i="4"/>
  <c r="I706" i="4" s="1"/>
  <c r="K706" i="4" s="1"/>
  <c r="H705" i="4"/>
  <c r="I705" i="4" s="1"/>
  <c r="K705" i="4" s="1"/>
  <c r="H704" i="4"/>
  <c r="I704" i="4" s="1"/>
  <c r="K704" i="4" s="1"/>
  <c r="H703" i="4"/>
  <c r="I703" i="4" s="1"/>
  <c r="K703" i="4" s="1"/>
  <c r="H702" i="4"/>
  <c r="I702" i="4" s="1"/>
  <c r="K702" i="4" s="1"/>
  <c r="H701" i="4"/>
  <c r="I701" i="4" s="1"/>
  <c r="K701" i="4" s="1"/>
  <c r="H700" i="4"/>
  <c r="I700" i="4" s="1"/>
  <c r="K700" i="4" s="1"/>
  <c r="H699" i="4"/>
  <c r="I699" i="4" s="1"/>
  <c r="K699" i="4" s="1"/>
  <c r="H698" i="4"/>
  <c r="I698" i="4" s="1"/>
  <c r="K698" i="4" s="1"/>
  <c r="H697" i="4"/>
  <c r="I697" i="4" s="1"/>
  <c r="K697" i="4" s="1"/>
  <c r="H696" i="4"/>
  <c r="I696" i="4" s="1"/>
  <c r="K696" i="4" s="1"/>
  <c r="H695" i="4"/>
  <c r="I695" i="4" s="1"/>
  <c r="K695" i="4" s="1"/>
  <c r="H694" i="4"/>
  <c r="I694" i="4" s="1"/>
  <c r="K694" i="4" s="1"/>
  <c r="H693" i="4"/>
  <c r="I693" i="4" s="1"/>
  <c r="K693" i="4" s="1"/>
  <c r="H692" i="4"/>
  <c r="I692" i="4" s="1"/>
  <c r="K692" i="4" s="1"/>
  <c r="H691" i="4"/>
  <c r="I691" i="4" s="1"/>
  <c r="K691" i="4" s="1"/>
  <c r="H690" i="4"/>
  <c r="I690" i="4" s="1"/>
  <c r="K690" i="4" s="1"/>
  <c r="H689" i="4"/>
  <c r="I689" i="4" s="1"/>
  <c r="K689" i="4" s="1"/>
  <c r="H688" i="4"/>
  <c r="I688" i="4" s="1"/>
  <c r="K688" i="4" s="1"/>
  <c r="H687" i="4"/>
  <c r="I687" i="4" s="1"/>
  <c r="K687" i="4" s="1"/>
  <c r="H686" i="4"/>
  <c r="I686" i="4" s="1"/>
  <c r="K686" i="4" s="1"/>
  <c r="H685" i="4"/>
  <c r="I685" i="4" s="1"/>
  <c r="K685" i="4" s="1"/>
  <c r="H684" i="4"/>
  <c r="I684" i="4" s="1"/>
  <c r="K684" i="4" s="1"/>
  <c r="H683" i="4"/>
  <c r="I683" i="4" s="1"/>
  <c r="K683" i="4" s="1"/>
  <c r="H682" i="4"/>
  <c r="I682" i="4" s="1"/>
  <c r="K682" i="4" s="1"/>
  <c r="H681" i="4"/>
  <c r="I681" i="4" s="1"/>
  <c r="K681" i="4" s="1"/>
  <c r="H680" i="4"/>
  <c r="I680" i="4" s="1"/>
  <c r="K680" i="4" s="1"/>
  <c r="H679" i="4"/>
  <c r="I679" i="4" s="1"/>
  <c r="K679" i="4" s="1"/>
  <c r="H678" i="4"/>
  <c r="I678" i="4" s="1"/>
  <c r="K678" i="4" s="1"/>
  <c r="H677" i="4"/>
  <c r="I677" i="4" s="1"/>
  <c r="K677" i="4" s="1"/>
  <c r="H676" i="4"/>
  <c r="I676" i="4" s="1"/>
  <c r="K676" i="4" s="1"/>
  <c r="H675" i="4"/>
  <c r="I675" i="4" s="1"/>
  <c r="K675" i="4" s="1"/>
  <c r="H674" i="4"/>
  <c r="I674" i="4" s="1"/>
  <c r="K674" i="4" s="1"/>
  <c r="H673" i="4"/>
  <c r="I673" i="4" s="1"/>
  <c r="K673" i="4" s="1"/>
  <c r="H672" i="4"/>
  <c r="I672" i="4" s="1"/>
  <c r="K672" i="4" s="1"/>
  <c r="H671" i="4"/>
  <c r="I671" i="4" s="1"/>
  <c r="K671" i="4" s="1"/>
  <c r="H670" i="4"/>
  <c r="I670" i="4" s="1"/>
  <c r="K670" i="4" s="1"/>
  <c r="H669" i="4"/>
  <c r="I669" i="4" s="1"/>
  <c r="K669" i="4" s="1"/>
  <c r="H668" i="4"/>
  <c r="I668" i="4" s="1"/>
  <c r="K668" i="4" s="1"/>
  <c r="H667" i="4"/>
  <c r="I667" i="4" s="1"/>
  <c r="K667" i="4" s="1"/>
  <c r="I666" i="4"/>
  <c r="K666" i="4" s="1"/>
  <c r="I665" i="4"/>
  <c r="K665" i="4" s="1"/>
  <c r="I664" i="4"/>
  <c r="K664" i="4" s="1"/>
  <c r="I663" i="4"/>
  <c r="K663" i="4" s="1"/>
  <c r="I662" i="4"/>
  <c r="K662" i="4" s="1"/>
  <c r="I661" i="4"/>
  <c r="K661" i="4" s="1"/>
  <c r="H660" i="4"/>
  <c r="I660" i="4" s="1"/>
  <c r="K660" i="4" s="1"/>
  <c r="H659" i="4"/>
  <c r="I659" i="4" s="1"/>
  <c r="K659" i="4" s="1"/>
  <c r="I658" i="4"/>
  <c r="K658" i="4" s="1"/>
  <c r="I657" i="4"/>
  <c r="K657" i="4" s="1"/>
  <c r="I656" i="4"/>
  <c r="K656" i="4" s="1"/>
  <c r="I655" i="4"/>
  <c r="K655" i="4" s="1"/>
  <c r="H654" i="4"/>
  <c r="I654" i="4" s="1"/>
  <c r="K654" i="4" s="1"/>
  <c r="H653" i="4"/>
  <c r="I653" i="4" s="1"/>
  <c r="K653" i="4" s="1"/>
  <c r="I652" i="4"/>
  <c r="K652" i="4" s="1"/>
  <c r="H651" i="4"/>
  <c r="I651" i="4" s="1"/>
  <c r="K651" i="4" s="1"/>
  <c r="H650" i="4"/>
  <c r="I650" i="4" s="1"/>
  <c r="K650" i="4" s="1"/>
  <c r="H649" i="4"/>
  <c r="I649" i="4" s="1"/>
  <c r="K649" i="4" s="1"/>
  <c r="H648" i="4"/>
  <c r="I648" i="4" s="1"/>
  <c r="K648" i="4" s="1"/>
  <c r="I647" i="4"/>
  <c r="K647" i="4" s="1"/>
  <c r="I646" i="4"/>
  <c r="K646" i="4" s="1"/>
  <c r="I645" i="4"/>
  <c r="K645" i="4" s="1"/>
  <c r="I644" i="4"/>
  <c r="K644" i="4" s="1"/>
  <c r="I643" i="4"/>
  <c r="K643" i="4" s="1"/>
  <c r="I642" i="4"/>
  <c r="K642" i="4" s="1"/>
  <c r="I641" i="4"/>
  <c r="K641" i="4" s="1"/>
  <c r="I640" i="4"/>
  <c r="K640" i="4" s="1"/>
  <c r="I639" i="4"/>
  <c r="K639" i="4" s="1"/>
  <c r="I638" i="4"/>
  <c r="K638" i="4" s="1"/>
  <c r="I637" i="4"/>
  <c r="K637" i="4" s="1"/>
  <c r="I636" i="4"/>
  <c r="K636" i="4" s="1"/>
  <c r="I635" i="4"/>
  <c r="K635" i="4" s="1"/>
  <c r="I634" i="4"/>
  <c r="K634" i="4" s="1"/>
  <c r="I633" i="4"/>
  <c r="K633" i="4" s="1"/>
  <c r="I632" i="4"/>
  <c r="K632" i="4" s="1"/>
  <c r="I631" i="4"/>
  <c r="K631" i="4" s="1"/>
  <c r="I630" i="4"/>
  <c r="K630" i="4" s="1"/>
  <c r="I629" i="4"/>
  <c r="K629" i="4" s="1"/>
  <c r="I628" i="4"/>
  <c r="K628" i="4" s="1"/>
  <c r="I627" i="4"/>
  <c r="K627" i="4" s="1"/>
  <c r="I626" i="4"/>
  <c r="K626" i="4" s="1"/>
  <c r="I625" i="4"/>
  <c r="K625" i="4" s="1"/>
  <c r="I624" i="4"/>
  <c r="K624" i="4" s="1"/>
  <c r="I623" i="4"/>
  <c r="K623" i="4" s="1"/>
  <c r="I622" i="4"/>
  <c r="K622" i="4" s="1"/>
  <c r="I621" i="4"/>
  <c r="K621" i="4" s="1"/>
  <c r="I620" i="4"/>
  <c r="K620" i="4" s="1"/>
  <c r="I619" i="4"/>
  <c r="K619" i="4" s="1"/>
  <c r="I618" i="4"/>
  <c r="K618" i="4" s="1"/>
  <c r="I617" i="4"/>
  <c r="K617" i="4" s="1"/>
  <c r="I616" i="4"/>
  <c r="K616" i="4" s="1"/>
  <c r="I615" i="4"/>
  <c r="K615" i="4" s="1"/>
  <c r="I614" i="4"/>
  <c r="K614" i="4" s="1"/>
  <c r="H613" i="4"/>
  <c r="I613" i="4" s="1"/>
  <c r="K613" i="4" s="1"/>
  <c r="H612" i="4"/>
  <c r="I612" i="4" s="1"/>
  <c r="K612" i="4" s="1"/>
  <c r="H611" i="4"/>
  <c r="I611" i="4" s="1"/>
  <c r="K611" i="4" s="1"/>
  <c r="H610" i="4"/>
  <c r="I610" i="4" s="1"/>
  <c r="K610" i="4" s="1"/>
  <c r="H609" i="4"/>
  <c r="I609" i="4" s="1"/>
  <c r="K609" i="4" s="1"/>
  <c r="H608" i="4"/>
  <c r="I608" i="4" s="1"/>
  <c r="K608" i="4" s="1"/>
  <c r="H607" i="4"/>
  <c r="I607" i="4" s="1"/>
  <c r="K607" i="4" s="1"/>
  <c r="H606" i="4"/>
  <c r="I606" i="4" s="1"/>
  <c r="K606" i="4" s="1"/>
  <c r="H605" i="4"/>
  <c r="I605" i="4" s="1"/>
  <c r="K605" i="4" s="1"/>
  <c r="H604" i="4"/>
  <c r="I604" i="4" s="1"/>
  <c r="K604" i="4" s="1"/>
  <c r="H603" i="4"/>
  <c r="I603" i="4" s="1"/>
  <c r="K603" i="4" s="1"/>
  <c r="H602" i="4"/>
  <c r="I602" i="4" s="1"/>
  <c r="K602" i="4" s="1"/>
  <c r="H601" i="4"/>
  <c r="I601" i="4" s="1"/>
  <c r="K601" i="4" s="1"/>
  <c r="H600" i="4"/>
  <c r="I600" i="4" s="1"/>
  <c r="K600" i="4" s="1"/>
  <c r="H599" i="4"/>
  <c r="I599" i="4" s="1"/>
  <c r="K599" i="4" s="1"/>
  <c r="H598" i="4"/>
  <c r="I598" i="4" s="1"/>
  <c r="K598" i="4" s="1"/>
  <c r="H597" i="4"/>
  <c r="I597" i="4" s="1"/>
  <c r="K597" i="4" s="1"/>
  <c r="H596" i="4"/>
  <c r="I596" i="4" s="1"/>
  <c r="K596" i="4" s="1"/>
  <c r="H595" i="4"/>
  <c r="I595" i="4" s="1"/>
  <c r="K595" i="4" s="1"/>
  <c r="H594" i="4"/>
  <c r="I594" i="4" s="1"/>
  <c r="K594" i="4" s="1"/>
  <c r="H593" i="4"/>
  <c r="I593" i="4" s="1"/>
  <c r="K593" i="4" s="1"/>
  <c r="H592" i="4"/>
  <c r="I592" i="4" s="1"/>
  <c r="K592" i="4" s="1"/>
  <c r="H591" i="4"/>
  <c r="I591" i="4" s="1"/>
  <c r="K591" i="4" s="1"/>
  <c r="H590" i="4"/>
  <c r="I590" i="4" s="1"/>
  <c r="K590" i="4" s="1"/>
  <c r="H589" i="4"/>
  <c r="I589" i="4" s="1"/>
  <c r="K589" i="4" s="1"/>
  <c r="H588" i="4"/>
  <c r="I588" i="4" s="1"/>
  <c r="K588" i="4" s="1"/>
  <c r="H587" i="4"/>
  <c r="I587" i="4" s="1"/>
  <c r="K587" i="4" s="1"/>
  <c r="H586" i="4"/>
  <c r="I586" i="4" s="1"/>
  <c r="K586" i="4" s="1"/>
  <c r="H585" i="4"/>
  <c r="I585" i="4" s="1"/>
  <c r="K585" i="4" s="1"/>
  <c r="H584" i="4"/>
  <c r="I584" i="4" s="1"/>
  <c r="K584" i="4" s="1"/>
  <c r="H583" i="4"/>
  <c r="I583" i="4" s="1"/>
  <c r="K583" i="4" s="1"/>
  <c r="H582" i="4"/>
  <c r="I582" i="4" s="1"/>
  <c r="K582" i="4" s="1"/>
  <c r="H581" i="4"/>
  <c r="I581" i="4" s="1"/>
  <c r="K581" i="4" s="1"/>
  <c r="H580" i="4"/>
  <c r="I580" i="4" s="1"/>
  <c r="K580" i="4" s="1"/>
  <c r="H579" i="4"/>
  <c r="I579" i="4" s="1"/>
  <c r="K579" i="4" s="1"/>
  <c r="H578" i="4"/>
  <c r="I578" i="4" s="1"/>
  <c r="K578" i="4" s="1"/>
  <c r="H577" i="4"/>
  <c r="I577" i="4" s="1"/>
  <c r="K577" i="4" s="1"/>
  <c r="H576" i="4"/>
  <c r="I576" i="4" s="1"/>
  <c r="K576" i="4" s="1"/>
  <c r="H575" i="4"/>
  <c r="I575" i="4" s="1"/>
  <c r="K575" i="4" s="1"/>
  <c r="H574" i="4"/>
  <c r="I574" i="4" s="1"/>
  <c r="K574" i="4" s="1"/>
  <c r="H573" i="4"/>
  <c r="I573" i="4" s="1"/>
  <c r="K573" i="4" s="1"/>
  <c r="H572" i="4"/>
  <c r="I572" i="4" s="1"/>
  <c r="K572" i="4" s="1"/>
  <c r="H571" i="4"/>
  <c r="I571" i="4" s="1"/>
  <c r="K571" i="4" s="1"/>
  <c r="H570" i="4"/>
  <c r="I570" i="4" s="1"/>
  <c r="K570" i="4" s="1"/>
  <c r="H569" i="4"/>
  <c r="I569" i="4" s="1"/>
  <c r="K569" i="4" s="1"/>
  <c r="H568" i="4"/>
  <c r="I568" i="4" s="1"/>
  <c r="K568" i="4" s="1"/>
  <c r="H567" i="4"/>
  <c r="I567" i="4" s="1"/>
  <c r="K567" i="4" s="1"/>
  <c r="H566" i="4"/>
  <c r="I566" i="4" s="1"/>
  <c r="K566" i="4" s="1"/>
  <c r="H565" i="4"/>
  <c r="I565" i="4" s="1"/>
  <c r="K565" i="4" s="1"/>
  <c r="H564" i="4"/>
  <c r="I564" i="4" s="1"/>
  <c r="K564" i="4" s="1"/>
  <c r="H563" i="4"/>
  <c r="I563" i="4" s="1"/>
  <c r="K563" i="4" s="1"/>
  <c r="H562" i="4"/>
  <c r="I562" i="4" s="1"/>
  <c r="K562" i="4" s="1"/>
  <c r="H561" i="4"/>
  <c r="I561" i="4" s="1"/>
  <c r="K561" i="4" s="1"/>
  <c r="I560" i="4"/>
  <c r="K560" i="4" s="1"/>
  <c r="H559" i="4"/>
  <c r="I559" i="4" s="1"/>
  <c r="K559" i="4" s="1"/>
  <c r="I558" i="4"/>
  <c r="K558" i="4" s="1"/>
  <c r="I557" i="4"/>
  <c r="K557" i="4" s="1"/>
  <c r="I556" i="4"/>
  <c r="K556" i="4" s="1"/>
  <c r="I555" i="4"/>
  <c r="K555" i="4" s="1"/>
  <c r="H554" i="4"/>
  <c r="I554" i="4" s="1"/>
  <c r="K554" i="4" s="1"/>
  <c r="H553" i="4"/>
  <c r="I553" i="4" s="1"/>
  <c r="K553" i="4" s="1"/>
  <c r="H552" i="4"/>
  <c r="I552" i="4" s="1"/>
  <c r="K552" i="4" s="1"/>
  <c r="H551" i="4"/>
  <c r="I551" i="4" s="1"/>
  <c r="K551" i="4" s="1"/>
  <c r="H550" i="4"/>
  <c r="I550" i="4" s="1"/>
  <c r="K550" i="4" s="1"/>
  <c r="H549" i="4"/>
  <c r="I549" i="4" s="1"/>
  <c r="K549" i="4" s="1"/>
  <c r="H548" i="4"/>
  <c r="I548" i="4" s="1"/>
  <c r="K548" i="4" s="1"/>
  <c r="H547" i="4"/>
  <c r="I547" i="4" s="1"/>
  <c r="K547" i="4" s="1"/>
  <c r="H546" i="4"/>
  <c r="I546" i="4" s="1"/>
  <c r="K546" i="4" s="1"/>
  <c r="H545" i="4"/>
  <c r="I545" i="4" s="1"/>
  <c r="K545" i="4" s="1"/>
  <c r="H544" i="4"/>
  <c r="I544" i="4" s="1"/>
  <c r="K544" i="4" s="1"/>
  <c r="H543" i="4"/>
  <c r="I543" i="4" s="1"/>
  <c r="K543" i="4" s="1"/>
  <c r="H542" i="4"/>
  <c r="I542" i="4" s="1"/>
  <c r="K542" i="4" s="1"/>
  <c r="H541" i="4"/>
  <c r="I541" i="4" s="1"/>
  <c r="K541" i="4" s="1"/>
  <c r="H540" i="4"/>
  <c r="I540" i="4" s="1"/>
  <c r="K540" i="4" s="1"/>
  <c r="H539" i="4"/>
  <c r="I539" i="4" s="1"/>
  <c r="K539" i="4" s="1"/>
  <c r="H538" i="4"/>
  <c r="I538" i="4" s="1"/>
  <c r="K538" i="4" s="1"/>
  <c r="H537" i="4"/>
  <c r="I537" i="4" s="1"/>
  <c r="K537" i="4" s="1"/>
  <c r="H536" i="4"/>
  <c r="I536" i="4" s="1"/>
  <c r="K536" i="4" s="1"/>
  <c r="H535" i="4"/>
  <c r="I535" i="4" s="1"/>
  <c r="K535" i="4" s="1"/>
  <c r="H534" i="4"/>
  <c r="I534" i="4" s="1"/>
  <c r="K534" i="4" s="1"/>
  <c r="H533" i="4"/>
  <c r="I533" i="4" s="1"/>
  <c r="K533" i="4" s="1"/>
  <c r="H532" i="4"/>
  <c r="I532" i="4" s="1"/>
  <c r="K532" i="4" s="1"/>
  <c r="H531" i="4"/>
  <c r="I531" i="4" s="1"/>
  <c r="K531" i="4" s="1"/>
  <c r="H530" i="4"/>
  <c r="I530" i="4" s="1"/>
  <c r="K530" i="4" s="1"/>
  <c r="H529" i="4"/>
  <c r="I529" i="4" s="1"/>
  <c r="K529" i="4" s="1"/>
  <c r="H528" i="4"/>
  <c r="I528" i="4" s="1"/>
  <c r="K528" i="4" s="1"/>
  <c r="H527" i="4"/>
  <c r="I527" i="4" s="1"/>
  <c r="K527" i="4" s="1"/>
  <c r="I526" i="4"/>
  <c r="K526" i="4" s="1"/>
  <c r="I525" i="4"/>
  <c r="K525" i="4" s="1"/>
  <c r="I524" i="4"/>
  <c r="K524" i="4" s="1"/>
  <c r="I523" i="4"/>
  <c r="K523" i="4" s="1"/>
  <c r="H522" i="4"/>
  <c r="I522" i="4" s="1"/>
  <c r="K522" i="4" s="1"/>
  <c r="H521" i="4"/>
  <c r="I521" i="4" s="1"/>
  <c r="K521" i="4" s="1"/>
  <c r="H520" i="4"/>
  <c r="I520" i="4" s="1"/>
  <c r="K520" i="4" s="1"/>
  <c r="H519" i="4"/>
  <c r="I519" i="4" s="1"/>
  <c r="K519" i="4" s="1"/>
  <c r="H518" i="4"/>
  <c r="I518" i="4" s="1"/>
  <c r="K518" i="4" s="1"/>
  <c r="H517" i="4"/>
  <c r="I517" i="4" s="1"/>
  <c r="K517" i="4" s="1"/>
  <c r="H516" i="4"/>
  <c r="I516" i="4" s="1"/>
  <c r="K516" i="4" s="1"/>
  <c r="H515" i="4"/>
  <c r="I515" i="4" s="1"/>
  <c r="K515" i="4" s="1"/>
  <c r="H514" i="4"/>
  <c r="I514" i="4" s="1"/>
  <c r="K514" i="4" s="1"/>
  <c r="H513" i="4"/>
  <c r="I513" i="4" s="1"/>
  <c r="K513" i="4" s="1"/>
  <c r="H512" i="4"/>
  <c r="I512" i="4" s="1"/>
  <c r="K512" i="4" s="1"/>
  <c r="H511" i="4"/>
  <c r="I511" i="4" s="1"/>
  <c r="K511" i="4" s="1"/>
  <c r="H510" i="4"/>
  <c r="I510" i="4" s="1"/>
  <c r="K510" i="4" s="1"/>
  <c r="H509" i="4"/>
  <c r="I509" i="4" s="1"/>
  <c r="K509" i="4" s="1"/>
  <c r="H508" i="4"/>
  <c r="I508" i="4" s="1"/>
  <c r="K508" i="4" s="1"/>
  <c r="H507" i="4"/>
  <c r="I507" i="4" s="1"/>
  <c r="K507" i="4" s="1"/>
  <c r="H506" i="4"/>
  <c r="I506" i="4" s="1"/>
  <c r="K506" i="4" s="1"/>
  <c r="H505" i="4"/>
  <c r="I505" i="4" s="1"/>
  <c r="K505" i="4" s="1"/>
  <c r="H504" i="4"/>
  <c r="I504" i="4" s="1"/>
  <c r="K504" i="4" s="1"/>
  <c r="H503" i="4"/>
  <c r="I503" i="4" s="1"/>
  <c r="K503" i="4" s="1"/>
  <c r="H502" i="4"/>
  <c r="I502" i="4" s="1"/>
  <c r="K502" i="4" s="1"/>
  <c r="H501" i="4"/>
  <c r="I501" i="4" s="1"/>
  <c r="K501" i="4" s="1"/>
  <c r="H500" i="4"/>
  <c r="I500" i="4" s="1"/>
  <c r="K500" i="4" s="1"/>
  <c r="H499" i="4"/>
  <c r="I499" i="4" s="1"/>
  <c r="K499" i="4" s="1"/>
  <c r="H498" i="4"/>
  <c r="I498" i="4" s="1"/>
  <c r="K498" i="4" s="1"/>
  <c r="H497" i="4"/>
  <c r="I497" i="4" s="1"/>
  <c r="K497" i="4" s="1"/>
  <c r="H496" i="4"/>
  <c r="I496" i="4" s="1"/>
  <c r="K496" i="4" s="1"/>
  <c r="H495" i="4"/>
  <c r="I495" i="4" s="1"/>
  <c r="K495" i="4" s="1"/>
  <c r="H494" i="4"/>
  <c r="I494" i="4" s="1"/>
  <c r="K494" i="4" s="1"/>
  <c r="H493" i="4"/>
  <c r="I493" i="4" s="1"/>
  <c r="K493" i="4" s="1"/>
  <c r="I492" i="4"/>
  <c r="K492" i="4" s="1"/>
  <c r="I491" i="4"/>
  <c r="K491" i="4" s="1"/>
  <c r="I490" i="4"/>
  <c r="K490" i="4" s="1"/>
  <c r="I489" i="4"/>
  <c r="K489" i="4" s="1"/>
  <c r="I488" i="4"/>
  <c r="K488" i="4" s="1"/>
  <c r="I487" i="4"/>
  <c r="K487" i="4" s="1"/>
  <c r="I486" i="4"/>
  <c r="K486" i="4" s="1"/>
  <c r="H485" i="4"/>
  <c r="I485" i="4" s="1"/>
  <c r="K485" i="4" s="1"/>
  <c r="H484" i="4"/>
  <c r="I484" i="4" s="1"/>
  <c r="K484" i="4" s="1"/>
  <c r="H483" i="4"/>
  <c r="I483" i="4" s="1"/>
  <c r="K483" i="4" s="1"/>
  <c r="I482" i="4"/>
  <c r="K482" i="4" s="1"/>
  <c r="I481" i="4"/>
  <c r="K481" i="4" s="1"/>
  <c r="I480" i="4"/>
  <c r="K480" i="4" s="1"/>
  <c r="I479" i="4"/>
  <c r="K479" i="4" s="1"/>
  <c r="I478" i="4"/>
  <c r="K478" i="4" s="1"/>
  <c r="I477" i="4"/>
  <c r="K477" i="4" s="1"/>
  <c r="I476" i="4"/>
  <c r="K476" i="4" s="1"/>
  <c r="I475" i="4"/>
  <c r="K475" i="4" s="1"/>
  <c r="I474" i="4"/>
  <c r="K474" i="4" s="1"/>
  <c r="I473" i="4"/>
  <c r="K473" i="4" s="1"/>
  <c r="I472" i="4"/>
  <c r="K472" i="4" s="1"/>
  <c r="I471" i="4"/>
  <c r="K471" i="4" s="1"/>
  <c r="I470" i="4"/>
  <c r="K470" i="4" s="1"/>
  <c r="I469" i="4"/>
  <c r="K469" i="4" s="1"/>
  <c r="I468" i="4"/>
  <c r="K468" i="4" s="1"/>
  <c r="I467" i="4"/>
  <c r="K467" i="4" s="1"/>
  <c r="I466" i="4"/>
  <c r="K466" i="4" s="1"/>
  <c r="I465" i="4"/>
  <c r="K465" i="4" s="1"/>
  <c r="I464" i="4"/>
  <c r="K464" i="4" s="1"/>
  <c r="I463" i="4"/>
  <c r="K463" i="4" s="1"/>
  <c r="I462" i="4"/>
  <c r="K462" i="4" s="1"/>
  <c r="I461" i="4"/>
  <c r="K461" i="4" s="1"/>
  <c r="I460" i="4"/>
  <c r="K460" i="4" s="1"/>
  <c r="I459" i="4"/>
  <c r="K459" i="4" s="1"/>
  <c r="I458" i="4"/>
  <c r="K458" i="4" s="1"/>
  <c r="I457" i="4"/>
  <c r="K457" i="4" s="1"/>
  <c r="I456" i="4"/>
  <c r="K456" i="4" s="1"/>
  <c r="I455" i="4"/>
  <c r="K455" i="4" s="1"/>
  <c r="I454" i="4"/>
  <c r="K454" i="4" s="1"/>
  <c r="I453" i="4"/>
  <c r="K453" i="4" s="1"/>
  <c r="I452" i="4"/>
  <c r="K452" i="4" s="1"/>
  <c r="I451" i="4"/>
  <c r="K451" i="4" s="1"/>
  <c r="I450" i="4"/>
  <c r="K450" i="4" s="1"/>
  <c r="I449" i="4"/>
  <c r="K449" i="4" s="1"/>
  <c r="I448" i="4"/>
  <c r="K448" i="4" s="1"/>
  <c r="I447" i="4"/>
  <c r="K447" i="4" s="1"/>
  <c r="I446" i="4"/>
  <c r="K446" i="4" s="1"/>
  <c r="I445" i="4"/>
  <c r="K445" i="4" s="1"/>
  <c r="I444" i="4"/>
  <c r="K444" i="4" s="1"/>
  <c r="I443" i="4"/>
  <c r="K443" i="4" s="1"/>
  <c r="I442" i="4"/>
  <c r="K442" i="4" s="1"/>
  <c r="H441" i="4"/>
  <c r="I441" i="4" s="1"/>
  <c r="K441" i="4" s="1"/>
  <c r="H440" i="4"/>
  <c r="I440" i="4" s="1"/>
  <c r="K440" i="4" s="1"/>
  <c r="H439" i="4"/>
  <c r="I439" i="4" s="1"/>
  <c r="K439" i="4" s="1"/>
  <c r="H438" i="4"/>
  <c r="I438" i="4" s="1"/>
  <c r="K438" i="4" s="1"/>
  <c r="I437" i="4"/>
  <c r="K437" i="4" s="1"/>
  <c r="I436" i="4"/>
  <c r="K436" i="4" s="1"/>
  <c r="I435" i="4"/>
  <c r="K435" i="4" s="1"/>
  <c r="I434" i="4"/>
  <c r="K434" i="4" s="1"/>
  <c r="I433" i="4"/>
  <c r="K433" i="4" s="1"/>
  <c r="I432" i="4"/>
  <c r="K432" i="4" s="1"/>
  <c r="I431" i="4"/>
  <c r="K431" i="4" s="1"/>
  <c r="I430" i="4"/>
  <c r="K430" i="4" s="1"/>
  <c r="I429" i="4"/>
  <c r="K429" i="4" s="1"/>
  <c r="I428" i="4"/>
  <c r="K428" i="4" s="1"/>
  <c r="I427" i="4"/>
  <c r="K427" i="4" s="1"/>
  <c r="I426" i="4"/>
  <c r="K426" i="4" s="1"/>
  <c r="I425" i="4"/>
  <c r="K425" i="4" s="1"/>
  <c r="H424" i="4"/>
  <c r="I424" i="4" s="1"/>
  <c r="K424" i="4" s="1"/>
  <c r="H423" i="4"/>
  <c r="I423" i="4" s="1"/>
  <c r="K423" i="4" s="1"/>
  <c r="I422" i="4"/>
  <c r="K422" i="4" s="1"/>
  <c r="I421" i="4"/>
  <c r="K421" i="4" s="1"/>
  <c r="I420" i="4"/>
  <c r="K420" i="4" s="1"/>
  <c r="I419" i="4"/>
  <c r="K419" i="4" s="1"/>
  <c r="I418" i="4"/>
  <c r="K418" i="4" s="1"/>
  <c r="I417" i="4"/>
  <c r="K417" i="4" s="1"/>
  <c r="I416" i="4"/>
  <c r="K416" i="4" s="1"/>
  <c r="I415" i="4"/>
  <c r="K415" i="4" s="1"/>
  <c r="I414" i="4"/>
  <c r="K414" i="4" s="1"/>
  <c r="I413" i="4"/>
  <c r="K413" i="4" s="1"/>
  <c r="I412" i="4"/>
  <c r="K412" i="4" s="1"/>
  <c r="I411" i="4"/>
  <c r="K411" i="4" s="1"/>
  <c r="I410" i="4"/>
  <c r="K410" i="4" s="1"/>
  <c r="I409" i="4"/>
  <c r="K409" i="4" s="1"/>
  <c r="I408" i="4"/>
  <c r="K408" i="4" s="1"/>
  <c r="I407" i="4"/>
  <c r="K407" i="4" s="1"/>
  <c r="I406" i="4"/>
  <c r="K406" i="4" s="1"/>
  <c r="I405" i="4"/>
  <c r="K405" i="4" s="1"/>
  <c r="I404" i="4"/>
  <c r="K404" i="4" s="1"/>
  <c r="I403" i="4"/>
  <c r="K403" i="4" s="1"/>
  <c r="I402" i="4"/>
  <c r="K402" i="4" s="1"/>
  <c r="I401" i="4"/>
  <c r="K401" i="4" s="1"/>
  <c r="I400" i="4"/>
  <c r="K400" i="4" s="1"/>
  <c r="I399" i="4"/>
  <c r="K399" i="4" s="1"/>
  <c r="I398" i="4"/>
  <c r="K398" i="4" s="1"/>
  <c r="I397" i="4"/>
  <c r="K397" i="4" s="1"/>
  <c r="I396" i="4"/>
  <c r="K396" i="4" s="1"/>
  <c r="I395" i="4"/>
  <c r="K395" i="4" s="1"/>
  <c r="I394" i="4"/>
  <c r="K394" i="4" s="1"/>
  <c r="I393" i="4"/>
  <c r="K393" i="4" s="1"/>
  <c r="I392" i="4"/>
  <c r="K392" i="4" s="1"/>
  <c r="I391" i="4"/>
  <c r="K391" i="4" s="1"/>
  <c r="I390" i="4"/>
  <c r="K390" i="4" s="1"/>
  <c r="I389" i="4"/>
  <c r="K389" i="4" s="1"/>
  <c r="I388" i="4"/>
  <c r="K388" i="4" s="1"/>
  <c r="I387" i="4"/>
  <c r="K387" i="4" s="1"/>
  <c r="I386" i="4"/>
  <c r="K386" i="4" s="1"/>
  <c r="I385" i="4"/>
  <c r="K385" i="4" s="1"/>
  <c r="I384" i="4"/>
  <c r="K384" i="4" s="1"/>
  <c r="I383" i="4"/>
  <c r="K383" i="4" s="1"/>
  <c r="I382" i="4"/>
  <c r="K382" i="4" s="1"/>
  <c r="I381" i="4"/>
  <c r="K381" i="4" s="1"/>
  <c r="I380" i="4"/>
  <c r="K380" i="4" s="1"/>
  <c r="I379" i="4"/>
  <c r="K379" i="4" s="1"/>
  <c r="I378" i="4"/>
  <c r="K378" i="4" s="1"/>
  <c r="I377" i="4"/>
  <c r="K377" i="4" s="1"/>
  <c r="I376" i="4"/>
  <c r="K376" i="4" s="1"/>
  <c r="I375" i="4"/>
  <c r="K375" i="4" s="1"/>
  <c r="I374" i="4"/>
  <c r="K374" i="4" s="1"/>
  <c r="I373" i="4"/>
  <c r="K373" i="4" s="1"/>
  <c r="I372" i="4"/>
  <c r="K372" i="4" s="1"/>
  <c r="I371" i="4"/>
  <c r="K371" i="4" s="1"/>
  <c r="I370" i="4"/>
  <c r="K370" i="4" s="1"/>
  <c r="I369" i="4"/>
  <c r="K369" i="4" s="1"/>
  <c r="I368" i="4"/>
  <c r="K368" i="4" s="1"/>
  <c r="I367" i="4"/>
  <c r="K367" i="4" s="1"/>
  <c r="I366" i="4"/>
  <c r="K366" i="4" s="1"/>
  <c r="H365" i="4"/>
  <c r="I365" i="4" s="1"/>
  <c r="K365" i="4" s="1"/>
  <c r="H364" i="4"/>
  <c r="I364" i="4" s="1"/>
  <c r="K364" i="4" s="1"/>
  <c r="H363" i="4"/>
  <c r="I363" i="4" s="1"/>
  <c r="K363" i="4" s="1"/>
  <c r="H362" i="4"/>
  <c r="I362" i="4" s="1"/>
  <c r="K362" i="4" s="1"/>
  <c r="H361" i="4"/>
  <c r="I361" i="4" s="1"/>
  <c r="K361" i="4" s="1"/>
  <c r="H360" i="4"/>
  <c r="I360" i="4" s="1"/>
  <c r="K360" i="4" s="1"/>
  <c r="H359" i="4"/>
  <c r="I359" i="4" s="1"/>
  <c r="K359" i="4" s="1"/>
  <c r="H358" i="4"/>
  <c r="I358" i="4" s="1"/>
  <c r="K358" i="4" s="1"/>
  <c r="H357" i="4"/>
  <c r="I357" i="4" s="1"/>
  <c r="K357" i="4" s="1"/>
  <c r="H356" i="4"/>
  <c r="I356" i="4" s="1"/>
  <c r="K356" i="4" s="1"/>
  <c r="H355" i="4"/>
  <c r="I355" i="4" s="1"/>
  <c r="K355" i="4" s="1"/>
  <c r="H354" i="4"/>
  <c r="I354" i="4" s="1"/>
  <c r="K354" i="4" s="1"/>
  <c r="H353" i="4"/>
  <c r="I353" i="4" s="1"/>
  <c r="K353" i="4" s="1"/>
  <c r="H352" i="4"/>
  <c r="I352" i="4" s="1"/>
  <c r="K352" i="4" s="1"/>
  <c r="H351" i="4"/>
  <c r="I351" i="4" s="1"/>
  <c r="K351" i="4" s="1"/>
  <c r="H350" i="4"/>
  <c r="I350" i="4" s="1"/>
  <c r="K350" i="4" s="1"/>
  <c r="H349" i="4"/>
  <c r="I349" i="4" s="1"/>
  <c r="K349" i="4" s="1"/>
  <c r="H348" i="4"/>
  <c r="I348" i="4" s="1"/>
  <c r="K348" i="4" s="1"/>
  <c r="H347" i="4"/>
  <c r="I347" i="4" s="1"/>
  <c r="K347" i="4" s="1"/>
  <c r="H346" i="4"/>
  <c r="I346" i="4" s="1"/>
  <c r="K346" i="4" s="1"/>
  <c r="H345" i="4"/>
  <c r="I345" i="4" s="1"/>
  <c r="K345" i="4" s="1"/>
  <c r="I344" i="4"/>
  <c r="K344" i="4" s="1"/>
  <c r="I343" i="4"/>
  <c r="K343" i="4" s="1"/>
  <c r="H342" i="4"/>
  <c r="I342" i="4" s="1"/>
  <c r="K342" i="4" s="1"/>
  <c r="I341" i="4"/>
  <c r="K341" i="4" s="1"/>
  <c r="I340" i="4"/>
  <c r="K340" i="4" s="1"/>
  <c r="I339" i="4"/>
  <c r="K339" i="4" s="1"/>
  <c r="I338" i="4"/>
  <c r="K338" i="4" s="1"/>
  <c r="I337" i="4"/>
  <c r="K337" i="4" s="1"/>
  <c r="I336" i="4"/>
  <c r="K336" i="4" s="1"/>
  <c r="I335" i="4"/>
  <c r="K335" i="4" s="1"/>
  <c r="I334" i="4"/>
  <c r="K334" i="4" s="1"/>
  <c r="I333" i="4"/>
  <c r="K333" i="4" s="1"/>
  <c r="I332" i="4"/>
  <c r="K332" i="4" s="1"/>
  <c r="I331" i="4"/>
  <c r="K331" i="4" s="1"/>
  <c r="I330" i="4"/>
  <c r="K330" i="4" s="1"/>
  <c r="I329" i="4"/>
  <c r="K329" i="4" s="1"/>
  <c r="I328" i="4"/>
  <c r="K328" i="4" s="1"/>
  <c r="I327" i="4"/>
  <c r="K327" i="4" s="1"/>
  <c r="I326" i="4"/>
  <c r="K326" i="4" s="1"/>
  <c r="I325" i="4"/>
  <c r="K325" i="4" s="1"/>
  <c r="I324" i="4"/>
  <c r="K324" i="4" s="1"/>
  <c r="I323" i="4"/>
  <c r="K323" i="4" s="1"/>
  <c r="I322" i="4"/>
  <c r="K322" i="4" s="1"/>
  <c r="I321" i="4"/>
  <c r="K321" i="4" s="1"/>
  <c r="I320" i="4"/>
  <c r="K320" i="4" s="1"/>
  <c r="I319" i="4"/>
  <c r="K319" i="4" s="1"/>
  <c r="I318" i="4"/>
  <c r="K318" i="4" s="1"/>
  <c r="I317" i="4"/>
  <c r="K317" i="4" s="1"/>
  <c r="H316" i="4"/>
  <c r="I316" i="4" s="1"/>
  <c r="K316" i="4" s="1"/>
  <c r="I315" i="4"/>
  <c r="K315" i="4" s="1"/>
  <c r="I314" i="4"/>
  <c r="K314" i="4" s="1"/>
  <c r="I313" i="4"/>
  <c r="K313" i="4" s="1"/>
  <c r="I312" i="4"/>
  <c r="K312" i="4" s="1"/>
  <c r="I311" i="4"/>
  <c r="K311" i="4" s="1"/>
  <c r="I310" i="4"/>
  <c r="K310" i="4" s="1"/>
  <c r="I309" i="4"/>
  <c r="K309" i="4" s="1"/>
  <c r="I308" i="4"/>
  <c r="K308" i="4" s="1"/>
  <c r="I307" i="4"/>
  <c r="K307" i="4" s="1"/>
  <c r="I306" i="4"/>
  <c r="K306" i="4" s="1"/>
  <c r="I305" i="4"/>
  <c r="K305" i="4" s="1"/>
  <c r="I304" i="4"/>
  <c r="K304" i="4" s="1"/>
  <c r="I303" i="4"/>
  <c r="K303" i="4" s="1"/>
  <c r="I302" i="4"/>
  <c r="K302" i="4" s="1"/>
  <c r="I301" i="4"/>
  <c r="K301" i="4" s="1"/>
  <c r="I300" i="4"/>
  <c r="K300" i="4" s="1"/>
  <c r="I299" i="4"/>
  <c r="K299" i="4" s="1"/>
  <c r="I298" i="4"/>
  <c r="K298" i="4" s="1"/>
  <c r="H297" i="4"/>
  <c r="I297" i="4" s="1"/>
  <c r="K297" i="4" s="1"/>
  <c r="H296" i="4"/>
  <c r="I296" i="4" s="1"/>
  <c r="K296" i="4" s="1"/>
  <c r="H295" i="4"/>
  <c r="I295" i="4" s="1"/>
  <c r="K295" i="4" s="1"/>
  <c r="H294" i="4"/>
  <c r="I294" i="4" s="1"/>
  <c r="K294" i="4" s="1"/>
  <c r="H293" i="4"/>
  <c r="I293" i="4" s="1"/>
  <c r="K293" i="4" s="1"/>
  <c r="H292" i="4"/>
  <c r="I292" i="4" s="1"/>
  <c r="K292" i="4" s="1"/>
  <c r="H291" i="4"/>
  <c r="I291" i="4" s="1"/>
  <c r="K291" i="4" s="1"/>
  <c r="H290" i="4"/>
  <c r="I290" i="4" s="1"/>
  <c r="K290" i="4" s="1"/>
  <c r="H289" i="4"/>
  <c r="I289" i="4" s="1"/>
  <c r="K289" i="4" s="1"/>
  <c r="H288" i="4"/>
  <c r="I288" i="4" s="1"/>
  <c r="K288" i="4" s="1"/>
  <c r="H287" i="4"/>
  <c r="I287" i="4" s="1"/>
  <c r="K287" i="4" s="1"/>
  <c r="H286" i="4"/>
  <c r="I286" i="4" s="1"/>
  <c r="K286" i="4" s="1"/>
  <c r="H285" i="4"/>
  <c r="I285" i="4" s="1"/>
  <c r="K285" i="4" s="1"/>
  <c r="H284" i="4"/>
  <c r="I284" i="4" s="1"/>
  <c r="K284" i="4" s="1"/>
  <c r="H283" i="4"/>
  <c r="I283" i="4" s="1"/>
  <c r="K283" i="4" s="1"/>
  <c r="H282" i="4"/>
  <c r="I282" i="4" s="1"/>
  <c r="K282" i="4" s="1"/>
  <c r="H281" i="4"/>
  <c r="I281" i="4" s="1"/>
  <c r="K281" i="4" s="1"/>
  <c r="H280" i="4"/>
  <c r="I280" i="4" s="1"/>
  <c r="K280" i="4" s="1"/>
  <c r="I279" i="4"/>
  <c r="K279" i="4" s="1"/>
  <c r="I278" i="4"/>
  <c r="K278" i="4" s="1"/>
  <c r="H277" i="4"/>
  <c r="I277" i="4" s="1"/>
  <c r="K277" i="4" s="1"/>
  <c r="H276" i="4"/>
  <c r="I276" i="4" s="1"/>
  <c r="K276" i="4" s="1"/>
  <c r="H275" i="4"/>
  <c r="I275" i="4" s="1"/>
  <c r="K275" i="4" s="1"/>
  <c r="H274" i="4"/>
  <c r="I274" i="4" s="1"/>
  <c r="K274" i="4" s="1"/>
  <c r="H273" i="4"/>
  <c r="I273" i="4" s="1"/>
  <c r="K273" i="4" s="1"/>
  <c r="H272" i="4"/>
  <c r="I272" i="4" s="1"/>
  <c r="K272" i="4" s="1"/>
  <c r="H271" i="4"/>
  <c r="I271" i="4" s="1"/>
  <c r="K271" i="4" s="1"/>
  <c r="H270" i="4"/>
  <c r="I270" i="4" s="1"/>
  <c r="K270" i="4" s="1"/>
  <c r="H269" i="4"/>
  <c r="I269" i="4" s="1"/>
  <c r="K269" i="4" s="1"/>
  <c r="H268" i="4"/>
  <c r="I268" i="4" s="1"/>
  <c r="K268" i="4" s="1"/>
  <c r="H267" i="4"/>
  <c r="I267" i="4" s="1"/>
  <c r="K267" i="4" s="1"/>
  <c r="H266" i="4"/>
  <c r="I266" i="4" s="1"/>
  <c r="K266" i="4" s="1"/>
  <c r="H265" i="4"/>
  <c r="I265" i="4" s="1"/>
  <c r="K265" i="4" s="1"/>
  <c r="H264" i="4"/>
  <c r="I264" i="4" s="1"/>
  <c r="K264" i="4" s="1"/>
  <c r="H263" i="4"/>
  <c r="I263" i="4" s="1"/>
  <c r="K263" i="4" s="1"/>
  <c r="H262" i="4"/>
  <c r="I262" i="4" s="1"/>
  <c r="K262" i="4" s="1"/>
  <c r="H261" i="4"/>
  <c r="I261" i="4" s="1"/>
  <c r="K261" i="4" s="1"/>
  <c r="H260" i="4"/>
  <c r="I260" i="4" s="1"/>
  <c r="K260" i="4" s="1"/>
  <c r="H259" i="4"/>
  <c r="I259" i="4" s="1"/>
  <c r="K259" i="4" s="1"/>
  <c r="H258" i="4"/>
  <c r="I258" i="4" s="1"/>
  <c r="K258" i="4" s="1"/>
  <c r="H257" i="4"/>
  <c r="I257" i="4" s="1"/>
  <c r="K257" i="4" s="1"/>
  <c r="H256" i="4"/>
  <c r="I256" i="4" s="1"/>
  <c r="K256" i="4" s="1"/>
  <c r="H255" i="4"/>
  <c r="I255" i="4" s="1"/>
  <c r="K255" i="4" s="1"/>
  <c r="I254" i="4"/>
  <c r="K254" i="4" s="1"/>
  <c r="I253" i="4"/>
  <c r="K253" i="4" s="1"/>
  <c r="H252" i="4"/>
  <c r="I252" i="4" s="1"/>
  <c r="K252" i="4" s="1"/>
  <c r="I251" i="4"/>
  <c r="K251" i="4" s="1"/>
  <c r="I250" i="4"/>
  <c r="K250" i="4" s="1"/>
  <c r="I249" i="4"/>
  <c r="K249" i="4" s="1"/>
  <c r="I248" i="4"/>
  <c r="K248" i="4" s="1"/>
  <c r="I247" i="4"/>
  <c r="K247" i="4" s="1"/>
  <c r="I246" i="4"/>
  <c r="K246" i="4" s="1"/>
  <c r="H245" i="4"/>
  <c r="I245" i="4" s="1"/>
  <c r="K245" i="4" s="1"/>
  <c r="H244" i="4"/>
  <c r="I244" i="4" s="1"/>
  <c r="K244" i="4" s="1"/>
  <c r="H243" i="4"/>
  <c r="I243" i="4" s="1"/>
  <c r="K243" i="4" s="1"/>
  <c r="H242" i="4"/>
  <c r="I242" i="4" s="1"/>
  <c r="K242" i="4" s="1"/>
  <c r="H241" i="4"/>
  <c r="I241" i="4" s="1"/>
  <c r="K241" i="4" s="1"/>
  <c r="H240" i="4"/>
  <c r="I240" i="4" s="1"/>
  <c r="K240" i="4" s="1"/>
  <c r="H239" i="4"/>
  <c r="I239" i="4" s="1"/>
  <c r="K239" i="4" s="1"/>
  <c r="H238" i="4"/>
  <c r="I238" i="4" s="1"/>
  <c r="K238" i="4" s="1"/>
  <c r="H237" i="4"/>
  <c r="I237" i="4" s="1"/>
  <c r="K237" i="4" s="1"/>
  <c r="H236" i="4"/>
  <c r="I236" i="4" s="1"/>
  <c r="K236" i="4" s="1"/>
  <c r="H235" i="4"/>
  <c r="I235" i="4" s="1"/>
  <c r="K235" i="4" s="1"/>
  <c r="H234" i="4"/>
  <c r="I234" i="4" s="1"/>
  <c r="K234" i="4" s="1"/>
  <c r="H233" i="4"/>
  <c r="I233" i="4" s="1"/>
  <c r="K233" i="4" s="1"/>
  <c r="H232" i="4"/>
  <c r="I232" i="4" s="1"/>
  <c r="K232" i="4" s="1"/>
  <c r="H231" i="4"/>
  <c r="I231" i="4" s="1"/>
  <c r="K231" i="4" s="1"/>
  <c r="H230" i="4"/>
  <c r="I230" i="4" s="1"/>
  <c r="K230" i="4" s="1"/>
  <c r="H229" i="4"/>
  <c r="I229" i="4" s="1"/>
  <c r="K229" i="4" s="1"/>
  <c r="I228" i="4"/>
  <c r="K228" i="4" s="1"/>
  <c r="I227" i="4"/>
  <c r="K227" i="4" s="1"/>
  <c r="I226" i="4"/>
  <c r="K226" i="4" s="1"/>
  <c r="I225" i="4"/>
  <c r="K225" i="4" s="1"/>
  <c r="H224" i="4"/>
  <c r="I224" i="4" s="1"/>
  <c r="K224" i="4" s="1"/>
  <c r="H223" i="4"/>
  <c r="I223" i="4" s="1"/>
  <c r="K223" i="4" s="1"/>
  <c r="H222" i="4"/>
  <c r="I222" i="4" s="1"/>
  <c r="K222" i="4" s="1"/>
  <c r="H221" i="4"/>
  <c r="I221" i="4" s="1"/>
  <c r="K221" i="4" s="1"/>
  <c r="H220" i="4"/>
  <c r="I220" i="4" s="1"/>
  <c r="K220" i="4" s="1"/>
  <c r="H219" i="4"/>
  <c r="I219" i="4" s="1"/>
  <c r="K219" i="4" s="1"/>
  <c r="H218" i="4"/>
  <c r="I218" i="4" s="1"/>
  <c r="K218" i="4" s="1"/>
  <c r="H217" i="4"/>
  <c r="I217" i="4" s="1"/>
  <c r="K217" i="4" s="1"/>
  <c r="H216" i="4"/>
  <c r="I216" i="4" s="1"/>
  <c r="K216" i="4" s="1"/>
  <c r="H215" i="4"/>
  <c r="I215" i="4" s="1"/>
  <c r="K215" i="4" s="1"/>
  <c r="H214" i="4"/>
  <c r="I214" i="4" s="1"/>
  <c r="K214" i="4" s="1"/>
  <c r="H213" i="4"/>
  <c r="I213" i="4" s="1"/>
  <c r="K213" i="4" s="1"/>
  <c r="H212" i="4"/>
  <c r="I212" i="4" s="1"/>
  <c r="K212" i="4" s="1"/>
  <c r="H211" i="4"/>
  <c r="I211" i="4" s="1"/>
  <c r="K211" i="4" s="1"/>
  <c r="H210" i="4"/>
  <c r="I210" i="4" s="1"/>
  <c r="K210" i="4" s="1"/>
  <c r="H209" i="4"/>
  <c r="I209" i="4" s="1"/>
  <c r="K209" i="4" s="1"/>
  <c r="H208" i="4"/>
  <c r="I208" i="4" s="1"/>
  <c r="K208" i="4" s="1"/>
  <c r="H207" i="4"/>
  <c r="I207" i="4" s="1"/>
  <c r="K207" i="4" s="1"/>
  <c r="H206" i="4"/>
  <c r="I206" i="4" s="1"/>
  <c r="K206" i="4" s="1"/>
  <c r="H205" i="4"/>
  <c r="I205" i="4" s="1"/>
  <c r="K205" i="4" s="1"/>
  <c r="H204" i="4"/>
  <c r="I204" i="4" s="1"/>
  <c r="K204" i="4" s="1"/>
  <c r="H203" i="4"/>
  <c r="I203" i="4" s="1"/>
  <c r="K203" i="4" s="1"/>
  <c r="H202" i="4"/>
  <c r="I202" i="4" s="1"/>
  <c r="K202" i="4" s="1"/>
  <c r="H201" i="4"/>
  <c r="I201" i="4" s="1"/>
  <c r="K201" i="4" s="1"/>
  <c r="H200" i="4"/>
  <c r="I200" i="4" s="1"/>
  <c r="K200" i="4" s="1"/>
  <c r="H199" i="4"/>
  <c r="I199" i="4" s="1"/>
  <c r="K199" i="4" s="1"/>
  <c r="H198" i="4"/>
  <c r="I198" i="4" s="1"/>
  <c r="K198" i="4" s="1"/>
  <c r="H197" i="4"/>
  <c r="I197" i="4" s="1"/>
  <c r="K197" i="4" s="1"/>
  <c r="H196" i="4"/>
  <c r="I196" i="4" s="1"/>
  <c r="K196" i="4" s="1"/>
  <c r="H195" i="4"/>
  <c r="I195" i="4" s="1"/>
  <c r="K195" i="4" s="1"/>
  <c r="H194" i="4"/>
  <c r="I194" i="4" s="1"/>
  <c r="K194" i="4" s="1"/>
  <c r="I193" i="4"/>
  <c r="K193" i="4" s="1"/>
  <c r="I192" i="4"/>
  <c r="K192" i="4" s="1"/>
  <c r="I191" i="4"/>
  <c r="K191" i="4" s="1"/>
  <c r="I190" i="4"/>
  <c r="K190" i="4" s="1"/>
  <c r="I189" i="4"/>
  <c r="K189" i="4" s="1"/>
  <c r="I188" i="4"/>
  <c r="K188" i="4" s="1"/>
  <c r="H187" i="4"/>
  <c r="I187" i="4" s="1"/>
  <c r="K187" i="4" s="1"/>
  <c r="H186" i="4"/>
  <c r="I186" i="4" s="1"/>
  <c r="K186" i="4" s="1"/>
  <c r="H185" i="4"/>
  <c r="I185" i="4" s="1"/>
  <c r="K185" i="4" s="1"/>
  <c r="H184" i="4"/>
  <c r="I184" i="4" s="1"/>
  <c r="K184" i="4" s="1"/>
  <c r="H183" i="4"/>
  <c r="I183" i="4" s="1"/>
  <c r="K183" i="4" s="1"/>
  <c r="H182" i="4"/>
  <c r="I182" i="4" s="1"/>
  <c r="K182" i="4" s="1"/>
  <c r="H181" i="4"/>
  <c r="I181" i="4" s="1"/>
  <c r="K181" i="4" s="1"/>
  <c r="H180" i="4"/>
  <c r="I180" i="4" s="1"/>
  <c r="K180" i="4" s="1"/>
  <c r="I179" i="4"/>
  <c r="K179" i="4" s="1"/>
  <c r="I178" i="4"/>
  <c r="K178" i="4" s="1"/>
  <c r="I177" i="4"/>
  <c r="K177" i="4" s="1"/>
  <c r="I176" i="4"/>
  <c r="K176" i="4" s="1"/>
  <c r="I175" i="4"/>
  <c r="K175" i="4" s="1"/>
  <c r="I174" i="4"/>
  <c r="K174" i="4" s="1"/>
  <c r="I173" i="4"/>
  <c r="K173" i="4" s="1"/>
  <c r="I172" i="4"/>
  <c r="K172" i="4" s="1"/>
  <c r="H171" i="4"/>
  <c r="I171" i="4" s="1"/>
  <c r="K171" i="4" s="1"/>
  <c r="H170" i="4"/>
  <c r="I170" i="4" s="1"/>
  <c r="K170" i="4" s="1"/>
  <c r="I169" i="4"/>
  <c r="K169" i="4" s="1"/>
  <c r="I168" i="4"/>
  <c r="K168" i="4" s="1"/>
  <c r="J167" i="4"/>
  <c r="H167" i="4"/>
  <c r="I167" i="4" s="1"/>
  <c r="H166" i="4"/>
  <c r="I166" i="4" s="1"/>
  <c r="K166" i="4" s="1"/>
  <c r="H165" i="4"/>
  <c r="I165" i="4" s="1"/>
  <c r="K165" i="4" s="1"/>
  <c r="H164" i="4"/>
  <c r="I164" i="4" s="1"/>
  <c r="K164" i="4" s="1"/>
  <c r="H163" i="4"/>
  <c r="I163" i="4" s="1"/>
  <c r="K163" i="4" s="1"/>
  <c r="H162" i="4"/>
  <c r="I162" i="4" s="1"/>
  <c r="K162" i="4" s="1"/>
  <c r="H161" i="4"/>
  <c r="I161" i="4" s="1"/>
  <c r="K161" i="4" s="1"/>
  <c r="H160" i="4"/>
  <c r="I160" i="4" s="1"/>
  <c r="K160" i="4" s="1"/>
  <c r="H159" i="4"/>
  <c r="I159" i="4" s="1"/>
  <c r="K159" i="4" s="1"/>
  <c r="H158" i="4"/>
  <c r="I158" i="4" s="1"/>
  <c r="K158" i="4" s="1"/>
  <c r="H157" i="4"/>
  <c r="I157" i="4" s="1"/>
  <c r="K157" i="4" s="1"/>
  <c r="H156" i="4"/>
  <c r="I156" i="4" s="1"/>
  <c r="K156" i="4" s="1"/>
  <c r="H155" i="4"/>
  <c r="I155" i="4" s="1"/>
  <c r="K155" i="4" s="1"/>
  <c r="H154" i="4"/>
  <c r="I154" i="4" s="1"/>
  <c r="K154" i="4" s="1"/>
  <c r="H153" i="4"/>
  <c r="I153" i="4" s="1"/>
  <c r="K153" i="4" s="1"/>
  <c r="H152" i="4"/>
  <c r="I152" i="4" s="1"/>
  <c r="K152" i="4" s="1"/>
  <c r="H151" i="4"/>
  <c r="I151" i="4" s="1"/>
  <c r="K151" i="4" s="1"/>
  <c r="H150" i="4"/>
  <c r="I150" i="4" s="1"/>
  <c r="K150" i="4" s="1"/>
  <c r="H149" i="4"/>
  <c r="I149" i="4" s="1"/>
  <c r="K149" i="4" s="1"/>
  <c r="H148" i="4"/>
  <c r="I148" i="4" s="1"/>
  <c r="K148" i="4" s="1"/>
  <c r="H147" i="4"/>
  <c r="I147" i="4" s="1"/>
  <c r="K147" i="4" s="1"/>
  <c r="H146" i="4"/>
  <c r="I146" i="4" s="1"/>
  <c r="K146" i="4" s="1"/>
  <c r="H145" i="4"/>
  <c r="I145" i="4" s="1"/>
  <c r="K145" i="4" s="1"/>
  <c r="H144" i="4"/>
  <c r="I144" i="4" s="1"/>
  <c r="K144" i="4" s="1"/>
  <c r="H143" i="4"/>
  <c r="I143" i="4" s="1"/>
  <c r="K143" i="4" s="1"/>
  <c r="H142" i="4"/>
  <c r="I142" i="4" s="1"/>
  <c r="K142" i="4" s="1"/>
  <c r="H141" i="4"/>
  <c r="I141" i="4" s="1"/>
  <c r="K141" i="4" s="1"/>
  <c r="H140" i="4"/>
  <c r="I140" i="4" s="1"/>
  <c r="K140" i="4" s="1"/>
  <c r="H139" i="4"/>
  <c r="I139" i="4" s="1"/>
  <c r="K139" i="4" s="1"/>
  <c r="H138" i="4"/>
  <c r="I138" i="4" s="1"/>
  <c r="K138" i="4" s="1"/>
  <c r="H137" i="4"/>
  <c r="I137" i="4" s="1"/>
  <c r="K137" i="4" s="1"/>
  <c r="H136" i="4"/>
  <c r="I136" i="4" s="1"/>
  <c r="K136" i="4" s="1"/>
  <c r="I135" i="4"/>
  <c r="K135" i="4" s="1"/>
  <c r="H134" i="4"/>
  <c r="I134" i="4" s="1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H109" i="4"/>
  <c r="I109" i="4" s="1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H100" i="4"/>
  <c r="I100" i="4" s="1"/>
  <c r="K100" i="4" s="1"/>
  <c r="H99" i="4"/>
  <c r="I99" i="4" s="1"/>
  <c r="K99" i="4" s="1"/>
  <c r="H98" i="4"/>
  <c r="I98" i="4" s="1"/>
  <c r="K98" i="4" s="1"/>
  <c r="H97" i="4"/>
  <c r="I97" i="4" s="1"/>
  <c r="K97" i="4" s="1"/>
  <c r="H96" i="4"/>
  <c r="I96" i="4" s="1"/>
  <c r="K96" i="4" s="1"/>
  <c r="H95" i="4"/>
  <c r="I95" i="4" s="1"/>
  <c r="K95" i="4" s="1"/>
  <c r="H94" i="4"/>
  <c r="I94" i="4" s="1"/>
  <c r="K94" i="4" s="1"/>
  <c r="H93" i="4"/>
  <c r="I93" i="4" s="1"/>
  <c r="K93" i="4" s="1"/>
  <c r="H92" i="4"/>
  <c r="I92" i="4" s="1"/>
  <c r="K92" i="4" s="1"/>
  <c r="H91" i="4"/>
  <c r="I91" i="4" s="1"/>
  <c r="K91" i="4" s="1"/>
  <c r="H90" i="4"/>
  <c r="I90" i="4" s="1"/>
  <c r="K90" i="4" s="1"/>
  <c r="H89" i="4"/>
  <c r="I89" i="4" s="1"/>
  <c r="K89" i="4" s="1"/>
  <c r="H88" i="4"/>
  <c r="I88" i="4" s="1"/>
  <c r="K88" i="4" s="1"/>
  <c r="H87" i="4"/>
  <c r="I87" i="4" s="1"/>
  <c r="K87" i="4" s="1"/>
  <c r="H86" i="4"/>
  <c r="I86" i="4" s="1"/>
  <c r="K86" i="4" s="1"/>
  <c r="H85" i="4"/>
  <c r="I85" i="4" s="1"/>
  <c r="K85" i="4" s="1"/>
  <c r="H84" i="4"/>
  <c r="I84" i="4" s="1"/>
  <c r="K84" i="4" s="1"/>
  <c r="H83" i="4"/>
  <c r="I83" i="4" s="1"/>
  <c r="K83" i="4" s="1"/>
  <c r="H82" i="4"/>
  <c r="I82" i="4" s="1"/>
  <c r="K82" i="4" s="1"/>
  <c r="H81" i="4"/>
  <c r="I81" i="4" s="1"/>
  <c r="K81" i="4" s="1"/>
  <c r="H80" i="4"/>
  <c r="I80" i="4" s="1"/>
  <c r="K80" i="4" s="1"/>
  <c r="H79" i="4"/>
  <c r="I79" i="4" s="1"/>
  <c r="K79" i="4" s="1"/>
  <c r="H78" i="4"/>
  <c r="I78" i="4" s="1"/>
  <c r="K78" i="4" s="1"/>
  <c r="H77" i="4"/>
  <c r="I77" i="4" s="1"/>
  <c r="K77" i="4" s="1"/>
  <c r="H76" i="4"/>
  <c r="I76" i="4" s="1"/>
  <c r="K76" i="4" s="1"/>
  <c r="H75" i="4"/>
  <c r="I75" i="4" s="1"/>
  <c r="K75" i="4" s="1"/>
  <c r="H74" i="4"/>
  <c r="I74" i="4" s="1"/>
  <c r="K74" i="4" s="1"/>
  <c r="H73" i="4"/>
  <c r="I73" i="4" s="1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K66" i="4"/>
  <c r="I66" i="4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H46" i="4"/>
  <c r="I46" i="4" s="1"/>
  <c r="K46" i="4" s="1"/>
  <c r="H45" i="4"/>
  <c r="I45" i="4" s="1"/>
  <c r="K45" i="4" s="1"/>
  <c r="H44" i="4"/>
  <c r="I44" i="4" s="1"/>
  <c r="K44" i="4" s="1"/>
  <c r="H43" i="4"/>
  <c r="I43" i="4" s="1"/>
  <c r="K43" i="4" s="1"/>
  <c r="H42" i="4"/>
  <c r="I42" i="4" s="1"/>
  <c r="K42" i="4" s="1"/>
  <c r="H41" i="4"/>
  <c r="I41" i="4" s="1"/>
  <c r="K41" i="4" s="1"/>
  <c r="H40" i="4"/>
  <c r="I40" i="4" s="1"/>
  <c r="K40" i="4" s="1"/>
  <c r="H39" i="4"/>
  <c r="I39" i="4" s="1"/>
  <c r="K39" i="4" s="1"/>
  <c r="H38" i="4"/>
  <c r="I38" i="4" s="1"/>
  <c r="K38" i="4" s="1"/>
  <c r="H37" i="4"/>
  <c r="I37" i="4" s="1"/>
  <c r="K37" i="4" s="1"/>
  <c r="H36" i="4"/>
  <c r="I36" i="4" s="1"/>
  <c r="K36" i="4" s="1"/>
  <c r="H35" i="4"/>
  <c r="I35" i="4" s="1"/>
  <c r="K35" i="4" s="1"/>
  <c r="H34" i="4"/>
  <c r="I34" i="4" s="1"/>
  <c r="K34" i="4" s="1"/>
  <c r="H33" i="4"/>
  <c r="I33" i="4" s="1"/>
  <c r="K33" i="4" s="1"/>
  <c r="H32" i="4"/>
  <c r="I32" i="4" s="1"/>
  <c r="K32" i="4" s="1"/>
  <c r="H31" i="4"/>
  <c r="I31" i="4" s="1"/>
  <c r="K31" i="4" s="1"/>
  <c r="H30" i="4"/>
  <c r="I30" i="4" s="1"/>
  <c r="K30" i="4" s="1"/>
  <c r="H29" i="4"/>
  <c r="I29" i="4" s="1"/>
  <c r="K29" i="4" s="1"/>
  <c r="H28" i="4"/>
  <c r="I28" i="4" s="1"/>
  <c r="K28" i="4" s="1"/>
  <c r="H27" i="4"/>
  <c r="I27" i="4" s="1"/>
  <c r="K27" i="4" s="1"/>
  <c r="H26" i="4"/>
  <c r="I26" i="4" s="1"/>
  <c r="K26" i="4" s="1"/>
  <c r="H25" i="4"/>
  <c r="I25" i="4" s="1"/>
  <c r="K25" i="4" s="1"/>
  <c r="H24" i="4"/>
  <c r="I24" i="4" s="1"/>
  <c r="K24" i="4" s="1"/>
  <c r="H23" i="4"/>
  <c r="I23" i="4" s="1"/>
  <c r="K23" i="4" s="1"/>
  <c r="H22" i="4"/>
  <c r="I22" i="4" s="1"/>
  <c r="K22" i="4" s="1"/>
  <c r="H21" i="4"/>
  <c r="I21" i="4" s="1"/>
  <c r="K21" i="4" s="1"/>
  <c r="H20" i="4"/>
  <c r="I20" i="4" s="1"/>
  <c r="K20" i="4" s="1"/>
  <c r="H19" i="4"/>
  <c r="I19" i="4" s="1"/>
  <c r="K19" i="4" s="1"/>
  <c r="H18" i="4"/>
  <c r="I18" i="4" s="1"/>
  <c r="K18" i="4" s="1"/>
  <c r="H17" i="4"/>
  <c r="I17" i="4" s="1"/>
  <c r="K17" i="4" s="1"/>
  <c r="H16" i="4"/>
  <c r="I16" i="4" s="1"/>
  <c r="K16" i="4" s="1"/>
  <c r="H15" i="4"/>
  <c r="I15" i="4" s="1"/>
  <c r="K15" i="4" s="1"/>
  <c r="H14" i="4"/>
  <c r="I14" i="4" s="1"/>
  <c r="K14" i="4" s="1"/>
  <c r="H13" i="4"/>
  <c r="I13" i="4" s="1"/>
  <c r="K13" i="4" s="1"/>
  <c r="H12" i="4"/>
  <c r="I12" i="4" s="1"/>
  <c r="K12" i="4" s="1"/>
  <c r="H11" i="4"/>
  <c r="I11" i="4" s="1"/>
  <c r="K11" i="4" s="1"/>
  <c r="H10" i="4"/>
  <c r="I10" i="4" s="1"/>
  <c r="K10" i="4" s="1"/>
  <c r="H9" i="4"/>
  <c r="I9" i="4" s="1"/>
  <c r="K9" i="4" s="1"/>
  <c r="H8" i="4"/>
  <c r="I8" i="4" s="1"/>
  <c r="K8" i="4" s="1"/>
  <c r="H7" i="4"/>
  <c r="I7" i="4" s="1"/>
  <c r="K7" i="4" s="1"/>
  <c r="H6" i="4"/>
  <c r="I6" i="4" s="1"/>
  <c r="K6" i="4" s="1"/>
  <c r="H5" i="4"/>
  <c r="I5" i="4" s="1"/>
  <c r="K5" i="4" s="1"/>
  <c r="O740" i="2"/>
  <c r="P740" i="2" s="1"/>
  <c r="U740" i="2" s="1"/>
  <c r="O739" i="2"/>
  <c r="P739" i="2" s="1"/>
  <c r="O738" i="2"/>
  <c r="P738" i="2" s="1"/>
  <c r="U738" i="2" s="1"/>
  <c r="O737" i="2"/>
  <c r="O736" i="2"/>
  <c r="P736" i="2" s="1"/>
  <c r="U736" i="2" s="1"/>
  <c r="O735" i="2"/>
  <c r="P735" i="2" s="1"/>
  <c r="O734" i="2"/>
  <c r="P734" i="2" s="1"/>
  <c r="O733" i="2"/>
  <c r="P733" i="2" s="1"/>
  <c r="O732" i="2"/>
  <c r="P732" i="2" s="1"/>
  <c r="U732" i="2" s="1"/>
  <c r="O731" i="2"/>
  <c r="P731" i="2" s="1"/>
  <c r="O730" i="2"/>
  <c r="P730" i="2" s="1"/>
  <c r="O729" i="2"/>
  <c r="P729" i="2" s="1"/>
  <c r="O728" i="2"/>
  <c r="P728" i="2" s="1"/>
  <c r="U728" i="2" s="1"/>
  <c r="O727" i="2"/>
  <c r="P727" i="2" s="1"/>
  <c r="O726" i="2"/>
  <c r="P726" i="2" s="1"/>
  <c r="O725" i="2"/>
  <c r="P725" i="2" s="1"/>
  <c r="O724" i="2"/>
  <c r="P724" i="2" s="1"/>
  <c r="U724" i="2" s="1"/>
  <c r="O723" i="2"/>
  <c r="P723" i="2" s="1"/>
  <c r="O722" i="2"/>
  <c r="P722" i="2" s="1"/>
  <c r="O721" i="2"/>
  <c r="O720" i="2"/>
  <c r="P720" i="2" s="1"/>
  <c r="O719" i="2"/>
  <c r="P719" i="2" s="1"/>
  <c r="O718" i="2"/>
  <c r="P718" i="2" s="1"/>
  <c r="O717" i="2"/>
  <c r="P717" i="2" s="1"/>
  <c r="O711" i="2"/>
  <c r="P711" i="2" s="1"/>
  <c r="O710" i="2"/>
  <c r="P710" i="2" s="1"/>
  <c r="O709" i="2"/>
  <c r="P709" i="2" s="1"/>
  <c r="O708" i="2"/>
  <c r="P708" i="2" s="1"/>
  <c r="O707" i="2"/>
  <c r="P707" i="2" s="1"/>
  <c r="U707" i="2" s="1"/>
  <c r="O706" i="2"/>
  <c r="P706" i="2" s="1"/>
  <c r="O705" i="2"/>
  <c r="P705" i="2" s="1"/>
  <c r="O704" i="2"/>
  <c r="P704" i="2" s="1"/>
  <c r="O703" i="2"/>
  <c r="P703" i="2" s="1"/>
  <c r="U703" i="2" s="1"/>
  <c r="O702" i="2"/>
  <c r="P702" i="2" s="1"/>
  <c r="O701" i="2"/>
  <c r="P701" i="2" s="1"/>
  <c r="O700" i="2"/>
  <c r="O699" i="2"/>
  <c r="P699" i="2" s="1"/>
  <c r="U699" i="2" s="1"/>
  <c r="O698" i="2"/>
  <c r="P698" i="2" s="1"/>
  <c r="O697" i="2"/>
  <c r="P697" i="2" s="1"/>
  <c r="O696" i="2"/>
  <c r="P696" i="2" s="1"/>
  <c r="O695" i="2"/>
  <c r="P695" i="2" s="1"/>
  <c r="U695" i="2" s="1"/>
  <c r="O694" i="2"/>
  <c r="P694" i="2" s="1"/>
  <c r="O693" i="2"/>
  <c r="P693" i="2" s="1"/>
  <c r="O692" i="2"/>
  <c r="P692" i="2" s="1"/>
  <c r="O691" i="2"/>
  <c r="P691" i="2" s="1"/>
  <c r="U691" i="2" s="1"/>
  <c r="O690" i="2"/>
  <c r="P690" i="2" s="1"/>
  <c r="O689" i="2"/>
  <c r="P689" i="2" s="1"/>
  <c r="O688" i="2"/>
  <c r="P688" i="2" s="1"/>
  <c r="O687" i="2"/>
  <c r="P687" i="2" s="1"/>
  <c r="O686" i="2"/>
  <c r="P686" i="2" s="1"/>
  <c r="O685" i="2"/>
  <c r="P685" i="2" s="1"/>
  <c r="O684" i="2"/>
  <c r="O683" i="2"/>
  <c r="P683" i="2" s="1"/>
  <c r="U683" i="2" s="1"/>
  <c r="O682" i="2"/>
  <c r="P682" i="2" s="1"/>
  <c r="O681" i="2"/>
  <c r="P681" i="2" s="1"/>
  <c r="O680" i="2"/>
  <c r="P680" i="2" s="1"/>
  <c r="O679" i="2"/>
  <c r="P679" i="2" s="1"/>
  <c r="U679" i="2" s="1"/>
  <c r="O678" i="2"/>
  <c r="P678" i="2" s="1"/>
  <c r="O677" i="2"/>
  <c r="P677" i="2" s="1"/>
  <c r="O676" i="2"/>
  <c r="P676" i="2" s="1"/>
  <c r="O675" i="2"/>
  <c r="P675" i="2" s="1"/>
  <c r="U675" i="2" s="1"/>
  <c r="O674" i="2"/>
  <c r="P674" i="2" s="1"/>
  <c r="O673" i="2"/>
  <c r="P673" i="2" s="1"/>
  <c r="O672" i="2"/>
  <c r="P672" i="2" s="1"/>
  <c r="O671" i="2"/>
  <c r="P671" i="2" s="1"/>
  <c r="U671" i="2" s="1"/>
  <c r="O670" i="2"/>
  <c r="P670" i="2" s="1"/>
  <c r="O669" i="2"/>
  <c r="P669" i="2" s="1"/>
  <c r="O668" i="2"/>
  <c r="O667" i="2"/>
  <c r="P667" i="2" s="1"/>
  <c r="U667" i="2" s="1"/>
  <c r="O666" i="2"/>
  <c r="P666" i="2" s="1"/>
  <c r="O665" i="2"/>
  <c r="P665" i="2" s="1"/>
  <c r="O664" i="2"/>
  <c r="P664" i="2" s="1"/>
  <c r="O657" i="2"/>
  <c r="P657" i="2" s="1"/>
  <c r="U657" i="2" s="1"/>
  <c r="O656" i="2"/>
  <c r="P656" i="2" s="1"/>
  <c r="O651" i="2"/>
  <c r="P651" i="2" s="1"/>
  <c r="O650" i="2"/>
  <c r="P650" i="2" s="1"/>
  <c r="O648" i="2"/>
  <c r="P648" i="2" s="1"/>
  <c r="U648" i="2" s="1"/>
  <c r="O647" i="2"/>
  <c r="P647" i="2" s="1"/>
  <c r="O646" i="2"/>
  <c r="P646" i="2" s="1"/>
  <c r="O645" i="2"/>
  <c r="P645" i="2" s="1"/>
  <c r="O610" i="2"/>
  <c r="P610" i="2" s="1"/>
  <c r="U610" i="2" s="1"/>
  <c r="O609" i="2"/>
  <c r="P609" i="2" s="1"/>
  <c r="O608" i="2"/>
  <c r="P608" i="2" s="1"/>
  <c r="O607" i="2"/>
  <c r="P607" i="2" s="1"/>
  <c r="U607" i="2" s="1"/>
  <c r="O606" i="2"/>
  <c r="P606" i="2" s="1"/>
  <c r="U606" i="2" s="1"/>
  <c r="O605" i="2"/>
  <c r="P605" i="2" s="1"/>
  <c r="O604" i="2"/>
  <c r="P604" i="2" s="1"/>
  <c r="O603" i="2"/>
  <c r="P603" i="2" s="1"/>
  <c r="U603" i="2" s="1"/>
  <c r="O602" i="2"/>
  <c r="P602" i="2" s="1"/>
  <c r="U602" i="2" s="1"/>
  <c r="O601" i="2"/>
  <c r="P601" i="2" s="1"/>
  <c r="O600" i="2"/>
  <c r="P600" i="2" s="1"/>
  <c r="O599" i="2"/>
  <c r="P599" i="2" s="1"/>
  <c r="U599" i="2" s="1"/>
  <c r="O598" i="2"/>
  <c r="P598" i="2" s="1"/>
  <c r="U598" i="2" s="1"/>
  <c r="O597" i="2"/>
  <c r="P597" i="2" s="1"/>
  <c r="O596" i="2"/>
  <c r="P596" i="2" s="1"/>
  <c r="O595" i="2"/>
  <c r="P595" i="2" s="1"/>
  <c r="U595" i="2" s="1"/>
  <c r="O594" i="2"/>
  <c r="P594" i="2" s="1"/>
  <c r="U594" i="2" s="1"/>
  <c r="O593" i="2"/>
  <c r="P593" i="2" s="1"/>
  <c r="O592" i="2"/>
  <c r="P592" i="2" s="1"/>
  <c r="O591" i="2"/>
  <c r="P591" i="2" s="1"/>
  <c r="O590" i="2"/>
  <c r="P590" i="2" s="1"/>
  <c r="U590" i="2" s="1"/>
  <c r="O589" i="2"/>
  <c r="P589" i="2" s="1"/>
  <c r="O588" i="2"/>
  <c r="P588" i="2" s="1"/>
  <c r="O587" i="2"/>
  <c r="P587" i="2" s="1"/>
  <c r="O586" i="2"/>
  <c r="P586" i="2" s="1"/>
  <c r="U586" i="2" s="1"/>
  <c r="O585" i="2"/>
  <c r="P585" i="2" s="1"/>
  <c r="O584" i="2"/>
  <c r="P584" i="2" s="1"/>
  <c r="O583" i="2"/>
  <c r="P583" i="2" s="1"/>
  <c r="O582" i="2"/>
  <c r="P582" i="2" s="1"/>
  <c r="U582" i="2" s="1"/>
  <c r="O581" i="2"/>
  <c r="P581" i="2" s="1"/>
  <c r="O580" i="2"/>
  <c r="P580" i="2" s="1"/>
  <c r="O579" i="2"/>
  <c r="P579" i="2" s="1"/>
  <c r="U579" i="2" s="1"/>
  <c r="O578" i="2"/>
  <c r="P578" i="2" s="1"/>
  <c r="U578" i="2" s="1"/>
  <c r="O577" i="2"/>
  <c r="P577" i="2" s="1"/>
  <c r="O576" i="2"/>
  <c r="P576" i="2" s="1"/>
  <c r="O575" i="2"/>
  <c r="P575" i="2" s="1"/>
  <c r="U575" i="2" s="1"/>
  <c r="O574" i="2"/>
  <c r="P574" i="2" s="1"/>
  <c r="U574" i="2" s="1"/>
  <c r="O573" i="2"/>
  <c r="P573" i="2" s="1"/>
  <c r="O572" i="2"/>
  <c r="P572" i="2" s="1"/>
  <c r="O571" i="2"/>
  <c r="P571" i="2" s="1"/>
  <c r="U571" i="2" s="1"/>
  <c r="O570" i="2"/>
  <c r="P570" i="2" s="1"/>
  <c r="U570" i="2" s="1"/>
  <c r="O569" i="2"/>
  <c r="P569" i="2" s="1"/>
  <c r="O568" i="2"/>
  <c r="P568" i="2" s="1"/>
  <c r="O567" i="2"/>
  <c r="P567" i="2" s="1"/>
  <c r="U567" i="2" s="1"/>
  <c r="O566" i="2"/>
  <c r="P566" i="2" s="1"/>
  <c r="U566" i="2" s="1"/>
  <c r="O565" i="2"/>
  <c r="P565" i="2" s="1"/>
  <c r="O564" i="2"/>
  <c r="P564" i="2" s="1"/>
  <c r="O563" i="2"/>
  <c r="P563" i="2" s="1"/>
  <c r="U563" i="2" s="1"/>
  <c r="O562" i="2"/>
  <c r="P562" i="2" s="1"/>
  <c r="U562" i="2" s="1"/>
  <c r="O561" i="2"/>
  <c r="P561" i="2" s="1"/>
  <c r="O560" i="2"/>
  <c r="P560" i="2" s="1"/>
  <c r="O559" i="2"/>
  <c r="P559" i="2" s="1"/>
  <c r="U559" i="2" s="1"/>
  <c r="O558" i="2"/>
  <c r="P558" i="2" s="1"/>
  <c r="U558" i="2" s="1"/>
  <c r="O556" i="2"/>
  <c r="P556" i="2" s="1"/>
  <c r="O551" i="2"/>
  <c r="P551" i="2" s="1"/>
  <c r="O550" i="2"/>
  <c r="P550" i="2" s="1"/>
  <c r="O549" i="2"/>
  <c r="P549" i="2" s="1"/>
  <c r="U549" i="2" s="1"/>
  <c r="O548" i="2"/>
  <c r="P548" i="2" s="1"/>
  <c r="O547" i="2"/>
  <c r="P547" i="2" s="1"/>
  <c r="O546" i="2"/>
  <c r="P546" i="2" s="1"/>
  <c r="O545" i="2"/>
  <c r="P545" i="2" s="1"/>
  <c r="U545" i="2" s="1"/>
  <c r="O544" i="2"/>
  <c r="P544" i="2" s="1"/>
  <c r="O543" i="2"/>
  <c r="P543" i="2" s="1"/>
  <c r="O542" i="2"/>
  <c r="P542" i="2" s="1"/>
  <c r="O541" i="2"/>
  <c r="P541" i="2" s="1"/>
  <c r="U541" i="2" s="1"/>
  <c r="O540" i="2"/>
  <c r="P540" i="2" s="1"/>
  <c r="O539" i="2"/>
  <c r="P539" i="2" s="1"/>
  <c r="O538" i="2"/>
  <c r="O537" i="2"/>
  <c r="P537" i="2" s="1"/>
  <c r="U537" i="2" s="1"/>
  <c r="O536" i="2"/>
  <c r="P536" i="2" s="1"/>
  <c r="O535" i="2"/>
  <c r="P535" i="2" s="1"/>
  <c r="O534" i="2"/>
  <c r="P534" i="2" s="1"/>
  <c r="O533" i="2"/>
  <c r="P533" i="2" s="1"/>
  <c r="U533" i="2" s="1"/>
  <c r="O532" i="2"/>
  <c r="P532" i="2" s="1"/>
  <c r="O531" i="2"/>
  <c r="P531" i="2" s="1"/>
  <c r="O530" i="2"/>
  <c r="P530" i="2" s="1"/>
  <c r="O529" i="2"/>
  <c r="P529" i="2" s="1"/>
  <c r="U529" i="2" s="1"/>
  <c r="O528" i="2"/>
  <c r="P528" i="2" s="1"/>
  <c r="O527" i="2"/>
  <c r="P527" i="2" s="1"/>
  <c r="O526" i="2"/>
  <c r="P526" i="2" s="1"/>
  <c r="O525" i="2"/>
  <c r="P525" i="2" s="1"/>
  <c r="U525" i="2" s="1"/>
  <c r="O524" i="2"/>
  <c r="P524" i="2" s="1"/>
  <c r="O519" i="2"/>
  <c r="P519" i="2" s="1"/>
  <c r="O518" i="2"/>
  <c r="O517" i="2"/>
  <c r="P517" i="2" s="1"/>
  <c r="U517" i="2" s="1"/>
  <c r="O516" i="2"/>
  <c r="P516" i="2" s="1"/>
  <c r="O515" i="2"/>
  <c r="P515" i="2" s="1"/>
  <c r="U515" i="2" s="1"/>
  <c r="O514" i="2"/>
  <c r="P514" i="2" s="1"/>
  <c r="O513" i="2"/>
  <c r="P513" i="2" s="1"/>
  <c r="U513" i="2" s="1"/>
  <c r="O512" i="2"/>
  <c r="P512" i="2" s="1"/>
  <c r="O511" i="2"/>
  <c r="P511" i="2" s="1"/>
  <c r="U511" i="2" s="1"/>
  <c r="O510" i="2"/>
  <c r="P510" i="2" s="1"/>
  <c r="O509" i="2"/>
  <c r="P509" i="2" s="1"/>
  <c r="U509" i="2" s="1"/>
  <c r="O508" i="2"/>
  <c r="P508" i="2" s="1"/>
  <c r="O507" i="2"/>
  <c r="P507" i="2" s="1"/>
  <c r="U507" i="2" s="1"/>
  <c r="O506" i="2"/>
  <c r="P506" i="2" s="1"/>
  <c r="O505" i="2"/>
  <c r="P505" i="2" s="1"/>
  <c r="U505" i="2" s="1"/>
  <c r="O504" i="2"/>
  <c r="P504" i="2" s="1"/>
  <c r="O503" i="2"/>
  <c r="P503" i="2" s="1"/>
  <c r="O502" i="2"/>
  <c r="O501" i="2"/>
  <c r="P501" i="2" s="1"/>
  <c r="U501" i="2" s="1"/>
  <c r="O500" i="2"/>
  <c r="P500" i="2" s="1"/>
  <c r="O499" i="2"/>
  <c r="P499" i="2" s="1"/>
  <c r="U499" i="2" s="1"/>
  <c r="O498" i="2"/>
  <c r="P498" i="2" s="1"/>
  <c r="O497" i="2"/>
  <c r="P497" i="2" s="1"/>
  <c r="U497" i="2" s="1"/>
  <c r="O496" i="2"/>
  <c r="P496" i="2" s="1"/>
  <c r="O495" i="2"/>
  <c r="P495" i="2" s="1"/>
  <c r="U495" i="2" s="1"/>
  <c r="O494" i="2"/>
  <c r="P494" i="2" s="1"/>
  <c r="O493" i="2"/>
  <c r="P493" i="2" s="1"/>
  <c r="U493" i="2" s="1"/>
  <c r="O492" i="2"/>
  <c r="P492" i="2" s="1"/>
  <c r="O491" i="2"/>
  <c r="P491" i="2" s="1"/>
  <c r="U491" i="2" s="1"/>
  <c r="O490" i="2"/>
  <c r="P490" i="2" s="1"/>
  <c r="O482" i="2"/>
  <c r="P482" i="2" s="1"/>
  <c r="U482" i="2" s="1"/>
  <c r="O481" i="2"/>
  <c r="P481" i="2" s="1"/>
  <c r="O480" i="2"/>
  <c r="P480" i="2" s="1"/>
  <c r="U480" i="2" s="1"/>
  <c r="O438" i="2"/>
  <c r="O437" i="2"/>
  <c r="P437" i="2" s="1"/>
  <c r="U437" i="2" s="1"/>
  <c r="O436" i="2"/>
  <c r="P436" i="2" s="1"/>
  <c r="O435" i="2"/>
  <c r="P435" i="2" s="1"/>
  <c r="U435" i="2" s="1"/>
  <c r="O421" i="2"/>
  <c r="P421" i="2" s="1"/>
  <c r="O420" i="2"/>
  <c r="P420" i="2" s="1"/>
  <c r="U420" i="2" s="1"/>
  <c r="O362" i="2"/>
  <c r="P362" i="2" s="1"/>
  <c r="O361" i="2"/>
  <c r="P361" i="2" s="1"/>
  <c r="U361" i="2" s="1"/>
  <c r="O360" i="2"/>
  <c r="P360" i="2" s="1"/>
  <c r="O359" i="2"/>
  <c r="P359" i="2" s="1"/>
  <c r="U359" i="2" s="1"/>
  <c r="O358" i="2"/>
  <c r="P358" i="2" s="1"/>
  <c r="O357" i="2"/>
  <c r="P357" i="2" s="1"/>
  <c r="U357" i="2" s="1"/>
  <c r="O356" i="2"/>
  <c r="P356" i="2" s="1"/>
  <c r="O355" i="2"/>
  <c r="P355" i="2" s="1"/>
  <c r="U355" i="2" s="1"/>
  <c r="O354" i="2"/>
  <c r="P354" i="2" s="1"/>
  <c r="O353" i="2"/>
  <c r="P353" i="2" s="1"/>
  <c r="O352" i="2"/>
  <c r="O351" i="2"/>
  <c r="P351" i="2" s="1"/>
  <c r="U351" i="2" s="1"/>
  <c r="O350" i="2"/>
  <c r="P350" i="2" s="1"/>
  <c r="O349" i="2"/>
  <c r="P349" i="2" s="1"/>
  <c r="U349" i="2" s="1"/>
  <c r="O348" i="2"/>
  <c r="P348" i="2" s="1"/>
  <c r="O347" i="2"/>
  <c r="P347" i="2" s="1"/>
  <c r="U347" i="2" s="1"/>
  <c r="O346" i="2"/>
  <c r="P346" i="2" s="1"/>
  <c r="O345" i="2"/>
  <c r="P345" i="2" s="1"/>
  <c r="U345" i="2" s="1"/>
  <c r="O344" i="2"/>
  <c r="P344" i="2" s="1"/>
  <c r="O343" i="2"/>
  <c r="P343" i="2" s="1"/>
  <c r="U343" i="2" s="1"/>
  <c r="O342" i="2"/>
  <c r="P342" i="2" s="1"/>
  <c r="O339" i="2"/>
  <c r="P339" i="2" s="1"/>
  <c r="U339" i="2" s="1"/>
  <c r="O313" i="2"/>
  <c r="P313" i="2" s="1"/>
  <c r="O294" i="2"/>
  <c r="P294" i="2" s="1"/>
  <c r="U294" i="2" s="1"/>
  <c r="O293" i="2"/>
  <c r="P293" i="2" s="1"/>
  <c r="O292" i="2"/>
  <c r="P292" i="2" s="1"/>
  <c r="O291" i="2"/>
  <c r="P291" i="2" s="1"/>
  <c r="U291" i="2" s="1"/>
  <c r="O290" i="2"/>
  <c r="P290" i="2" s="1"/>
  <c r="U290" i="2" s="1"/>
  <c r="O289" i="2"/>
  <c r="P289" i="2" s="1"/>
  <c r="O288" i="2"/>
  <c r="P288" i="2" s="1"/>
  <c r="U288" i="2" s="1"/>
  <c r="O287" i="2"/>
  <c r="P287" i="2" s="1"/>
  <c r="U287" i="2" s="1"/>
  <c r="O286" i="2"/>
  <c r="P286" i="2" s="1"/>
  <c r="U286" i="2" s="1"/>
  <c r="O285" i="2"/>
  <c r="P285" i="2" s="1"/>
  <c r="O284" i="2"/>
  <c r="P284" i="2" s="1"/>
  <c r="U284" i="2" s="1"/>
  <c r="O283" i="2"/>
  <c r="P283" i="2" s="1"/>
  <c r="U283" i="2" s="1"/>
  <c r="O282" i="2"/>
  <c r="P282" i="2" s="1"/>
  <c r="U282" i="2" s="1"/>
  <c r="O281" i="2"/>
  <c r="P281" i="2" s="1"/>
  <c r="O280" i="2"/>
  <c r="P280" i="2" s="1"/>
  <c r="U280" i="2" s="1"/>
  <c r="O279" i="2"/>
  <c r="P279" i="2" s="1"/>
  <c r="U279" i="2" s="1"/>
  <c r="O278" i="2"/>
  <c r="P278" i="2" s="1"/>
  <c r="U278" i="2" s="1"/>
  <c r="O277" i="2"/>
  <c r="P277" i="2" s="1"/>
  <c r="O274" i="2"/>
  <c r="P274" i="2" s="1"/>
  <c r="U274" i="2" s="1"/>
  <c r="O273" i="2"/>
  <c r="O272" i="2"/>
  <c r="P272" i="2" s="1"/>
  <c r="U272" i="2" s="1"/>
  <c r="O271" i="2"/>
  <c r="P271" i="2" s="1"/>
  <c r="O270" i="2"/>
  <c r="P270" i="2" s="1"/>
  <c r="U270" i="2" s="1"/>
  <c r="O269" i="2"/>
  <c r="P269" i="2" s="1"/>
  <c r="O268" i="2"/>
  <c r="P268" i="2" s="1"/>
  <c r="U268" i="2" s="1"/>
  <c r="O267" i="2"/>
  <c r="P267" i="2" s="1"/>
  <c r="O266" i="2"/>
  <c r="P266" i="2" s="1"/>
  <c r="U266" i="2" s="1"/>
  <c r="O265" i="2"/>
  <c r="P265" i="2" s="1"/>
  <c r="O264" i="2"/>
  <c r="P264" i="2" s="1"/>
  <c r="U264" i="2" s="1"/>
  <c r="O263" i="2"/>
  <c r="P263" i="2" s="1"/>
  <c r="O262" i="2"/>
  <c r="P262" i="2" s="1"/>
  <c r="U262" i="2" s="1"/>
  <c r="O261" i="2"/>
  <c r="P261" i="2" s="1"/>
  <c r="O260" i="2"/>
  <c r="P260" i="2" s="1"/>
  <c r="U260" i="2" s="1"/>
  <c r="O259" i="2"/>
  <c r="P259" i="2" s="1"/>
  <c r="O258" i="2"/>
  <c r="P258" i="2" s="1"/>
  <c r="U258" i="2" s="1"/>
  <c r="O257" i="2"/>
  <c r="O256" i="2"/>
  <c r="P256" i="2" s="1"/>
  <c r="O255" i="2"/>
  <c r="P255" i="2" s="1"/>
  <c r="O254" i="2"/>
  <c r="P254" i="2" s="1"/>
  <c r="U254" i="2" s="1"/>
  <c r="O253" i="2"/>
  <c r="P253" i="2" s="1"/>
  <c r="O252" i="2"/>
  <c r="P252" i="2" s="1"/>
  <c r="U252" i="2" s="1"/>
  <c r="O249" i="2"/>
  <c r="P249" i="2" s="1"/>
  <c r="O242" i="2"/>
  <c r="P242" i="2" s="1"/>
  <c r="O241" i="2"/>
  <c r="P241" i="2" s="1"/>
  <c r="O240" i="2"/>
  <c r="P240" i="2" s="1"/>
  <c r="U240" i="2" s="1"/>
  <c r="O239" i="2"/>
  <c r="P239" i="2" s="1"/>
  <c r="O238" i="2"/>
  <c r="P238" i="2" s="1"/>
  <c r="U238" i="2" s="1"/>
  <c r="O237" i="2"/>
  <c r="P237" i="2" s="1"/>
  <c r="O236" i="2"/>
  <c r="P236" i="2" s="1"/>
  <c r="U236" i="2" s="1"/>
  <c r="O235" i="2"/>
  <c r="P235" i="2" s="1"/>
  <c r="O234" i="2"/>
  <c r="P234" i="2" s="1"/>
  <c r="U234" i="2" s="1"/>
  <c r="O233" i="2"/>
  <c r="O232" i="2"/>
  <c r="P232" i="2" s="1"/>
  <c r="U232" i="2" s="1"/>
  <c r="O231" i="2"/>
  <c r="P231" i="2" s="1"/>
  <c r="O230" i="2"/>
  <c r="P230" i="2" s="1"/>
  <c r="U230" i="2" s="1"/>
  <c r="O229" i="2"/>
  <c r="P229" i="2" s="1"/>
  <c r="O228" i="2"/>
  <c r="P228" i="2" s="1"/>
  <c r="U228" i="2" s="1"/>
  <c r="O227" i="2"/>
  <c r="P227" i="2" s="1"/>
  <c r="O226" i="2"/>
  <c r="P226" i="2" s="1"/>
  <c r="U226" i="2" s="1"/>
  <c r="O221" i="2"/>
  <c r="P221" i="2" s="1"/>
  <c r="O220" i="2"/>
  <c r="P220" i="2" s="1"/>
  <c r="U220" i="2" s="1"/>
  <c r="O219" i="2"/>
  <c r="P219" i="2" s="1"/>
  <c r="O218" i="2"/>
  <c r="P218" i="2" s="1"/>
  <c r="U218" i="2" s="1"/>
  <c r="O217" i="2"/>
  <c r="P217" i="2" s="1"/>
  <c r="O216" i="2"/>
  <c r="P216" i="2" s="1"/>
  <c r="U216" i="2" s="1"/>
  <c r="O215" i="2"/>
  <c r="P215" i="2" s="1"/>
  <c r="O214" i="2"/>
  <c r="P214" i="2" s="1"/>
  <c r="U214" i="2" s="1"/>
  <c r="O213" i="2"/>
  <c r="O212" i="2"/>
  <c r="P212" i="2" s="1"/>
  <c r="U212" i="2" s="1"/>
  <c r="O211" i="2"/>
  <c r="P211" i="2" s="1"/>
  <c r="O210" i="2"/>
  <c r="P210" i="2" s="1"/>
  <c r="U210" i="2" s="1"/>
  <c r="O209" i="2"/>
  <c r="P209" i="2" s="1"/>
  <c r="O208" i="2"/>
  <c r="P208" i="2" s="1"/>
  <c r="U208" i="2" s="1"/>
  <c r="O207" i="2"/>
  <c r="P207" i="2" s="1"/>
  <c r="O206" i="2"/>
  <c r="P206" i="2" s="1"/>
  <c r="O205" i="2"/>
  <c r="P205" i="2" s="1"/>
  <c r="O204" i="2"/>
  <c r="P204" i="2" s="1"/>
  <c r="U204" i="2" s="1"/>
  <c r="O203" i="2"/>
  <c r="P203" i="2" s="1"/>
  <c r="O202" i="2"/>
  <c r="P202" i="2" s="1"/>
  <c r="U202" i="2" s="1"/>
  <c r="O201" i="2"/>
  <c r="P201" i="2" s="1"/>
  <c r="O200" i="2"/>
  <c r="P200" i="2" s="1"/>
  <c r="U200" i="2" s="1"/>
  <c r="O199" i="2"/>
  <c r="P199" i="2" s="1"/>
  <c r="O198" i="2"/>
  <c r="P198" i="2" s="1"/>
  <c r="U198" i="2" s="1"/>
  <c r="O197" i="2"/>
  <c r="O196" i="2"/>
  <c r="P196" i="2" s="1"/>
  <c r="U196" i="2" s="1"/>
  <c r="O195" i="2"/>
  <c r="P195" i="2" s="1"/>
  <c r="O194" i="2"/>
  <c r="P194" i="2" s="1"/>
  <c r="U194" i="2" s="1"/>
  <c r="O193" i="2"/>
  <c r="P193" i="2" s="1"/>
  <c r="O192" i="2"/>
  <c r="P192" i="2" s="1"/>
  <c r="U192" i="2" s="1"/>
  <c r="O191" i="2"/>
  <c r="P191" i="2" s="1"/>
  <c r="O184" i="2"/>
  <c r="P184" i="2" s="1"/>
  <c r="U184" i="2" s="1"/>
  <c r="O183" i="2"/>
  <c r="P183" i="2" s="1"/>
  <c r="U183" i="2" s="1"/>
  <c r="O182" i="2"/>
  <c r="P182" i="2" s="1"/>
  <c r="U182" i="2" s="1"/>
  <c r="O181" i="2"/>
  <c r="P181" i="2" s="1"/>
  <c r="O180" i="2"/>
  <c r="P180" i="2" s="1"/>
  <c r="U180" i="2" s="1"/>
  <c r="O179" i="2"/>
  <c r="P179" i="2" s="1"/>
  <c r="U179" i="2" s="1"/>
  <c r="O178" i="2"/>
  <c r="P178" i="2" s="1"/>
  <c r="U178" i="2" s="1"/>
  <c r="O177" i="2"/>
  <c r="P177" i="2" s="1"/>
  <c r="O168" i="2"/>
  <c r="P168" i="2" s="1"/>
  <c r="U168" i="2" s="1"/>
  <c r="O167" i="2"/>
  <c r="P167" i="2" s="1"/>
  <c r="U167" i="2" s="1"/>
  <c r="O164" i="2"/>
  <c r="P164" i="2" s="1"/>
  <c r="U164" i="2" s="1"/>
  <c r="O163" i="2"/>
  <c r="P163" i="2" s="1"/>
  <c r="O162" i="2"/>
  <c r="P162" i="2" s="1"/>
  <c r="U162" i="2" s="1"/>
  <c r="O161" i="2"/>
  <c r="P161" i="2" s="1"/>
  <c r="O160" i="2"/>
  <c r="P160" i="2" s="1"/>
  <c r="U160" i="2" s="1"/>
  <c r="O159" i="2"/>
  <c r="P159" i="2" s="1"/>
  <c r="O158" i="2"/>
  <c r="P158" i="2" s="1"/>
  <c r="O157" i="2"/>
  <c r="P157" i="2" s="1"/>
  <c r="O156" i="2"/>
  <c r="P156" i="2" s="1"/>
  <c r="U156" i="2" s="1"/>
  <c r="O155" i="2"/>
  <c r="P155" i="2" s="1"/>
  <c r="O154" i="2"/>
  <c r="P154" i="2" s="1"/>
  <c r="U154" i="2" s="1"/>
  <c r="O153" i="2"/>
  <c r="P153" i="2" s="1"/>
  <c r="O152" i="2"/>
  <c r="P152" i="2" s="1"/>
  <c r="U152" i="2" s="1"/>
  <c r="O151" i="2"/>
  <c r="P151" i="2" s="1"/>
  <c r="O150" i="2"/>
  <c r="P150" i="2" s="1"/>
  <c r="U150" i="2" s="1"/>
  <c r="O149" i="2"/>
  <c r="O148" i="2"/>
  <c r="P148" i="2" s="1"/>
  <c r="U148" i="2" s="1"/>
  <c r="O147" i="2"/>
  <c r="P147" i="2" s="1"/>
  <c r="O146" i="2"/>
  <c r="P146" i="2" s="1"/>
  <c r="U146" i="2" s="1"/>
  <c r="O145" i="2"/>
  <c r="O144" i="2"/>
  <c r="P144" i="2" s="1"/>
  <c r="U144" i="2" s="1"/>
  <c r="O143" i="2"/>
  <c r="P143" i="2" s="1"/>
  <c r="U143" i="2" s="1"/>
  <c r="O142" i="2"/>
  <c r="P142" i="2" s="1"/>
  <c r="U142" i="2" s="1"/>
  <c r="O141" i="2"/>
  <c r="O140" i="2"/>
  <c r="P140" i="2" s="1"/>
  <c r="U140" i="2" s="1"/>
  <c r="O139" i="2"/>
  <c r="P139" i="2" s="1"/>
  <c r="U139" i="2" s="1"/>
  <c r="O138" i="2"/>
  <c r="P138" i="2" s="1"/>
  <c r="U138" i="2" s="1"/>
  <c r="O137" i="2"/>
  <c r="O136" i="2"/>
  <c r="P136" i="2" s="1"/>
  <c r="U136" i="2" s="1"/>
  <c r="O135" i="2"/>
  <c r="P135" i="2" s="1"/>
  <c r="U135" i="2" s="1"/>
  <c r="O134" i="2"/>
  <c r="P134" i="2" s="1"/>
  <c r="U134" i="2" s="1"/>
  <c r="O133" i="2"/>
  <c r="O131" i="2"/>
  <c r="P131" i="2" s="1"/>
  <c r="U131" i="2" s="1"/>
  <c r="O106" i="2"/>
  <c r="P106" i="2" s="1"/>
  <c r="U106" i="2" s="1"/>
  <c r="O97" i="2"/>
  <c r="P97" i="2" s="1"/>
  <c r="U97" i="2" s="1"/>
  <c r="O96" i="2"/>
  <c r="O95" i="2"/>
  <c r="P95" i="2" s="1"/>
  <c r="U95" i="2" s="1"/>
  <c r="O94" i="2"/>
  <c r="P94" i="2" s="1"/>
  <c r="U94" i="2" s="1"/>
  <c r="O93" i="2"/>
  <c r="P93" i="2" s="1"/>
  <c r="U93" i="2" s="1"/>
  <c r="O92" i="2"/>
  <c r="O91" i="2"/>
  <c r="P91" i="2" s="1"/>
  <c r="U91" i="2" s="1"/>
  <c r="O90" i="2"/>
  <c r="P90" i="2" s="1"/>
  <c r="U90" i="2" s="1"/>
  <c r="O89" i="2"/>
  <c r="P89" i="2" s="1"/>
  <c r="U89" i="2" s="1"/>
  <c r="O88" i="2"/>
  <c r="O87" i="2"/>
  <c r="P87" i="2" s="1"/>
  <c r="U87" i="2" s="1"/>
  <c r="O86" i="2"/>
  <c r="P86" i="2" s="1"/>
  <c r="U86" i="2" s="1"/>
  <c r="O85" i="2"/>
  <c r="P85" i="2" s="1"/>
  <c r="U85" i="2" s="1"/>
  <c r="O84" i="2"/>
  <c r="O83" i="2"/>
  <c r="P83" i="2" s="1"/>
  <c r="U83" i="2" s="1"/>
  <c r="O82" i="2"/>
  <c r="P82" i="2" s="1"/>
  <c r="U82" i="2" s="1"/>
  <c r="O81" i="2"/>
  <c r="P81" i="2" s="1"/>
  <c r="U81" i="2" s="1"/>
  <c r="O80" i="2"/>
  <c r="O79" i="2"/>
  <c r="P79" i="2" s="1"/>
  <c r="U79" i="2" s="1"/>
  <c r="O78" i="2"/>
  <c r="P78" i="2" s="1"/>
  <c r="O77" i="2"/>
  <c r="P77" i="2" s="1"/>
  <c r="U77" i="2" s="1"/>
  <c r="O76" i="2"/>
  <c r="O75" i="2"/>
  <c r="P75" i="2" s="1"/>
  <c r="U75" i="2" s="1"/>
  <c r="O74" i="2"/>
  <c r="P74" i="2" s="1"/>
  <c r="U74" i="2" s="1"/>
  <c r="O73" i="2"/>
  <c r="P73" i="2" s="1"/>
  <c r="U73" i="2" s="1"/>
  <c r="O72" i="2"/>
  <c r="O71" i="2"/>
  <c r="P71" i="2" s="1"/>
  <c r="U71" i="2" s="1"/>
  <c r="O70" i="2"/>
  <c r="P70" i="2" s="1"/>
  <c r="U70" i="2" s="1"/>
  <c r="O43" i="2"/>
  <c r="P43" i="2" s="1"/>
  <c r="U43" i="2" s="1"/>
  <c r="O42" i="2"/>
  <c r="O41" i="2"/>
  <c r="P41" i="2" s="1"/>
  <c r="U41" i="2" s="1"/>
  <c r="O40" i="2"/>
  <c r="P40" i="2" s="1"/>
  <c r="U40" i="2" s="1"/>
  <c r="O39" i="2"/>
  <c r="P39" i="2" s="1"/>
  <c r="U39" i="2" s="1"/>
  <c r="O38" i="2"/>
  <c r="O37" i="2"/>
  <c r="P37" i="2" s="1"/>
  <c r="U37" i="2" s="1"/>
  <c r="O36" i="2"/>
  <c r="P36" i="2" s="1"/>
  <c r="U36" i="2" s="1"/>
  <c r="O35" i="2"/>
  <c r="P35" i="2" s="1"/>
  <c r="U35" i="2" s="1"/>
  <c r="O34" i="2"/>
  <c r="O33" i="2"/>
  <c r="P33" i="2" s="1"/>
  <c r="U33" i="2" s="1"/>
  <c r="O32" i="2"/>
  <c r="P32" i="2" s="1"/>
  <c r="U32" i="2" s="1"/>
  <c r="O31" i="2"/>
  <c r="P31" i="2" s="1"/>
  <c r="U31" i="2" s="1"/>
  <c r="O30" i="2"/>
  <c r="O29" i="2"/>
  <c r="P29" i="2" s="1"/>
  <c r="U29" i="2" s="1"/>
  <c r="O28" i="2"/>
  <c r="P28" i="2" s="1"/>
  <c r="U28" i="2" s="1"/>
  <c r="O27" i="2"/>
  <c r="P27" i="2" s="1"/>
  <c r="U27" i="2" s="1"/>
  <c r="O26" i="2"/>
  <c r="O25" i="2"/>
  <c r="P25" i="2" s="1"/>
  <c r="U25" i="2" s="1"/>
  <c r="O24" i="2"/>
  <c r="P24" i="2" s="1"/>
  <c r="U24" i="2" s="1"/>
  <c r="O23" i="2"/>
  <c r="P23" i="2" s="1"/>
  <c r="U23" i="2" s="1"/>
  <c r="O22" i="2"/>
  <c r="O21" i="2"/>
  <c r="P21" i="2" s="1"/>
  <c r="U21" i="2" s="1"/>
  <c r="O20" i="2"/>
  <c r="P20" i="2" s="1"/>
  <c r="U20" i="2" s="1"/>
  <c r="O19" i="2"/>
  <c r="P19" i="2" s="1"/>
  <c r="U19" i="2" s="1"/>
  <c r="O18" i="2"/>
  <c r="O17" i="2"/>
  <c r="P17" i="2" s="1"/>
  <c r="U17" i="2" s="1"/>
  <c r="O16" i="2"/>
  <c r="P16" i="2" s="1"/>
  <c r="U16" i="2" s="1"/>
  <c r="O15" i="2"/>
  <c r="P15" i="2" s="1"/>
  <c r="U15" i="2" s="1"/>
  <c r="O14" i="2"/>
  <c r="O13" i="2"/>
  <c r="P13" i="2" s="1"/>
  <c r="U13" i="2" s="1"/>
  <c r="O12" i="2"/>
  <c r="P12" i="2" s="1"/>
  <c r="U12" i="2" s="1"/>
  <c r="O11" i="2"/>
  <c r="P11" i="2" s="1"/>
  <c r="U11" i="2" s="1"/>
  <c r="O10" i="2"/>
  <c r="O9" i="2"/>
  <c r="P9" i="2" s="1"/>
  <c r="U9" i="2" s="1"/>
  <c r="O8" i="2"/>
  <c r="P8" i="2" s="1"/>
  <c r="U8" i="2" s="1"/>
  <c r="O7" i="2"/>
  <c r="P7" i="2" s="1"/>
  <c r="U7" i="2" s="1"/>
  <c r="O6" i="2"/>
  <c r="O5" i="2"/>
  <c r="P5" i="2" s="1"/>
  <c r="U5" i="2" s="1"/>
  <c r="O4" i="2"/>
  <c r="P4" i="2" s="1"/>
  <c r="U4" i="2" s="1"/>
  <c r="O3" i="2"/>
  <c r="P3" i="2" s="1"/>
  <c r="U3" i="2" s="1"/>
  <c r="O2" i="2"/>
  <c r="P2" i="2" s="1"/>
  <c r="U350" i="2"/>
  <c r="U362" i="2"/>
  <c r="U674" i="2"/>
  <c r="U690" i="2"/>
  <c r="U706" i="2"/>
  <c r="U722" i="2"/>
  <c r="P44" i="2"/>
  <c r="U44" i="2" s="1"/>
  <c r="P45" i="2"/>
  <c r="U45" i="2" s="1"/>
  <c r="P46" i="2"/>
  <c r="U46" i="2" s="1"/>
  <c r="P47" i="2"/>
  <c r="U47" i="2" s="1"/>
  <c r="P48" i="2"/>
  <c r="U48" i="2" s="1"/>
  <c r="P49" i="2"/>
  <c r="U49" i="2" s="1"/>
  <c r="P50" i="2"/>
  <c r="U50" i="2" s="1"/>
  <c r="P51" i="2"/>
  <c r="U51" i="2" s="1"/>
  <c r="P52" i="2"/>
  <c r="U52" i="2" s="1"/>
  <c r="P53" i="2"/>
  <c r="U53" i="2" s="1"/>
  <c r="P54" i="2"/>
  <c r="U54" i="2" s="1"/>
  <c r="P55" i="2"/>
  <c r="U55" i="2" s="1"/>
  <c r="P56" i="2"/>
  <c r="U56" i="2" s="1"/>
  <c r="P57" i="2"/>
  <c r="U57" i="2" s="1"/>
  <c r="P58" i="2"/>
  <c r="U58" i="2" s="1"/>
  <c r="P59" i="2"/>
  <c r="U59" i="2" s="1"/>
  <c r="P60" i="2"/>
  <c r="U60" i="2" s="1"/>
  <c r="P61" i="2"/>
  <c r="U61" i="2" s="1"/>
  <c r="P62" i="2"/>
  <c r="U62" i="2" s="1"/>
  <c r="P63" i="2"/>
  <c r="U63" i="2" s="1"/>
  <c r="P64" i="2"/>
  <c r="U64" i="2" s="1"/>
  <c r="P65" i="2"/>
  <c r="U65" i="2" s="1"/>
  <c r="P66" i="2"/>
  <c r="U66" i="2" s="1"/>
  <c r="P67" i="2"/>
  <c r="U67" i="2" s="1"/>
  <c r="P68" i="2"/>
  <c r="U68" i="2" s="1"/>
  <c r="P69" i="2"/>
  <c r="U69" i="2" s="1"/>
  <c r="U78" i="2"/>
  <c r="P98" i="2"/>
  <c r="U98" i="2" s="1"/>
  <c r="P99" i="2"/>
  <c r="U99" i="2" s="1"/>
  <c r="P100" i="2"/>
  <c r="U100" i="2" s="1"/>
  <c r="P101" i="2"/>
  <c r="U101" i="2" s="1"/>
  <c r="P102" i="2"/>
  <c r="U102" i="2" s="1"/>
  <c r="P103" i="2"/>
  <c r="U103" i="2" s="1"/>
  <c r="P104" i="2"/>
  <c r="U104" i="2" s="1"/>
  <c r="P105" i="2"/>
  <c r="U105" i="2" s="1"/>
  <c r="P107" i="2"/>
  <c r="U107" i="2" s="1"/>
  <c r="P108" i="2"/>
  <c r="U108" i="2" s="1"/>
  <c r="P109" i="2"/>
  <c r="U109" i="2" s="1"/>
  <c r="P110" i="2"/>
  <c r="U110" i="2" s="1"/>
  <c r="P111" i="2"/>
  <c r="U111" i="2" s="1"/>
  <c r="P112" i="2"/>
  <c r="U112" i="2" s="1"/>
  <c r="P113" i="2"/>
  <c r="U113" i="2" s="1"/>
  <c r="P114" i="2"/>
  <c r="U114" i="2" s="1"/>
  <c r="P115" i="2"/>
  <c r="U115" i="2" s="1"/>
  <c r="P116" i="2"/>
  <c r="U116" i="2" s="1"/>
  <c r="P117" i="2"/>
  <c r="U117" i="2" s="1"/>
  <c r="P118" i="2"/>
  <c r="U118" i="2" s="1"/>
  <c r="P119" i="2"/>
  <c r="U119" i="2" s="1"/>
  <c r="P120" i="2"/>
  <c r="U120" i="2" s="1"/>
  <c r="P121" i="2"/>
  <c r="U121" i="2" s="1"/>
  <c r="P122" i="2"/>
  <c r="U122" i="2" s="1"/>
  <c r="P123" i="2"/>
  <c r="U123" i="2" s="1"/>
  <c r="P124" i="2"/>
  <c r="U124" i="2" s="1"/>
  <c r="P125" i="2"/>
  <c r="U125" i="2" s="1"/>
  <c r="P126" i="2"/>
  <c r="U126" i="2" s="1"/>
  <c r="P127" i="2"/>
  <c r="U127" i="2" s="1"/>
  <c r="P128" i="2"/>
  <c r="U128" i="2" s="1"/>
  <c r="P129" i="2"/>
  <c r="U129" i="2" s="1"/>
  <c r="P130" i="2"/>
  <c r="U130" i="2" s="1"/>
  <c r="P132" i="2"/>
  <c r="U132" i="2" s="1"/>
  <c r="U147" i="2"/>
  <c r="U151" i="2"/>
  <c r="U155" i="2"/>
  <c r="U158" i="2"/>
  <c r="U159" i="2"/>
  <c r="U163" i="2"/>
  <c r="P165" i="2"/>
  <c r="U165" i="2" s="1"/>
  <c r="P166" i="2"/>
  <c r="U166" i="2" s="1"/>
  <c r="P169" i="2"/>
  <c r="U169" i="2" s="1"/>
  <c r="P170" i="2"/>
  <c r="U170" i="2" s="1"/>
  <c r="P171" i="2"/>
  <c r="U171" i="2" s="1"/>
  <c r="P172" i="2"/>
  <c r="U172" i="2" s="1"/>
  <c r="P173" i="2"/>
  <c r="U173" i="2" s="1"/>
  <c r="P174" i="2"/>
  <c r="U174" i="2" s="1"/>
  <c r="P175" i="2"/>
  <c r="U175" i="2" s="1"/>
  <c r="P176" i="2"/>
  <c r="U176" i="2" s="1"/>
  <c r="U177" i="2"/>
  <c r="U181" i="2"/>
  <c r="P185" i="2"/>
  <c r="U185" i="2" s="1"/>
  <c r="P186" i="2"/>
  <c r="U186" i="2" s="1"/>
  <c r="P187" i="2"/>
  <c r="U187" i="2" s="1"/>
  <c r="P188" i="2"/>
  <c r="U188" i="2" s="1"/>
  <c r="P189" i="2"/>
  <c r="U189" i="2" s="1"/>
  <c r="P190" i="2"/>
  <c r="U190" i="2" s="1"/>
  <c r="U191" i="2"/>
  <c r="U195" i="2"/>
  <c r="U199" i="2"/>
  <c r="U203" i="2"/>
  <c r="U206" i="2"/>
  <c r="U207" i="2"/>
  <c r="U211" i="2"/>
  <c r="U215" i="2"/>
  <c r="U219" i="2"/>
  <c r="P222" i="2"/>
  <c r="U222" i="2" s="1"/>
  <c r="P223" i="2"/>
  <c r="U223" i="2" s="1"/>
  <c r="P224" i="2"/>
  <c r="U224" i="2" s="1"/>
  <c r="P225" i="2"/>
  <c r="U225" i="2" s="1"/>
  <c r="U227" i="2"/>
  <c r="U231" i="2"/>
  <c r="U235" i="2"/>
  <c r="U239" i="2"/>
  <c r="U242" i="2"/>
  <c r="P243" i="2"/>
  <c r="U243" i="2" s="1"/>
  <c r="P244" i="2"/>
  <c r="U244" i="2" s="1"/>
  <c r="P245" i="2"/>
  <c r="U245" i="2" s="1"/>
  <c r="P246" i="2"/>
  <c r="U246" i="2" s="1"/>
  <c r="P247" i="2"/>
  <c r="U247" i="2" s="1"/>
  <c r="P248" i="2"/>
  <c r="U248" i="2" s="1"/>
  <c r="U249" i="2"/>
  <c r="P250" i="2"/>
  <c r="U250" i="2" s="1"/>
  <c r="P251" i="2"/>
  <c r="U251" i="2" s="1"/>
  <c r="U255" i="2"/>
  <c r="U256" i="2"/>
  <c r="U259" i="2"/>
  <c r="U263" i="2"/>
  <c r="U267" i="2"/>
  <c r="U271" i="2"/>
  <c r="P275" i="2"/>
  <c r="U275" i="2" s="1"/>
  <c r="P276" i="2"/>
  <c r="U276" i="2" s="1"/>
  <c r="U277" i="2"/>
  <c r="U281" i="2"/>
  <c r="U285" i="2"/>
  <c r="U289" i="2"/>
  <c r="U292" i="2"/>
  <c r="U293" i="2"/>
  <c r="P295" i="2"/>
  <c r="U295" i="2" s="1"/>
  <c r="P296" i="2"/>
  <c r="U296" i="2" s="1"/>
  <c r="P297" i="2"/>
  <c r="U297" i="2" s="1"/>
  <c r="P298" i="2"/>
  <c r="U298" i="2" s="1"/>
  <c r="P299" i="2"/>
  <c r="U299" i="2" s="1"/>
  <c r="P300" i="2"/>
  <c r="U300" i="2" s="1"/>
  <c r="P301" i="2"/>
  <c r="U301" i="2" s="1"/>
  <c r="P302" i="2"/>
  <c r="U302" i="2" s="1"/>
  <c r="P303" i="2"/>
  <c r="U303" i="2" s="1"/>
  <c r="P304" i="2"/>
  <c r="U304" i="2" s="1"/>
  <c r="P305" i="2"/>
  <c r="U305" i="2" s="1"/>
  <c r="P306" i="2"/>
  <c r="U306" i="2" s="1"/>
  <c r="P307" i="2"/>
  <c r="U307" i="2" s="1"/>
  <c r="P308" i="2"/>
  <c r="U308" i="2" s="1"/>
  <c r="P309" i="2"/>
  <c r="U309" i="2" s="1"/>
  <c r="P310" i="2"/>
  <c r="U310" i="2" s="1"/>
  <c r="P311" i="2"/>
  <c r="U311" i="2" s="1"/>
  <c r="P312" i="2"/>
  <c r="U312" i="2" s="1"/>
  <c r="P314" i="2"/>
  <c r="U314" i="2" s="1"/>
  <c r="P315" i="2"/>
  <c r="U315" i="2" s="1"/>
  <c r="P316" i="2"/>
  <c r="U316" i="2" s="1"/>
  <c r="P317" i="2"/>
  <c r="U317" i="2" s="1"/>
  <c r="P318" i="2"/>
  <c r="U318" i="2" s="1"/>
  <c r="P319" i="2"/>
  <c r="U319" i="2" s="1"/>
  <c r="P320" i="2"/>
  <c r="U320" i="2" s="1"/>
  <c r="P321" i="2"/>
  <c r="U321" i="2" s="1"/>
  <c r="P322" i="2"/>
  <c r="U322" i="2" s="1"/>
  <c r="P323" i="2"/>
  <c r="U323" i="2" s="1"/>
  <c r="P324" i="2"/>
  <c r="U324" i="2" s="1"/>
  <c r="P325" i="2"/>
  <c r="U325" i="2" s="1"/>
  <c r="P326" i="2"/>
  <c r="U326" i="2" s="1"/>
  <c r="P327" i="2"/>
  <c r="U327" i="2" s="1"/>
  <c r="P328" i="2"/>
  <c r="U328" i="2" s="1"/>
  <c r="P329" i="2"/>
  <c r="U329" i="2" s="1"/>
  <c r="P330" i="2"/>
  <c r="U330" i="2" s="1"/>
  <c r="P331" i="2"/>
  <c r="U331" i="2" s="1"/>
  <c r="P332" i="2"/>
  <c r="U332" i="2" s="1"/>
  <c r="P333" i="2"/>
  <c r="U333" i="2" s="1"/>
  <c r="P334" i="2"/>
  <c r="U334" i="2" s="1"/>
  <c r="P335" i="2"/>
  <c r="U335" i="2" s="1"/>
  <c r="P336" i="2"/>
  <c r="U336" i="2" s="1"/>
  <c r="P337" i="2"/>
  <c r="U337" i="2" s="1"/>
  <c r="P338" i="2"/>
  <c r="U338" i="2" s="1"/>
  <c r="P340" i="2"/>
  <c r="U340" i="2" s="1"/>
  <c r="P341" i="2"/>
  <c r="U341" i="2" s="1"/>
  <c r="U342" i="2"/>
  <c r="U346" i="2"/>
  <c r="U353" i="2"/>
  <c r="U354" i="2"/>
  <c r="U358" i="2"/>
  <c r="P363" i="2"/>
  <c r="U363" i="2" s="1"/>
  <c r="P364" i="2"/>
  <c r="U364" i="2" s="1"/>
  <c r="P365" i="2"/>
  <c r="U365" i="2" s="1"/>
  <c r="P366" i="2"/>
  <c r="U366" i="2" s="1"/>
  <c r="P367" i="2"/>
  <c r="U367" i="2" s="1"/>
  <c r="P368" i="2"/>
  <c r="U368" i="2" s="1"/>
  <c r="P369" i="2"/>
  <c r="U369" i="2" s="1"/>
  <c r="P370" i="2"/>
  <c r="U370" i="2" s="1"/>
  <c r="P371" i="2"/>
  <c r="U371" i="2" s="1"/>
  <c r="P372" i="2"/>
  <c r="U372" i="2" s="1"/>
  <c r="P373" i="2"/>
  <c r="U373" i="2" s="1"/>
  <c r="P374" i="2"/>
  <c r="U374" i="2" s="1"/>
  <c r="P375" i="2"/>
  <c r="U375" i="2" s="1"/>
  <c r="P376" i="2"/>
  <c r="U376" i="2" s="1"/>
  <c r="P377" i="2"/>
  <c r="U377" i="2" s="1"/>
  <c r="P378" i="2"/>
  <c r="U378" i="2" s="1"/>
  <c r="P379" i="2"/>
  <c r="U379" i="2" s="1"/>
  <c r="P380" i="2"/>
  <c r="U380" i="2" s="1"/>
  <c r="P381" i="2"/>
  <c r="U381" i="2" s="1"/>
  <c r="P382" i="2"/>
  <c r="U382" i="2" s="1"/>
  <c r="P383" i="2"/>
  <c r="U383" i="2" s="1"/>
  <c r="P384" i="2"/>
  <c r="U384" i="2" s="1"/>
  <c r="P385" i="2"/>
  <c r="U385" i="2" s="1"/>
  <c r="P386" i="2"/>
  <c r="U386" i="2" s="1"/>
  <c r="P387" i="2"/>
  <c r="U387" i="2" s="1"/>
  <c r="P388" i="2"/>
  <c r="U388" i="2" s="1"/>
  <c r="P389" i="2"/>
  <c r="U389" i="2" s="1"/>
  <c r="P390" i="2"/>
  <c r="U390" i="2" s="1"/>
  <c r="P391" i="2"/>
  <c r="U391" i="2" s="1"/>
  <c r="P392" i="2"/>
  <c r="U392" i="2" s="1"/>
  <c r="P393" i="2"/>
  <c r="U393" i="2" s="1"/>
  <c r="P394" i="2"/>
  <c r="U394" i="2" s="1"/>
  <c r="P395" i="2"/>
  <c r="U395" i="2" s="1"/>
  <c r="P396" i="2"/>
  <c r="U396" i="2" s="1"/>
  <c r="P397" i="2"/>
  <c r="U397" i="2" s="1"/>
  <c r="P398" i="2"/>
  <c r="U398" i="2" s="1"/>
  <c r="P399" i="2"/>
  <c r="U399" i="2" s="1"/>
  <c r="P400" i="2"/>
  <c r="U400" i="2" s="1"/>
  <c r="P401" i="2"/>
  <c r="U401" i="2" s="1"/>
  <c r="P402" i="2"/>
  <c r="U402" i="2" s="1"/>
  <c r="P403" i="2"/>
  <c r="U403" i="2" s="1"/>
  <c r="P404" i="2"/>
  <c r="U404" i="2" s="1"/>
  <c r="P405" i="2"/>
  <c r="U405" i="2" s="1"/>
  <c r="P406" i="2"/>
  <c r="U406" i="2" s="1"/>
  <c r="P407" i="2"/>
  <c r="U407" i="2" s="1"/>
  <c r="P408" i="2"/>
  <c r="U408" i="2" s="1"/>
  <c r="P409" i="2"/>
  <c r="U409" i="2" s="1"/>
  <c r="P410" i="2"/>
  <c r="U410" i="2" s="1"/>
  <c r="P411" i="2"/>
  <c r="U411" i="2" s="1"/>
  <c r="P412" i="2"/>
  <c r="U412" i="2" s="1"/>
  <c r="P413" i="2"/>
  <c r="U413" i="2" s="1"/>
  <c r="P414" i="2"/>
  <c r="U414" i="2" s="1"/>
  <c r="P415" i="2"/>
  <c r="U415" i="2" s="1"/>
  <c r="P416" i="2"/>
  <c r="U416" i="2" s="1"/>
  <c r="P417" i="2"/>
  <c r="U417" i="2" s="1"/>
  <c r="P418" i="2"/>
  <c r="U418" i="2" s="1"/>
  <c r="P419" i="2"/>
  <c r="U419" i="2" s="1"/>
  <c r="P422" i="2"/>
  <c r="U422" i="2" s="1"/>
  <c r="P423" i="2"/>
  <c r="U423" i="2" s="1"/>
  <c r="P424" i="2"/>
  <c r="U424" i="2" s="1"/>
  <c r="P425" i="2"/>
  <c r="U425" i="2" s="1"/>
  <c r="P426" i="2"/>
  <c r="U426" i="2" s="1"/>
  <c r="P427" i="2"/>
  <c r="U427" i="2" s="1"/>
  <c r="P428" i="2"/>
  <c r="U428" i="2" s="1"/>
  <c r="P429" i="2"/>
  <c r="U429" i="2" s="1"/>
  <c r="P430" i="2"/>
  <c r="U430" i="2" s="1"/>
  <c r="P431" i="2"/>
  <c r="U431" i="2" s="1"/>
  <c r="P432" i="2"/>
  <c r="U432" i="2" s="1"/>
  <c r="P433" i="2"/>
  <c r="U433" i="2" s="1"/>
  <c r="P434" i="2"/>
  <c r="U434" i="2" s="1"/>
  <c r="U436" i="2"/>
  <c r="P439" i="2"/>
  <c r="U439" i="2" s="1"/>
  <c r="P440" i="2"/>
  <c r="U440" i="2" s="1"/>
  <c r="P441" i="2"/>
  <c r="U441" i="2" s="1"/>
  <c r="P442" i="2"/>
  <c r="U442" i="2" s="1"/>
  <c r="P443" i="2"/>
  <c r="U443" i="2" s="1"/>
  <c r="P444" i="2"/>
  <c r="U444" i="2" s="1"/>
  <c r="P445" i="2"/>
  <c r="U445" i="2" s="1"/>
  <c r="P446" i="2"/>
  <c r="U446" i="2" s="1"/>
  <c r="P447" i="2"/>
  <c r="U447" i="2" s="1"/>
  <c r="P448" i="2"/>
  <c r="U448" i="2" s="1"/>
  <c r="P449" i="2"/>
  <c r="U449" i="2" s="1"/>
  <c r="P450" i="2"/>
  <c r="U450" i="2" s="1"/>
  <c r="P451" i="2"/>
  <c r="U451" i="2" s="1"/>
  <c r="P452" i="2"/>
  <c r="U452" i="2" s="1"/>
  <c r="P453" i="2"/>
  <c r="U453" i="2" s="1"/>
  <c r="P454" i="2"/>
  <c r="U454" i="2" s="1"/>
  <c r="P455" i="2"/>
  <c r="U455" i="2" s="1"/>
  <c r="P456" i="2"/>
  <c r="U456" i="2" s="1"/>
  <c r="P457" i="2"/>
  <c r="U457" i="2" s="1"/>
  <c r="P458" i="2"/>
  <c r="U458" i="2" s="1"/>
  <c r="P459" i="2"/>
  <c r="U459" i="2" s="1"/>
  <c r="P460" i="2"/>
  <c r="U460" i="2" s="1"/>
  <c r="P461" i="2"/>
  <c r="U461" i="2" s="1"/>
  <c r="P462" i="2"/>
  <c r="U462" i="2" s="1"/>
  <c r="P463" i="2"/>
  <c r="U463" i="2" s="1"/>
  <c r="P464" i="2"/>
  <c r="U464" i="2" s="1"/>
  <c r="P465" i="2"/>
  <c r="U465" i="2" s="1"/>
  <c r="P466" i="2"/>
  <c r="U466" i="2" s="1"/>
  <c r="P467" i="2"/>
  <c r="U467" i="2" s="1"/>
  <c r="P468" i="2"/>
  <c r="U468" i="2" s="1"/>
  <c r="P469" i="2"/>
  <c r="U469" i="2" s="1"/>
  <c r="P470" i="2"/>
  <c r="U470" i="2" s="1"/>
  <c r="P471" i="2"/>
  <c r="U471" i="2" s="1"/>
  <c r="P472" i="2"/>
  <c r="U472" i="2" s="1"/>
  <c r="P473" i="2"/>
  <c r="U473" i="2" s="1"/>
  <c r="P474" i="2"/>
  <c r="U474" i="2" s="1"/>
  <c r="P475" i="2"/>
  <c r="U475" i="2" s="1"/>
  <c r="P476" i="2"/>
  <c r="U476" i="2" s="1"/>
  <c r="P477" i="2"/>
  <c r="U477" i="2" s="1"/>
  <c r="P478" i="2"/>
  <c r="U478" i="2" s="1"/>
  <c r="P479" i="2"/>
  <c r="U479" i="2" s="1"/>
  <c r="U481" i="2"/>
  <c r="P483" i="2"/>
  <c r="U483" i="2" s="1"/>
  <c r="P484" i="2"/>
  <c r="U484" i="2" s="1"/>
  <c r="P485" i="2"/>
  <c r="U485" i="2" s="1"/>
  <c r="P486" i="2"/>
  <c r="U486" i="2" s="1"/>
  <c r="P487" i="2"/>
  <c r="U487" i="2" s="1"/>
  <c r="P488" i="2"/>
  <c r="U488" i="2" s="1"/>
  <c r="P489" i="2"/>
  <c r="U489" i="2" s="1"/>
  <c r="U492" i="2"/>
  <c r="U496" i="2"/>
  <c r="U500" i="2"/>
  <c r="U503" i="2"/>
  <c r="U504" i="2"/>
  <c r="U508" i="2"/>
  <c r="U512" i="2"/>
  <c r="U516" i="2"/>
  <c r="U519" i="2"/>
  <c r="P520" i="2"/>
  <c r="U520" i="2" s="1"/>
  <c r="P521" i="2"/>
  <c r="U521" i="2" s="1"/>
  <c r="P522" i="2"/>
  <c r="U522" i="2" s="1"/>
  <c r="P523" i="2"/>
  <c r="U523" i="2" s="1"/>
  <c r="U524" i="2"/>
  <c r="U527" i="2"/>
  <c r="U528" i="2"/>
  <c r="U531" i="2"/>
  <c r="U532" i="2"/>
  <c r="U535" i="2"/>
  <c r="U536" i="2"/>
  <c r="U539" i="2"/>
  <c r="U540" i="2"/>
  <c r="U543" i="2"/>
  <c r="U544" i="2"/>
  <c r="U547" i="2"/>
  <c r="U548" i="2"/>
  <c r="U551" i="2"/>
  <c r="P552" i="2"/>
  <c r="U552" i="2" s="1"/>
  <c r="P553" i="2"/>
  <c r="U553" i="2" s="1"/>
  <c r="P554" i="2"/>
  <c r="U554" i="2" s="1"/>
  <c r="P555" i="2"/>
  <c r="U555" i="2" s="1"/>
  <c r="U556" i="2"/>
  <c r="P557" i="2"/>
  <c r="U557" i="2" s="1"/>
  <c r="U560" i="2"/>
  <c r="U561" i="2"/>
  <c r="U564" i="2"/>
  <c r="U565" i="2"/>
  <c r="U568" i="2"/>
  <c r="U569" i="2"/>
  <c r="U572" i="2"/>
  <c r="U573" i="2"/>
  <c r="U576" i="2"/>
  <c r="U577" i="2"/>
  <c r="U580" i="2"/>
  <c r="U581" i="2"/>
  <c r="U583" i="2"/>
  <c r="U584" i="2"/>
  <c r="U585" i="2"/>
  <c r="U587" i="2"/>
  <c r="U588" i="2"/>
  <c r="U589" i="2"/>
  <c r="U591" i="2"/>
  <c r="U592" i="2"/>
  <c r="U593" i="2"/>
  <c r="U596" i="2"/>
  <c r="U597" i="2"/>
  <c r="U600" i="2"/>
  <c r="U601" i="2"/>
  <c r="U604" i="2"/>
  <c r="U605" i="2"/>
  <c r="U608" i="2"/>
  <c r="U609" i="2"/>
  <c r="P611" i="2"/>
  <c r="U611" i="2" s="1"/>
  <c r="P612" i="2"/>
  <c r="U612" i="2" s="1"/>
  <c r="P613" i="2"/>
  <c r="U613" i="2" s="1"/>
  <c r="P614" i="2"/>
  <c r="U614" i="2" s="1"/>
  <c r="P615" i="2"/>
  <c r="U615" i="2" s="1"/>
  <c r="P616" i="2"/>
  <c r="U616" i="2" s="1"/>
  <c r="P617" i="2"/>
  <c r="U617" i="2" s="1"/>
  <c r="P618" i="2"/>
  <c r="U618" i="2" s="1"/>
  <c r="P619" i="2"/>
  <c r="U619" i="2" s="1"/>
  <c r="P620" i="2"/>
  <c r="U620" i="2" s="1"/>
  <c r="P621" i="2"/>
  <c r="U621" i="2" s="1"/>
  <c r="P622" i="2"/>
  <c r="U622" i="2" s="1"/>
  <c r="P623" i="2"/>
  <c r="U623" i="2" s="1"/>
  <c r="P624" i="2"/>
  <c r="U624" i="2" s="1"/>
  <c r="P625" i="2"/>
  <c r="U625" i="2" s="1"/>
  <c r="P626" i="2"/>
  <c r="U626" i="2" s="1"/>
  <c r="P627" i="2"/>
  <c r="U627" i="2" s="1"/>
  <c r="P628" i="2"/>
  <c r="U628" i="2" s="1"/>
  <c r="P629" i="2"/>
  <c r="U629" i="2" s="1"/>
  <c r="P630" i="2"/>
  <c r="U630" i="2" s="1"/>
  <c r="P631" i="2"/>
  <c r="U631" i="2" s="1"/>
  <c r="P632" i="2"/>
  <c r="U632" i="2" s="1"/>
  <c r="P633" i="2"/>
  <c r="U633" i="2" s="1"/>
  <c r="P634" i="2"/>
  <c r="U634" i="2" s="1"/>
  <c r="P635" i="2"/>
  <c r="U635" i="2" s="1"/>
  <c r="P636" i="2"/>
  <c r="U636" i="2" s="1"/>
  <c r="P637" i="2"/>
  <c r="U637" i="2" s="1"/>
  <c r="P638" i="2"/>
  <c r="U638" i="2" s="1"/>
  <c r="P639" i="2"/>
  <c r="U639" i="2" s="1"/>
  <c r="P640" i="2"/>
  <c r="U640" i="2" s="1"/>
  <c r="P641" i="2"/>
  <c r="U641" i="2" s="1"/>
  <c r="P642" i="2"/>
  <c r="U642" i="2" s="1"/>
  <c r="P643" i="2"/>
  <c r="U643" i="2" s="1"/>
  <c r="P644" i="2"/>
  <c r="U644" i="2" s="1"/>
  <c r="U646" i="2"/>
  <c r="U647" i="2"/>
  <c r="P649" i="2"/>
  <c r="U649" i="2" s="1"/>
  <c r="U651" i="2"/>
  <c r="P652" i="2"/>
  <c r="U652" i="2" s="1"/>
  <c r="P653" i="2"/>
  <c r="U653" i="2" s="1"/>
  <c r="P654" i="2"/>
  <c r="U654" i="2" s="1"/>
  <c r="P655" i="2"/>
  <c r="U655" i="2" s="1"/>
  <c r="U656" i="2"/>
  <c r="P658" i="2"/>
  <c r="U658" i="2" s="1"/>
  <c r="P659" i="2"/>
  <c r="U659" i="2" s="1"/>
  <c r="P660" i="2"/>
  <c r="U660" i="2" s="1"/>
  <c r="P661" i="2"/>
  <c r="U661" i="2" s="1"/>
  <c r="P662" i="2"/>
  <c r="U662" i="2" s="1"/>
  <c r="P663" i="2"/>
  <c r="U663" i="2" s="1"/>
  <c r="U665" i="2"/>
  <c r="U666" i="2"/>
  <c r="U669" i="2"/>
  <c r="U670" i="2"/>
  <c r="U673" i="2"/>
  <c r="U677" i="2"/>
  <c r="U678" i="2"/>
  <c r="U681" i="2"/>
  <c r="U682" i="2"/>
  <c r="U685" i="2"/>
  <c r="U686" i="2"/>
  <c r="U687" i="2"/>
  <c r="U689" i="2"/>
  <c r="U693" i="2"/>
  <c r="U694" i="2"/>
  <c r="U697" i="2"/>
  <c r="U698" i="2"/>
  <c r="U701" i="2"/>
  <c r="U702" i="2"/>
  <c r="U705" i="2"/>
  <c r="U709" i="2"/>
  <c r="U710" i="2"/>
  <c r="U711" i="2"/>
  <c r="P712" i="2"/>
  <c r="U712" i="2" s="1"/>
  <c r="P713" i="2"/>
  <c r="U713" i="2" s="1"/>
  <c r="P714" i="2"/>
  <c r="U714" i="2" s="1"/>
  <c r="P715" i="2"/>
  <c r="U715" i="2" s="1"/>
  <c r="P716" i="2"/>
  <c r="U716" i="2" s="1"/>
  <c r="U718" i="2"/>
  <c r="U719" i="2"/>
  <c r="U720" i="2"/>
  <c r="U723" i="2"/>
  <c r="U726" i="2"/>
  <c r="U727" i="2"/>
  <c r="U730" i="2"/>
  <c r="U731" i="2"/>
  <c r="U734" i="2"/>
  <c r="U735" i="2"/>
  <c r="U739" i="2"/>
  <c r="P741" i="2"/>
  <c r="U741" i="2" s="1"/>
  <c r="P742" i="2"/>
  <c r="U742" i="2" s="1"/>
  <c r="P743" i="2"/>
  <c r="U743" i="2" s="1"/>
  <c r="P744" i="2"/>
  <c r="U744" i="2" s="1"/>
  <c r="P745" i="2"/>
  <c r="U745" i="2" s="1"/>
  <c r="P746" i="2"/>
  <c r="U746" i="2" s="1"/>
  <c r="P747" i="2"/>
  <c r="U747" i="2" s="1"/>
  <c r="P748" i="2"/>
  <c r="U748" i="2" s="1"/>
  <c r="P749" i="2"/>
  <c r="U749" i="2" s="1"/>
  <c r="P750" i="2"/>
  <c r="U750" i="2" s="1"/>
  <c r="P751" i="2"/>
  <c r="U751" i="2" s="1"/>
  <c r="P752" i="2"/>
  <c r="U752" i="2" s="1"/>
  <c r="P753" i="2"/>
  <c r="U753" i="2" s="1"/>
  <c r="P754" i="2"/>
  <c r="U754" i="2" s="1"/>
  <c r="P755" i="2"/>
  <c r="U755" i="2" s="1"/>
  <c r="P756" i="2"/>
  <c r="U756" i="2" s="1"/>
  <c r="P757" i="2"/>
  <c r="U757" i="2" s="1"/>
  <c r="P758" i="2"/>
  <c r="U758" i="2" s="1"/>
  <c r="P759" i="2"/>
  <c r="U759" i="2" s="1"/>
  <c r="P760" i="2"/>
  <c r="U760" i="2" s="1"/>
  <c r="P761" i="2"/>
  <c r="U761" i="2" s="1"/>
  <c r="P762" i="2"/>
  <c r="U762" i="2" s="1"/>
  <c r="P763" i="2"/>
  <c r="U763" i="2" s="1"/>
  <c r="P764" i="2"/>
  <c r="U764" i="2" s="1"/>
  <c r="P765" i="2"/>
  <c r="U765" i="2" s="1"/>
  <c r="P766" i="2"/>
  <c r="U766" i="2" s="1"/>
  <c r="P767" i="2"/>
  <c r="U767" i="2" s="1"/>
  <c r="P768" i="2"/>
  <c r="U768" i="2" s="1"/>
  <c r="P769" i="2"/>
  <c r="U769" i="2" s="1"/>
  <c r="P770" i="2"/>
  <c r="U770" i="2" s="1"/>
  <c r="P771" i="2"/>
  <c r="U771" i="2" s="1"/>
  <c r="P772" i="2"/>
  <c r="U772" i="2" s="1"/>
  <c r="P773" i="2"/>
  <c r="U773" i="2" s="1"/>
  <c r="P774" i="2"/>
  <c r="U774" i="2" s="1"/>
  <c r="P775" i="2"/>
  <c r="U775" i="2" s="1"/>
  <c r="P776" i="2"/>
  <c r="U776" i="2" s="1"/>
  <c r="P777" i="2"/>
  <c r="U777" i="2" s="1"/>
  <c r="P778" i="2"/>
  <c r="U778" i="2" s="1"/>
  <c r="P779" i="2"/>
  <c r="U779" i="2" s="1"/>
  <c r="P780" i="2"/>
  <c r="U780" i="2" s="1"/>
  <c r="P781" i="2"/>
  <c r="U781" i="2" s="1"/>
  <c r="P782" i="2"/>
  <c r="U782" i="2" s="1"/>
  <c r="P783" i="2"/>
  <c r="U783" i="2" s="1"/>
  <c r="U2" i="2"/>
  <c r="T164" i="2"/>
  <c r="K167" i="4" l="1"/>
  <c r="K3" i="4"/>
  <c r="U153" i="2"/>
  <c r="U157" i="2"/>
  <c r="U161" i="2"/>
  <c r="U193" i="2"/>
  <c r="U201" i="2"/>
  <c r="U205" i="2"/>
  <c r="U209" i="2"/>
  <c r="U217" i="2"/>
  <c r="U221" i="2"/>
  <c r="U229" i="2"/>
  <c r="U237" i="2"/>
  <c r="U241" i="2"/>
  <c r="U253" i="2"/>
  <c r="U261" i="2"/>
  <c r="U265" i="2"/>
  <c r="U269" i="2"/>
  <c r="U313" i="2"/>
  <c r="U344" i="2"/>
  <c r="U348" i="2"/>
  <c r="U356" i="2"/>
  <c r="U360" i="2"/>
  <c r="U421" i="2"/>
  <c r="U490" i="2"/>
  <c r="U494" i="2"/>
  <c r="U498" i="2"/>
  <c r="U506" i="2"/>
  <c r="U510" i="2"/>
  <c r="U514" i="2"/>
  <c r="U526" i="2"/>
  <c r="U530" i="2"/>
  <c r="U534" i="2"/>
  <c r="U542" i="2"/>
  <c r="U546" i="2"/>
  <c r="U550" i="2"/>
  <c r="U645" i="2"/>
  <c r="U650" i="2"/>
  <c r="U664" i="2"/>
  <c r="U672" i="2"/>
  <c r="U676" i="2"/>
  <c r="U680" i="2"/>
  <c r="U688" i="2"/>
  <c r="U692" i="2"/>
  <c r="U696" i="2"/>
  <c r="U704" i="2"/>
  <c r="U708" i="2"/>
  <c r="U717" i="2"/>
  <c r="U725" i="2"/>
  <c r="U729" i="2"/>
  <c r="U733" i="2"/>
  <c r="P6" i="2"/>
  <c r="U6" i="2" s="1"/>
  <c r="P10" i="2"/>
  <c r="U10" i="2" s="1"/>
  <c r="P14" i="2"/>
  <c r="U14" i="2" s="1"/>
  <c r="P18" i="2"/>
  <c r="U18" i="2" s="1"/>
  <c r="P22" i="2"/>
  <c r="U22" i="2" s="1"/>
  <c r="P26" i="2"/>
  <c r="U26" i="2" s="1"/>
  <c r="P30" i="2"/>
  <c r="U30" i="2" s="1"/>
  <c r="P34" i="2"/>
  <c r="U34" i="2" s="1"/>
  <c r="P38" i="2"/>
  <c r="U38" i="2" s="1"/>
  <c r="P42" i="2"/>
  <c r="U42" i="2" s="1"/>
  <c r="P72" i="2"/>
  <c r="U72" i="2" s="1"/>
  <c r="P76" i="2"/>
  <c r="U76" i="2" s="1"/>
  <c r="P80" i="2"/>
  <c r="U80" i="2" s="1"/>
  <c r="P84" i="2"/>
  <c r="U84" i="2" s="1"/>
  <c r="P88" i="2"/>
  <c r="U88" i="2" s="1"/>
  <c r="P92" i="2"/>
  <c r="U92" i="2" s="1"/>
  <c r="P96" i="2"/>
  <c r="U96" i="2" s="1"/>
  <c r="P133" i="2"/>
  <c r="U133" i="2" s="1"/>
  <c r="P137" i="2"/>
  <c r="U137" i="2" s="1"/>
  <c r="P141" i="2"/>
  <c r="U141" i="2" s="1"/>
  <c r="P145" i="2"/>
  <c r="U145" i="2" s="1"/>
  <c r="P149" i="2"/>
  <c r="U149" i="2" s="1"/>
  <c r="P197" i="2"/>
  <c r="U197" i="2" s="1"/>
  <c r="P213" i="2"/>
  <c r="U213" i="2" s="1"/>
  <c r="P233" i="2"/>
  <c r="U233" i="2" s="1"/>
  <c r="P257" i="2"/>
  <c r="U257" i="2" s="1"/>
  <c r="P273" i="2"/>
  <c r="U273" i="2" s="1"/>
  <c r="P352" i="2"/>
  <c r="U352" i="2" s="1"/>
  <c r="P438" i="2"/>
  <c r="U438" i="2" s="1"/>
  <c r="P502" i="2"/>
  <c r="U502" i="2" s="1"/>
  <c r="P518" i="2"/>
  <c r="U518" i="2" s="1"/>
  <c r="P538" i="2"/>
  <c r="U538" i="2" s="1"/>
  <c r="P668" i="2"/>
  <c r="U668" i="2" s="1"/>
  <c r="P684" i="2"/>
  <c r="U684" i="2" s="1"/>
  <c r="P700" i="2"/>
  <c r="U700" i="2" s="1"/>
  <c r="P721" i="2"/>
  <c r="U721" i="2" s="1"/>
  <c r="P737" i="2"/>
  <c r="U737" i="2" s="1"/>
</calcChain>
</file>

<file path=xl/sharedStrings.xml><?xml version="1.0" encoding="utf-8"?>
<sst xmlns="http://schemas.openxmlformats.org/spreadsheetml/2006/main" count="55017" uniqueCount="7729">
  <si>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</si>
  <si>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</si>
  <si>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</si>
  <si>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</si>
  <si>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</si>
  <si>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</si>
  <si>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</si>
  <si>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</si>
  <si>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</si>
  <si>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</si>
  <si>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</si>
  <si>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</si>
  <si>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</si>
  <si>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</si>
  <si>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</si>
  <si>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</si>
  <si>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</si>
  <si>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</si>
  <si>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</si>
  <si>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</si>
  <si>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</si>
  <si>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</si>
  <si>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</si>
  <si>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</si>
  <si>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</si>
  <si>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</si>
  <si>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</si>
  <si>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</si>
  <si>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</si>
  <si>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</si>
  <si>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</si>
  <si>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</si>
  <si>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</si>
  <si>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</si>
  <si>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</si>
  <si>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</si>
  <si>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</si>
  <si>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</si>
  <si>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</si>
  <si>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</si>
  <si>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</si>
  <si>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</si>
  <si>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</si>
  <si>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</si>
  <si>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</si>
  <si>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</si>
  <si>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</si>
  <si>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</si>
  <si>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</si>
  <si>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</si>
  <si>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</si>
  <si>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</si>
  <si>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</si>
  <si>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</si>
  <si>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</si>
  <si>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</si>
  <si>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</si>
  <si>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</si>
  <si>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</si>
  <si>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</si>
  <si>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</si>
  <si>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</si>
  <si>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</si>
  <si>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</si>
  <si>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</si>
  <si>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</si>
  <si>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</si>
  <si>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</si>
  <si>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</si>
  <si>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</si>
  <si>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</si>
  <si>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</si>
  <si>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</si>
  <si>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</si>
  <si>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</si>
  <si>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</si>
  <si>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</si>
  <si>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</si>
  <si>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</si>
  <si>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</si>
  <si>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</si>
  <si>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</si>
  <si>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</si>
  <si>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</si>
  <si>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</si>
  <si>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</si>
  <si>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</si>
  <si>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</si>
  <si>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</si>
  <si>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</si>
  <si>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</si>
  <si>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</si>
  <si>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</si>
  <si>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</si>
  <si>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</si>
  <si>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</si>
  <si>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</si>
  <si>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</si>
  <si>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</si>
  <si>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</si>
  <si>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</si>
  <si>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</si>
  <si>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</si>
  <si>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</si>
  <si>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</si>
  <si>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</si>
  <si>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</si>
  <si>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</si>
  <si>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</si>
  <si>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</si>
  <si>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</si>
  <si>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</si>
  <si>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</si>
  <si>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</si>
  <si>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</si>
  <si>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</si>
  <si>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</si>
  <si>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</si>
  <si>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</si>
  <si>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</si>
  <si>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</si>
  <si>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</si>
  <si>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</si>
  <si>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</si>
  <si>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</si>
  <si>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</si>
  <si>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</si>
  <si>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</si>
  <si>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</si>
  <si>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</si>
  <si>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</si>
  <si>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</si>
  <si>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</si>
  <si>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</si>
  <si>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</si>
  <si>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</si>
  <si>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</si>
  <si>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</si>
  <si>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</si>
  <si>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</si>
  <si>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</si>
  <si>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</si>
  <si>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</si>
  <si>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</si>
  <si>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</si>
  <si>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</si>
  <si>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</si>
  <si>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</si>
  <si>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</si>
  <si>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</si>
  <si>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</si>
  <si>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</si>
  <si>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</si>
  <si>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</si>
  <si>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</si>
  <si>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</si>
  <si>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</si>
  <si>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</si>
  <si>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</si>
  <si>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</si>
  <si>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</si>
  <si>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</si>
  <si>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</si>
  <si>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</si>
  <si>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</si>
  <si>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</si>
  <si>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</si>
  <si>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</si>
  <si>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</si>
  <si>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</si>
  <si>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</si>
  <si>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</si>
  <si>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</si>
  <si>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</si>
  <si>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</si>
  <si>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</si>
  <si>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</si>
  <si>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</si>
  <si>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</si>
  <si>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</si>
  <si>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</si>
  <si>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</si>
  <si>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</si>
  <si>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</si>
  <si>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</si>
  <si>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</si>
  <si>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</si>
  <si>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</si>
  <si>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</si>
  <si>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</si>
  <si>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</si>
  <si>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</si>
  <si>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</si>
  <si>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</si>
  <si>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</si>
  <si>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</si>
  <si>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</si>
  <si>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</si>
  <si>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</si>
  <si>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</si>
  <si>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</si>
  <si>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</si>
  <si>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</si>
  <si>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</si>
  <si>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</si>
  <si>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</si>
  <si>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</si>
  <si>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</si>
  <si>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</si>
  <si>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</si>
  <si>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</si>
  <si>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</si>
  <si>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</si>
  <si>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</si>
  <si>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</si>
  <si>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</si>
  <si>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</si>
  <si>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</si>
  <si>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</si>
  <si>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</si>
  <si>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</si>
  <si>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</si>
  <si>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</si>
  <si>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</si>
  <si>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</si>
  <si>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</si>
  <si>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</si>
  <si>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</si>
  <si>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</si>
  <si>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</si>
  <si>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</si>
  <si>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</si>
  <si>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</si>
  <si>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</si>
  <si>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</si>
  <si>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</si>
  <si>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</si>
  <si>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</si>
  <si>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</si>
  <si>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</si>
  <si>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</si>
  <si>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</si>
  <si>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</si>
  <si>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</si>
  <si>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</si>
  <si>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</si>
  <si>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</si>
  <si>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</si>
  <si>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</si>
  <si>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</si>
  <si>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</si>
  <si>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</si>
  <si>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</si>
  <si>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</si>
  <si>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</si>
  <si>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</si>
  <si>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</si>
  <si>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</si>
  <si>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</si>
  <si>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</si>
  <si>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</si>
  <si>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</si>
  <si>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</si>
  <si>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</si>
  <si>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</si>
  <si>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</si>
  <si>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</si>
  <si>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</si>
  <si>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</si>
  <si>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</si>
  <si>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</si>
  <si>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</si>
  <si>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</si>
  <si>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</si>
  <si>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</si>
  <si>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</si>
  <si>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</si>
  <si>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</si>
  <si>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</si>
  <si>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</si>
  <si>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</si>
  <si>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</si>
  <si>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</si>
  <si>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</si>
  <si>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</si>
  <si>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</si>
  <si>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</si>
  <si>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</si>
  <si>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</si>
  <si>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</si>
  <si>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</si>
  <si>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</si>
  <si>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</si>
  <si>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</si>
  <si>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</si>
  <si>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</si>
  <si>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</si>
  <si>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</si>
  <si>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</si>
  <si>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</si>
  <si>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</si>
  <si>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</si>
  <si>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</si>
  <si>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</si>
  <si>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</si>
  <si>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</si>
  <si>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</si>
  <si>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</si>
  <si>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</si>
  <si>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</si>
  <si>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</si>
  <si>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</si>
  <si>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</si>
  <si>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</si>
  <si>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</si>
  <si>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</si>
  <si>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</si>
  <si>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</si>
  <si>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</si>
  <si>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</si>
  <si>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</si>
  <si>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</si>
  <si>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</si>
  <si>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</si>
  <si>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</si>
  <si>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</si>
  <si>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</si>
  <si>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</si>
  <si>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</si>
  <si>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</si>
  <si>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</si>
  <si>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</si>
  <si>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</si>
  <si>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</si>
  <si>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</si>
  <si>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</si>
  <si>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</si>
  <si>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</si>
  <si>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</si>
  <si>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</si>
  <si>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</si>
  <si>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</si>
  <si>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</si>
  <si>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</si>
  <si>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</si>
  <si>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</si>
  <si>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</si>
  <si>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</si>
  <si>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</si>
  <si>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</si>
  <si>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</si>
  <si>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</si>
  <si>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</si>
  <si>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</si>
  <si>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</si>
  <si>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</si>
  <si>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</si>
  <si>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</si>
  <si>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</si>
  <si>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</si>
  <si>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</si>
  <si>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</si>
  <si>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</si>
  <si>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</si>
  <si>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</si>
  <si>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</si>
  <si>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</si>
  <si>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</si>
  <si>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</si>
  <si>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</si>
  <si>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</si>
  <si>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</si>
  <si>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</si>
  <si>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</si>
  <si>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</si>
  <si>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</si>
  <si>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</si>
  <si>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</si>
  <si>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</si>
  <si>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</si>
  <si>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</si>
  <si>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</si>
  <si>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</si>
  <si>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</si>
  <si>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</si>
  <si>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</si>
  <si>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</si>
  <si>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</si>
  <si>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</si>
  <si>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</si>
  <si>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</si>
  <si>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</si>
  <si>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</si>
  <si>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</si>
  <si>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</si>
  <si>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</si>
  <si>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</si>
  <si>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</si>
  <si>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</si>
  <si>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</si>
  <si>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</si>
  <si>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</si>
  <si>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</si>
  <si>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</si>
  <si>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</si>
  <si>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</si>
  <si>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</si>
  <si>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</si>
  <si>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</si>
  <si>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</si>
  <si>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</si>
  <si>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</si>
  <si>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</si>
  <si>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</si>
  <si>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</si>
  <si>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</si>
  <si>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</si>
  <si>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</si>
  <si>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</si>
  <si>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</si>
  <si>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</si>
  <si>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</si>
  <si>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</si>
  <si>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</si>
  <si>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</si>
  <si>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</si>
  <si>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</si>
  <si>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</si>
  <si>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</si>
  <si>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</si>
  <si>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</si>
  <si>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</si>
  <si>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</si>
  <si>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</si>
  <si>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</si>
  <si>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</si>
  <si>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</si>
  <si>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</si>
  <si>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</si>
  <si>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</si>
  <si>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</si>
  <si>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</si>
  <si>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</si>
  <si>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</si>
  <si>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</si>
  <si>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</si>
  <si>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</si>
  <si>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</si>
  <si>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</si>
  <si>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</si>
  <si>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</si>
  <si>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</si>
  <si>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</si>
  <si>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</si>
  <si>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</si>
  <si>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</si>
  <si>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</si>
  <si>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</si>
  <si>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</si>
  <si>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</si>
  <si>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</si>
  <si>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</si>
  <si>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</si>
  <si>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</si>
  <si>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</si>
  <si>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</si>
  <si>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</si>
  <si>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</si>
  <si>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</si>
  <si>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</si>
  <si>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</si>
  <si>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</si>
  <si>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</si>
  <si>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</si>
  <si>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</si>
  <si>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</si>
  <si>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</si>
  <si>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</si>
  <si>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</si>
  <si>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</si>
  <si>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</si>
  <si>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</si>
  <si>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</si>
  <si>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</si>
  <si>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</si>
  <si>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</si>
  <si>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</si>
  <si>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</si>
  <si>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</si>
  <si>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</si>
  <si>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</si>
  <si>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</si>
  <si>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</si>
  <si>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</si>
  <si>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</si>
  <si>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</si>
  <si>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</si>
  <si>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</si>
  <si>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</si>
  <si>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</si>
  <si>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</si>
  <si>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</si>
  <si>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</si>
  <si>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</si>
  <si>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</si>
  <si>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</si>
  <si>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</si>
  <si>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</si>
  <si>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</si>
  <si>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</si>
  <si>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</si>
  <si>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</si>
  <si>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</si>
  <si>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</si>
  <si>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</si>
  <si>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</si>
  <si>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</si>
  <si>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</si>
  <si>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</si>
  <si>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</si>
  <si>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</si>
  <si>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</si>
  <si>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</si>
  <si>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</si>
  <si>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</si>
  <si>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</si>
  <si>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</si>
  <si>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</si>
  <si>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</si>
  <si>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</si>
  <si>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</si>
  <si>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</si>
  <si>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</si>
  <si>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</si>
  <si>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</si>
  <si>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</si>
  <si>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</si>
  <si>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</si>
  <si>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</si>
  <si>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</si>
  <si>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</si>
  <si>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</si>
  <si>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</si>
  <si>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</si>
  <si>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</si>
  <si>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</si>
  <si>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</si>
  <si>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</si>
  <si>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</si>
  <si>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</si>
  <si>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</si>
  <si>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</si>
  <si>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</si>
  <si>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</si>
  <si>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</si>
  <si>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</si>
  <si>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</si>
  <si>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</si>
  <si>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</si>
  <si>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</si>
  <si>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</si>
  <si>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</si>
  <si>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</si>
  <si>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</si>
  <si>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</si>
  <si>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</si>
  <si>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</si>
  <si>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</si>
  <si>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</si>
  <si>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</si>
  <si>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</si>
  <si>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</si>
  <si>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</si>
  <si>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</si>
  <si>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</si>
  <si>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</si>
  <si>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</si>
  <si>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</si>
  <si>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</si>
  <si>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</si>
  <si>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</si>
  <si>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</si>
  <si>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</si>
  <si>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</si>
  <si>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</si>
  <si>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</si>
  <si>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</si>
  <si>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</si>
  <si>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</si>
  <si>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</si>
  <si>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</si>
  <si>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</si>
  <si>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</si>
  <si>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</si>
  <si>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</si>
  <si>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</si>
  <si>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</si>
  <si>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</si>
  <si>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</si>
  <si>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</si>
  <si>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</si>
  <si>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</si>
  <si>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</si>
  <si>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</si>
  <si>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</si>
  <si>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</si>
  <si>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</si>
  <si>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</si>
  <si>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</si>
  <si>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</si>
  <si>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</si>
  <si>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</si>
  <si>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</si>
  <si>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</si>
  <si>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</si>
  <si>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</si>
  <si>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</si>
  <si>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</si>
  <si>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</si>
  <si>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</si>
  <si>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</si>
  <si>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</si>
  <si>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</si>
  <si>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</si>
  <si>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</si>
  <si>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</si>
  <si>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</si>
  <si>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</si>
  <si>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</si>
  <si>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</si>
  <si>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</si>
  <si>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</si>
  <si>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</si>
  <si>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</si>
  <si>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</si>
  <si>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</si>
  <si>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</si>
  <si>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</si>
  <si>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</si>
  <si>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</si>
  <si>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</si>
  <si>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</si>
  <si>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</si>
  <si>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</si>
  <si>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</si>
  <si>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</si>
  <si>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</si>
  <si>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</si>
  <si>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</si>
  <si>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</si>
  <si>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</si>
  <si>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</si>
  <si>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</si>
  <si>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</si>
  <si>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</si>
  <si>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</si>
  <si>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</si>
  <si>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</si>
  <si>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</si>
  <si>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</si>
  <si>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</si>
  <si>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</si>
  <si>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</si>
  <si>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</si>
  <si>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</si>
  <si>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</si>
  <si>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</si>
  <si>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</si>
  <si>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</si>
  <si>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</si>
  <si>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</si>
  <si>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</si>
  <si>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</si>
  <si>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</si>
  <si>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</si>
  <si>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</si>
  <si>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</si>
  <si>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</si>
  <si>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</si>
  <si>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</si>
  <si>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</si>
  <si>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</si>
  <si>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</si>
  <si>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</si>
  <si>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</si>
  <si>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</si>
  <si>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</si>
  <si>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</si>
  <si>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</si>
  <si>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</si>
  <si>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</si>
  <si>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</si>
  <si>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</si>
  <si>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</si>
  <si>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</si>
  <si>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</si>
  <si>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</si>
  <si>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</si>
  <si>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</si>
  <si>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</si>
  <si>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</si>
  <si>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</si>
  <si>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</si>
  <si>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</si>
  <si>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</si>
  <si>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</si>
  <si>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</si>
  <si>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</si>
  <si>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</si>
  <si>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</si>
  <si>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</si>
  <si>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</si>
  <si>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</si>
  <si>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</si>
  <si>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</si>
  <si>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</si>
  <si>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</si>
  <si>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</si>
  <si>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</si>
  <si>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</si>
  <si>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</si>
  <si>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</si>
  <si>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</si>
  <si>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</si>
  <si>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</si>
  <si>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</si>
  <si>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</si>
  <si>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</si>
  <si>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</si>
  <si>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</si>
  <si>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</si>
  <si>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</si>
  <si>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</si>
  <si>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</si>
  <si>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</si>
  <si>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</si>
  <si>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</si>
  <si>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</si>
  <si>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</si>
  <si>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</si>
  <si>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</si>
  <si>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</si>
  <si>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</si>
  <si>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</si>
  <si>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</si>
  <si>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</si>
  <si>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</si>
  <si>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</si>
  <si>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</si>
  <si>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</si>
  <si>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</si>
  <si>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</si>
  <si>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</si>
  <si>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</si>
  <si>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</si>
  <si>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</si>
  <si>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</si>
  <si>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</si>
  <si>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</si>
  <si>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</si>
  <si>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</si>
  <si>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</si>
  <si>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</si>
  <si>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</si>
  <si>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</si>
  <si>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</si>
  <si>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</si>
  <si>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</si>
  <si>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</si>
  <si>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</si>
  <si>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</si>
  <si>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</si>
  <si>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</si>
  <si>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</si>
  <si>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</si>
  <si>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</si>
  <si>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</si>
  <si>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</si>
  <si>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</si>
  <si>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</si>
  <si>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</si>
  <si>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</si>
  <si>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</si>
  <si>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</si>
  <si>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</si>
  <si>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</si>
  <si>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</si>
  <si>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</si>
  <si>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</si>
  <si>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</si>
  <si>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</si>
  <si>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</si>
  <si>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</si>
  <si>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</si>
  <si>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</si>
  <si>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</si>
  <si>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</si>
  <si>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</si>
  <si>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</si>
  <si>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</si>
  <si>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</si>
  <si>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</si>
  <si>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</si>
  <si>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</si>
  <si>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</si>
  <si>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</si>
  <si>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</si>
  <si>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</si>
  <si>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</si>
  <si>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</si>
  <si>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</si>
  <si>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</si>
  <si>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</si>
  <si>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</si>
  <si>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</si>
  <si>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</si>
  <si>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</si>
  <si>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</si>
  <si>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</si>
  <si>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</si>
  <si>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</si>
  <si>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</si>
  <si>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</si>
  <si>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</si>
  <si>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</si>
  <si>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</si>
  <si>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</si>
  <si>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</si>
  <si>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</si>
  <si>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</si>
  <si>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</si>
  <si>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</si>
  <si>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</si>
  <si>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</si>
  <si>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</si>
  <si>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</si>
  <si>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</si>
  <si>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</si>
  <si>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</si>
  <si>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</si>
  <si>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</si>
  <si>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</si>
  <si>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</si>
  <si>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</si>
  <si>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</si>
  <si>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</si>
  <si>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</si>
  <si>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</si>
  <si>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</si>
  <si>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</si>
  <si>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</si>
  <si>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</si>
  <si>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</si>
  <si>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</si>
  <si>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</si>
  <si>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</si>
  <si>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</si>
  <si>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</si>
  <si>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</si>
  <si>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</si>
  <si>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</si>
  <si>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</si>
  <si>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</si>
  <si>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</si>
  <si>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</si>
  <si>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</si>
  <si>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</si>
  <si>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</si>
  <si>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</si>
  <si>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</si>
  <si>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</si>
  <si>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</si>
  <si>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</si>
  <si>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</si>
  <si>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</si>
  <si>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</si>
  <si>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</si>
  <si>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</si>
  <si>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</si>
  <si>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</si>
  <si>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</si>
  <si>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</si>
  <si>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</si>
  <si>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</si>
  <si>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</si>
  <si>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</si>
  <si>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</si>
  <si>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</si>
  <si>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</si>
  <si>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</si>
  <si>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</si>
  <si>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</si>
  <si>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</si>
  <si>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</si>
  <si>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</si>
  <si>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</si>
  <si>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</si>
  <si>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</si>
  <si>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</si>
  <si>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</si>
  <si>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</si>
  <si>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</si>
  <si>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</si>
  <si>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</si>
  <si>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</si>
  <si>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</si>
  <si>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</si>
  <si>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</si>
  <si>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</si>
  <si>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</si>
  <si>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</si>
  <si>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</si>
  <si>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</si>
  <si>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</si>
  <si>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</si>
  <si>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</si>
  <si>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</si>
  <si>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</si>
  <si>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</si>
  <si>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</si>
  <si>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</si>
  <si>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</si>
  <si>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</si>
  <si>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</si>
  <si>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</si>
  <si>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</si>
  <si>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</si>
  <si>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</si>
  <si>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</si>
  <si>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</si>
  <si>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</si>
  <si>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</si>
  <si>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</si>
  <si>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</si>
  <si>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</si>
  <si>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</si>
  <si>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</si>
  <si>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</si>
  <si>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</si>
  <si>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</si>
  <si>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</si>
  <si>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</si>
  <si>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</si>
  <si>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</si>
  <si>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</si>
  <si>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</si>
  <si>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</si>
  <si>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</si>
  <si>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</si>
  <si>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</si>
  <si>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</si>
  <si>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</si>
  <si>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</si>
  <si>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</si>
  <si>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</si>
  <si>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</si>
  <si>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</si>
  <si>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</si>
  <si>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</si>
  <si>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</si>
  <si>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</si>
  <si>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</si>
  <si>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</si>
  <si>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</si>
  <si>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</si>
  <si>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</si>
  <si>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</si>
  <si>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</si>
  <si>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</si>
  <si>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</si>
  <si>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</si>
  <si>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</si>
  <si>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</si>
  <si>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</si>
  <si>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</si>
  <si>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</si>
  <si>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</si>
  <si>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</si>
  <si>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</si>
  <si>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</si>
  <si>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</si>
  <si>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</si>
  <si>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</si>
  <si>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</si>
  <si>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</si>
  <si>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</si>
  <si>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</si>
  <si>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</si>
  <si>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</si>
  <si>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</si>
  <si>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</si>
  <si>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</si>
  <si>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</si>
  <si>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</si>
  <si>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</si>
  <si>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</si>
  <si>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</si>
  <si>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</si>
  <si>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</si>
  <si>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</si>
  <si>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</si>
  <si>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</si>
  <si>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</si>
  <si>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</si>
  <si>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</si>
  <si>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</si>
  <si>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</si>
  <si>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</si>
  <si>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</si>
  <si>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</si>
  <si>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</si>
  <si>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</si>
  <si>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</si>
  <si>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</si>
  <si>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</si>
  <si>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</si>
  <si>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</si>
  <si>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</si>
  <si>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</si>
  <si>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</si>
  <si>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</si>
  <si>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</si>
  <si>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</si>
  <si>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</si>
  <si>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</si>
  <si>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</si>
  <si>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</si>
  <si>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</si>
  <si>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</si>
  <si>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</si>
  <si>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</si>
  <si>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</si>
  <si>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</si>
  <si>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</si>
  <si>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</si>
  <si>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</si>
  <si>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</si>
  <si>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</si>
  <si>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</si>
  <si>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</si>
  <si>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</si>
  <si>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</si>
  <si>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</si>
  <si>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</si>
  <si>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</si>
  <si>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</si>
  <si>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</si>
  <si>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</si>
  <si>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</si>
  <si>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</si>
  <si>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</si>
  <si>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</si>
  <si>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</si>
  <si>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</si>
  <si>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</si>
  <si>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</si>
  <si>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</si>
  <si>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</si>
  <si>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</si>
  <si>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</si>
  <si>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</si>
  <si>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</si>
  <si>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</si>
  <si>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</si>
  <si>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</si>
  <si>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</si>
  <si>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</si>
  <si>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</si>
  <si>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</si>
  <si>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</si>
  <si>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</si>
  <si>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</si>
  <si>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</si>
  <si>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</si>
  <si>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</si>
  <si>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</si>
  <si>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</si>
  <si>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</si>
  <si>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</si>
  <si>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</si>
  <si>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</si>
  <si>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</si>
  <si>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</si>
  <si>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</si>
  <si>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</si>
  <si>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</si>
  <si>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</si>
  <si>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</si>
  <si>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</si>
  <si>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</si>
  <si>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</si>
  <si>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</si>
  <si>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</si>
  <si>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</si>
  <si>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</si>
  <si>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</si>
  <si>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</si>
  <si>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</si>
  <si>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</si>
  <si>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</si>
  <si>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</si>
  <si>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</si>
  <si>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</si>
  <si>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</si>
  <si>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</si>
  <si>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</si>
  <si>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</si>
  <si>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</si>
  <si>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</si>
  <si>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</si>
  <si>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</si>
  <si>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</si>
  <si>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</si>
  <si>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</si>
  <si>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</si>
  <si>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</si>
  <si>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</si>
  <si>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</si>
  <si>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</si>
  <si>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</si>
  <si>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</si>
  <si>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</si>
  <si>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</si>
  <si>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</si>
  <si>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</si>
  <si>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</si>
  <si>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</si>
  <si>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</si>
  <si>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</si>
  <si>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</si>
  <si>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</si>
  <si>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</si>
  <si>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</si>
  <si>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</si>
  <si>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</si>
  <si>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</si>
  <si>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</si>
  <si>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</si>
  <si>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</si>
  <si>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</si>
  <si>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</si>
  <si>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</si>
  <si>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</si>
  <si>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</si>
  <si>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</si>
  <si>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</si>
  <si>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</si>
  <si>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</si>
  <si>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</si>
  <si>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</si>
  <si>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</si>
  <si>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</si>
  <si>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</si>
  <si>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</si>
  <si>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</si>
  <si>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</si>
  <si>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</si>
  <si>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</si>
  <si>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</si>
  <si>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</si>
  <si>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</si>
  <si>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</si>
  <si>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</si>
  <si>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</si>
  <si>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</si>
  <si>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</si>
  <si>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</si>
  <si>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</si>
  <si>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</si>
  <si>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</si>
  <si>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</si>
  <si>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</si>
  <si>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</si>
  <si>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</si>
  <si>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</si>
  <si>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</si>
  <si>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</si>
  <si>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</si>
  <si>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</si>
  <si>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</si>
  <si>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</si>
  <si>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</si>
  <si>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</si>
  <si>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</si>
  <si>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</si>
  <si>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</si>
  <si>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</si>
  <si>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</si>
  <si>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</si>
  <si>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</si>
  <si>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</si>
  <si>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</si>
  <si>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</si>
  <si>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</si>
  <si>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</si>
  <si>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</si>
  <si>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</si>
  <si>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</si>
  <si>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</si>
  <si>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</si>
  <si>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</si>
  <si>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</si>
  <si>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</si>
  <si>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</si>
  <si>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</si>
  <si>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</si>
  <si>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</si>
  <si>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</si>
  <si>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</si>
  <si>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</si>
  <si>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</si>
  <si>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</si>
  <si>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</si>
  <si>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</si>
  <si>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</si>
  <si>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</si>
  <si>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</si>
  <si>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</si>
  <si>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</si>
  <si>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</si>
  <si>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</si>
  <si>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</si>
  <si>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</si>
  <si>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</si>
  <si>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</si>
  <si>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</si>
  <si>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</si>
  <si>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</si>
  <si>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</si>
  <si>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</si>
  <si>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</si>
  <si>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</si>
  <si>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</si>
  <si>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</si>
  <si>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</si>
  <si>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</si>
  <si>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</si>
  <si>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</si>
  <si>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</si>
  <si>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</si>
  <si>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</si>
  <si>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</si>
  <si>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</si>
  <si>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</si>
  <si>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</si>
  <si>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</si>
  <si>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</si>
  <si>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</si>
  <si>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</si>
  <si>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</si>
  <si>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</si>
  <si>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</si>
  <si>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</si>
  <si>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</si>
  <si>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</si>
  <si>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</si>
  <si>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</si>
  <si>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</si>
  <si>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</si>
  <si>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</si>
  <si>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</si>
  <si>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</si>
  <si>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</si>
  <si>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</si>
  <si>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</si>
  <si>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</si>
  <si>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</si>
  <si>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</si>
  <si>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</si>
  <si>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</si>
  <si>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</si>
  <si>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</si>
  <si>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</si>
  <si>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</si>
  <si>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</si>
  <si>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</si>
  <si>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</si>
  <si>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</si>
  <si>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</si>
  <si>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</si>
  <si>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</si>
  <si>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</si>
  <si>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</si>
  <si>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</si>
  <si>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</si>
  <si>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</si>
  <si>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</si>
  <si>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</si>
  <si>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</si>
  <si>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</si>
  <si>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</si>
  <si>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</si>
  <si>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</si>
  <si>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</si>
  <si>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</si>
  <si>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</si>
  <si>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</si>
  <si>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</si>
  <si>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</si>
  <si>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</si>
  <si>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</si>
  <si>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</si>
  <si>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</si>
  <si>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</si>
  <si>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</si>
  <si>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</si>
  <si>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</si>
  <si>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</si>
  <si>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</si>
  <si>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</si>
  <si>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</si>
  <si>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</si>
  <si>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</si>
  <si>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</si>
  <si>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</si>
  <si>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</si>
  <si>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</si>
  <si>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</si>
  <si>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</si>
  <si>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</si>
  <si>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</si>
  <si>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</si>
  <si>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</si>
  <si>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</si>
  <si>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</si>
  <si>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</si>
  <si>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</si>
  <si>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</si>
  <si>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</si>
  <si>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</si>
  <si>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</si>
  <si>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</si>
  <si>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</si>
  <si>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</si>
  <si>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</si>
  <si>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</si>
  <si>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</si>
  <si>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</si>
  <si>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</si>
  <si>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</si>
  <si>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</si>
  <si>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</si>
  <si>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</si>
  <si>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</si>
  <si>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</si>
  <si>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</si>
  <si>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</si>
  <si>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</si>
  <si>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</si>
  <si>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</si>
  <si>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</si>
  <si>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</si>
  <si>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</si>
  <si>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</si>
  <si>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</si>
  <si>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</si>
  <si>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</si>
  <si>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</si>
  <si>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</si>
  <si>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</si>
  <si>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</si>
  <si>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</si>
  <si>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</si>
  <si>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</si>
  <si>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</si>
  <si>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</si>
  <si>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</si>
  <si>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</si>
  <si>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</si>
  <si>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</si>
  <si>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</si>
  <si>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</si>
  <si>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</si>
  <si>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</si>
  <si>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</si>
  <si>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</si>
  <si>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</si>
  <si>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</si>
  <si>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</si>
  <si>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</si>
  <si>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</si>
  <si>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</si>
  <si>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</si>
  <si>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</si>
  <si>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</si>
  <si>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</si>
  <si>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</si>
  <si>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</si>
  <si>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</si>
  <si>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</si>
  <si>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</si>
  <si>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</si>
  <si>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</si>
  <si>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</si>
  <si>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</si>
  <si>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</si>
  <si>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</si>
  <si>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</si>
  <si>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</si>
  <si>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</si>
  <si>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</si>
  <si>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</si>
  <si>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</si>
  <si>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</si>
  <si>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</si>
  <si>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</si>
  <si>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</si>
  <si>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</si>
  <si>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</si>
  <si>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</si>
  <si>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</si>
  <si>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</si>
  <si>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</si>
  <si>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</si>
  <si>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</si>
  <si>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</si>
  <si>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</si>
  <si>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</si>
  <si>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</si>
  <si>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</si>
  <si>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</si>
  <si>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</si>
  <si>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</si>
  <si>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</si>
  <si>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</si>
  <si>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</si>
  <si>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</si>
  <si>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</si>
  <si>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</si>
  <si>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</si>
  <si>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</si>
  <si>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</si>
  <si>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</si>
  <si>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</si>
  <si>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</si>
  <si>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</si>
  <si>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</si>
  <si>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</si>
  <si>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</si>
  <si>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</si>
  <si>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</si>
  <si>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</si>
  <si>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</si>
  <si>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</si>
  <si>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</si>
  <si>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</si>
  <si>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</si>
  <si>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</si>
  <si>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</si>
  <si>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</si>
  <si>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</si>
  <si>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</si>
  <si>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</si>
  <si>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</si>
  <si>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</si>
  <si>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</si>
  <si>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</si>
  <si>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</si>
  <si>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</si>
  <si>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</si>
  <si>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</si>
  <si>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</si>
  <si>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</si>
  <si>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</si>
  <si>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</si>
  <si>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</si>
  <si>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</si>
  <si>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</si>
  <si>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</si>
  <si>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</si>
  <si>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</si>
  <si>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</si>
  <si>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</si>
  <si>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</si>
  <si>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</si>
  <si>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</si>
  <si>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</si>
  <si>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</si>
  <si>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</si>
  <si>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</si>
  <si>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</si>
  <si>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</si>
  <si>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</si>
  <si>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</si>
  <si>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</si>
  <si>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</si>
  <si>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</si>
  <si>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</si>
  <si>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</si>
  <si>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</si>
  <si>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</si>
  <si>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</si>
  <si>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</si>
  <si>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</si>
  <si>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</si>
  <si>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</si>
  <si>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</si>
  <si>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</si>
  <si>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</si>
  <si>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</si>
  <si>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</si>
  <si>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</si>
  <si>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</si>
  <si>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</si>
  <si>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</si>
  <si>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</si>
  <si>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</si>
  <si>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</si>
  <si>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</si>
  <si>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</si>
  <si>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</si>
  <si>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</si>
  <si>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</si>
  <si>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</si>
  <si>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</si>
  <si>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</si>
  <si>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</si>
  <si>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</si>
  <si>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</si>
  <si>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</si>
  <si>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</si>
  <si>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</si>
  <si>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</si>
  <si>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</si>
  <si>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</si>
  <si>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</si>
  <si>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</si>
  <si>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</si>
  <si>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</si>
  <si>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</si>
  <si>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</si>
  <si>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</si>
  <si>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</si>
  <si>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</si>
  <si>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</si>
  <si>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</si>
  <si>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</si>
  <si>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</si>
  <si>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</si>
  <si>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</si>
  <si>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</si>
  <si>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</si>
  <si>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</si>
  <si>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</si>
  <si>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</si>
  <si>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</si>
  <si>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</si>
  <si>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</si>
  <si>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</si>
  <si>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</si>
  <si>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</si>
  <si>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</si>
  <si>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</si>
  <si>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</si>
  <si>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</si>
  <si>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</si>
  <si>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</si>
  <si>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</si>
  <si>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</si>
  <si>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</si>
  <si>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</si>
  <si>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</si>
  <si>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</si>
  <si>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</si>
  <si>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</si>
  <si>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</si>
  <si>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</si>
  <si>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</si>
  <si>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</si>
  <si>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</si>
  <si>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</si>
  <si>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</si>
  <si>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</si>
  <si>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</si>
  <si>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</si>
  <si>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</si>
  <si>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</si>
  <si>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</si>
  <si>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</si>
  <si>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</si>
  <si>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</si>
  <si>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</si>
  <si>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</si>
  <si>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</si>
  <si>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</si>
  <si>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</si>
  <si>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</si>
  <si>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</si>
  <si>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</si>
  <si>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</si>
  <si>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</si>
  <si>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</si>
  <si>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</si>
  <si>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</si>
  <si>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</si>
  <si>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</si>
  <si>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</si>
  <si>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</si>
  <si>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</si>
  <si>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</si>
  <si>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</si>
  <si>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</si>
  <si>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</si>
  <si>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</si>
  <si>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</si>
  <si>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</si>
  <si>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</si>
  <si>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</si>
  <si>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</si>
  <si>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</si>
  <si>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</si>
  <si>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</si>
  <si>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</si>
  <si>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</si>
  <si>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</si>
  <si>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</si>
  <si>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</si>
  <si>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</si>
  <si>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</si>
  <si>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</si>
  <si>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</si>
  <si>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</si>
  <si>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</si>
  <si>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</si>
  <si>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</si>
  <si>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</si>
  <si>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</si>
  <si>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</si>
  <si>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</si>
  <si>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</si>
  <si>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</si>
  <si>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</si>
  <si>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</si>
  <si>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</si>
  <si>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</si>
  <si>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</si>
  <si>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</si>
  <si>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</si>
  <si>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</si>
  <si>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</si>
  <si>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</si>
  <si>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</si>
  <si>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</si>
  <si>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</si>
  <si>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</si>
  <si>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</si>
  <si>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</si>
  <si>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</si>
  <si>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</si>
  <si>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</si>
  <si>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</si>
  <si>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</si>
  <si>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</si>
  <si>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</si>
  <si>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</si>
  <si>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</si>
  <si>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</si>
  <si>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</si>
  <si>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</si>
  <si>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</si>
  <si>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</si>
  <si>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</si>
  <si>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</si>
  <si>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</si>
  <si>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</si>
  <si>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</si>
  <si>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</si>
  <si>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</si>
  <si>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</si>
  <si>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</si>
  <si>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</si>
  <si>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</si>
  <si>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</si>
  <si>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</si>
  <si>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</si>
  <si>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</si>
  <si>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</si>
  <si>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</si>
  <si>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</si>
  <si>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</si>
  <si>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</si>
  <si>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</si>
  <si>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</si>
  <si>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</si>
  <si>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</si>
  <si>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</si>
  <si>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</si>
  <si>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</si>
  <si>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</si>
  <si>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</si>
  <si>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</si>
  <si>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</si>
  <si>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</si>
  <si>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</si>
  <si>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</si>
  <si>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</si>
  <si>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</si>
  <si>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</si>
  <si>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</si>
  <si>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</si>
  <si>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</si>
  <si>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</si>
  <si>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</si>
  <si>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</si>
  <si>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</si>
  <si>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</si>
  <si>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</si>
  <si>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</si>
  <si>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</si>
  <si>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</si>
  <si>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</si>
  <si>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</si>
  <si>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</si>
  <si>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</si>
  <si>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</si>
  <si>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</si>
  <si>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</si>
  <si>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</si>
  <si>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</si>
  <si>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</si>
  <si>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</si>
  <si>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</si>
  <si>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</si>
  <si>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</si>
  <si>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</si>
  <si>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</si>
  <si>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</si>
  <si>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</si>
  <si>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</si>
  <si>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</si>
  <si>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</si>
  <si>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</si>
  <si>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</si>
  <si>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</si>
  <si>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</si>
  <si>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</si>
  <si>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</si>
  <si>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</si>
  <si>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</si>
  <si>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</si>
  <si>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</si>
  <si>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</si>
  <si>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</si>
  <si>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</si>
  <si>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</si>
  <si>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</si>
  <si>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</si>
  <si>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</si>
  <si>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</si>
  <si>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</si>
  <si>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</si>
  <si>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</si>
  <si>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</si>
  <si>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</si>
  <si>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</si>
  <si>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</si>
  <si>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</si>
  <si>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</si>
  <si>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</si>
  <si>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</si>
  <si>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</si>
  <si>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</si>
  <si>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</si>
  <si>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</si>
  <si>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</si>
  <si>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</si>
  <si>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</si>
  <si>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</si>
  <si>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</si>
  <si>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</si>
  <si>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</si>
  <si>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</si>
  <si>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</si>
  <si>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</si>
  <si>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</si>
  <si>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</si>
  <si>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</si>
  <si>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</si>
  <si>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</si>
  <si>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</si>
  <si>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</si>
  <si>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</si>
  <si>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</si>
  <si>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</si>
  <si>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</si>
  <si>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</si>
  <si>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</si>
  <si>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</si>
  <si>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</si>
  <si>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</si>
  <si>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</si>
  <si>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</si>
  <si>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</si>
  <si>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</si>
  <si>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</si>
  <si>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</si>
  <si>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</si>
  <si>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</si>
  <si>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</si>
  <si>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</si>
  <si>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</si>
  <si>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</si>
  <si>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</si>
  <si>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</si>
  <si>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</si>
  <si>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</si>
  <si>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</si>
  <si>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</si>
  <si>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</si>
  <si>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</si>
  <si>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</si>
  <si>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</si>
  <si>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</si>
  <si>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</si>
  <si>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</si>
  <si>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</si>
  <si>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</si>
  <si>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</si>
  <si>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</si>
  <si>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</si>
  <si>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</si>
  <si>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</si>
  <si>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</si>
  <si>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</si>
  <si>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</si>
  <si>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</si>
  <si>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</si>
  <si>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</si>
  <si>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</si>
  <si>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</si>
  <si>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</si>
  <si>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</si>
  <si>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</si>
  <si>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</si>
  <si>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</si>
  <si>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</si>
  <si>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</si>
  <si>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</si>
  <si>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</si>
  <si>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</si>
  <si>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</si>
  <si>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</si>
  <si>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</si>
  <si>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</si>
  <si>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</si>
  <si>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</si>
  <si>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</si>
  <si>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</si>
  <si>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</si>
  <si>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</si>
  <si>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</si>
  <si>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</si>
  <si>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</si>
  <si>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</si>
  <si>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</si>
  <si>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</si>
  <si>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</si>
  <si>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</si>
  <si>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</si>
  <si>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</si>
  <si>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</si>
  <si>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</si>
  <si>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</si>
  <si>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</si>
  <si>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</si>
  <si>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</si>
  <si>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</si>
  <si>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</si>
  <si>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</si>
  <si>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</si>
  <si>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</si>
  <si>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</si>
  <si>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</si>
  <si>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</si>
  <si>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</si>
  <si>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</si>
  <si>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</si>
  <si>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</si>
  <si>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</si>
  <si>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</si>
  <si>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</si>
  <si>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</si>
  <si>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</si>
  <si>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</si>
  <si>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</si>
  <si>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</si>
  <si>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</si>
  <si>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</si>
  <si>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</si>
  <si>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</si>
  <si>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</si>
  <si>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</si>
  <si>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</si>
  <si>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</si>
  <si>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</si>
  <si>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</si>
  <si>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</si>
  <si>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</si>
  <si>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</si>
  <si>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</si>
  <si>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</si>
  <si>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</si>
  <si>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</si>
  <si>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</si>
  <si>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</si>
  <si>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</si>
  <si>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</si>
  <si>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</si>
  <si>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</si>
  <si>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</si>
  <si>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</si>
  <si>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</si>
  <si>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</si>
  <si>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</si>
  <si>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</si>
  <si>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</si>
  <si>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</si>
  <si>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</si>
  <si>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</si>
  <si>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</si>
  <si>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</si>
  <si>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</si>
  <si>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</si>
  <si>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</si>
  <si>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</si>
  <si>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</si>
  <si>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</si>
  <si>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</si>
  <si>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</si>
  <si>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</si>
  <si>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</si>
  <si>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</si>
  <si>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</si>
  <si>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</si>
  <si>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</si>
  <si>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</si>
  <si>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</si>
  <si>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</si>
  <si>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</si>
  <si>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</si>
  <si>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</si>
  <si>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</si>
  <si>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</si>
  <si>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</si>
  <si>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</si>
  <si>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</si>
  <si>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</si>
  <si>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</si>
  <si>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</si>
  <si>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</si>
  <si>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</si>
  <si>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</si>
  <si>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</si>
  <si>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</si>
  <si>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</si>
  <si>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</si>
  <si>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</si>
  <si>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</si>
  <si>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</si>
  <si>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</si>
  <si>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</si>
  <si>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</si>
  <si>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</si>
  <si>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</si>
  <si>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</si>
  <si>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</si>
  <si>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</si>
  <si>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</si>
  <si>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</si>
  <si>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</si>
  <si>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</si>
  <si>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</si>
  <si>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</si>
  <si>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</si>
  <si>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</si>
  <si>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</si>
  <si>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</si>
  <si>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</si>
  <si>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</si>
  <si>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</si>
  <si>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</si>
  <si>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</si>
  <si>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</si>
  <si>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</si>
  <si>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</si>
  <si>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</si>
  <si>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</si>
  <si>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</si>
  <si>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</si>
  <si>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</si>
  <si>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</si>
  <si>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</si>
  <si>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</si>
  <si>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</si>
  <si>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</si>
  <si>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</si>
  <si>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</si>
  <si>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</si>
  <si>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</si>
  <si>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</si>
  <si>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</si>
  <si>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</si>
  <si>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</si>
  <si>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</si>
  <si>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</si>
  <si>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</si>
  <si>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</si>
  <si>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</si>
  <si>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</si>
  <si>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</si>
  <si>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</si>
  <si>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</si>
  <si>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</si>
  <si>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</si>
  <si>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</si>
  <si>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</si>
  <si>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</si>
  <si>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</si>
  <si>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</si>
  <si>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</si>
  <si>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</si>
  <si>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</si>
  <si>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</si>
  <si>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</si>
  <si>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</si>
  <si>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</si>
  <si>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</si>
  <si>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</si>
  <si>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</si>
  <si>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</si>
  <si>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</si>
  <si>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</si>
  <si>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</si>
  <si>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</si>
  <si>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</si>
  <si>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</si>
  <si>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</si>
  <si>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</si>
  <si>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</si>
  <si>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</si>
  <si>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</si>
  <si>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</si>
  <si>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</si>
  <si>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</si>
  <si>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</si>
  <si>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</si>
  <si>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</si>
  <si>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</si>
  <si>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</si>
  <si>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</si>
  <si>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</si>
  <si>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</si>
  <si>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</si>
  <si>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</si>
  <si>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</si>
  <si>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</si>
  <si>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</si>
  <si>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</si>
  <si>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</si>
  <si>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</si>
  <si>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</si>
  <si>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</si>
  <si>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</si>
  <si>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</si>
  <si>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</si>
  <si>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</si>
  <si>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</si>
  <si>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</si>
  <si>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</si>
  <si>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</si>
  <si>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</si>
  <si>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</si>
  <si>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</si>
  <si>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</si>
  <si>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</si>
  <si>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</si>
  <si>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</si>
  <si>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</si>
  <si>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</si>
  <si>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</si>
  <si>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</si>
  <si>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</si>
  <si>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</si>
  <si>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</si>
  <si>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</si>
  <si>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</si>
  <si>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</si>
  <si>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</si>
  <si>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</si>
  <si>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</si>
  <si>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</si>
  <si>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</si>
  <si>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</si>
  <si>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</si>
  <si>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</si>
  <si>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</si>
  <si>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</si>
  <si>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</si>
  <si>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</si>
  <si>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</si>
  <si>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</si>
  <si>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</si>
  <si>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</si>
  <si>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</si>
  <si>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</si>
  <si>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</si>
  <si>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</si>
  <si>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</si>
  <si>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</si>
  <si>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</si>
  <si>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</si>
  <si>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</si>
  <si>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</si>
  <si>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</si>
  <si>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</si>
  <si>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</si>
  <si>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</si>
  <si>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</si>
  <si>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</si>
  <si>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</si>
  <si>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</si>
  <si>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</si>
  <si>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</si>
  <si>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</si>
  <si>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</si>
  <si>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</si>
  <si>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</si>
  <si>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</si>
  <si>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</si>
  <si>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</si>
  <si>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</si>
  <si>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</si>
  <si>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</si>
  <si>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</si>
  <si>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</si>
  <si>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</si>
  <si>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</si>
  <si>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</si>
  <si>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</si>
  <si>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</si>
  <si>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</si>
  <si>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</si>
  <si>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</si>
  <si>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</si>
  <si>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</si>
  <si>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</si>
  <si>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</si>
  <si>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</si>
  <si>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</si>
  <si>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</si>
  <si>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</si>
  <si>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</si>
  <si>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</si>
  <si>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</si>
  <si>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</si>
  <si>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</si>
  <si>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</si>
  <si>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</si>
  <si>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</si>
  <si>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</si>
  <si>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</si>
  <si>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</si>
  <si>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</si>
  <si>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</si>
  <si>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</si>
  <si>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</si>
  <si>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</si>
  <si>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</si>
  <si>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</si>
  <si>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</si>
  <si>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</si>
  <si>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</si>
  <si>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</si>
  <si>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</si>
  <si>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</si>
  <si>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</si>
  <si>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</si>
  <si>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</si>
  <si>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</si>
  <si>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</si>
  <si>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</si>
  <si>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</si>
  <si>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</si>
  <si>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</si>
  <si>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</si>
  <si>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</si>
  <si>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</si>
  <si>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</si>
  <si>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</si>
  <si>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</si>
  <si>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</si>
  <si>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</si>
  <si>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</si>
  <si>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</si>
  <si>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</si>
  <si>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</si>
  <si>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</si>
  <si>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</si>
  <si>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</si>
  <si>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</si>
  <si>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</si>
  <si>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</si>
  <si>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</si>
  <si>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</si>
  <si>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</si>
  <si>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</si>
  <si>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</si>
  <si>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</si>
  <si>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</si>
  <si>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</si>
  <si>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</si>
  <si>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</si>
  <si>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</si>
  <si>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</si>
  <si>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</si>
  <si>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</si>
  <si>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</si>
  <si>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</si>
  <si>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</si>
  <si>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</si>
  <si>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</si>
  <si>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</si>
  <si>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</si>
  <si>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</si>
  <si>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</si>
  <si>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</si>
  <si>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</si>
  <si>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</si>
  <si>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</si>
  <si>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</si>
  <si>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</si>
  <si>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</si>
  <si>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</si>
  <si>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</si>
  <si>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</si>
  <si>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</si>
  <si>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</si>
  <si>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</si>
  <si>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</si>
  <si>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</si>
  <si>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</si>
  <si>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</si>
  <si>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</si>
  <si>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</si>
  <si>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</si>
  <si>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</si>
  <si>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</si>
  <si>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</si>
  <si>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</si>
  <si>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</si>
  <si>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</si>
  <si>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</si>
  <si>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</si>
  <si>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</si>
  <si>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</si>
  <si>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</si>
  <si>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</si>
  <si>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</si>
  <si>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</si>
  <si>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</si>
  <si>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</si>
  <si>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</si>
  <si>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</si>
  <si>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</si>
  <si>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</si>
  <si>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</si>
  <si>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</si>
  <si>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</si>
  <si>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</si>
  <si>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</si>
  <si>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</si>
  <si>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</si>
  <si>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</si>
  <si>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</si>
  <si>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</si>
  <si>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</si>
  <si>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</si>
  <si>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</si>
  <si>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</si>
  <si>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</si>
  <si>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</si>
  <si>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</si>
  <si>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</si>
  <si>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</si>
  <si>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</si>
  <si>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</si>
  <si>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</si>
  <si>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</si>
  <si>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</si>
  <si>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</si>
  <si>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</si>
  <si>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</si>
  <si>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</si>
  <si>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</si>
  <si>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</si>
  <si>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</si>
  <si>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</si>
  <si>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</si>
  <si>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</si>
  <si>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</si>
  <si>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</si>
  <si>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</si>
  <si>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</si>
  <si>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</si>
  <si>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</si>
  <si>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</si>
  <si>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</si>
  <si>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</si>
  <si>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</si>
  <si>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</si>
  <si>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</si>
  <si>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</si>
  <si>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</si>
  <si>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</si>
  <si>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</si>
  <si>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</si>
  <si>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</si>
  <si>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</si>
  <si>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</si>
  <si>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</si>
  <si>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</si>
  <si>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</si>
  <si>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</si>
  <si>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</si>
  <si>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</si>
  <si>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</si>
  <si>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</si>
  <si>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</si>
  <si>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</si>
  <si>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</si>
  <si>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</si>
  <si>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</si>
  <si>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</si>
  <si>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</si>
  <si>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</si>
  <si>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</si>
  <si>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</si>
  <si>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</si>
  <si>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</si>
  <si>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</si>
  <si>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</si>
  <si>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</si>
  <si>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</si>
  <si>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</si>
  <si>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</si>
  <si>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</si>
  <si>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</si>
  <si>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</si>
  <si>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</si>
  <si>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</si>
  <si>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</si>
  <si>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</si>
  <si>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</si>
  <si>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</si>
  <si>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</si>
  <si>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</si>
  <si>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</si>
  <si>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</si>
  <si>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</si>
  <si>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</si>
  <si>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</si>
  <si>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</si>
  <si>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</si>
  <si>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</si>
  <si>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</si>
  <si>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</si>
  <si>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</si>
  <si>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</si>
  <si>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</si>
  <si>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</si>
  <si>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</si>
  <si>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</si>
  <si>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</si>
  <si>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</si>
  <si>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</si>
  <si>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</si>
  <si>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</si>
  <si>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</si>
  <si>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</si>
  <si>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</si>
  <si>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</si>
  <si>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</si>
  <si>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</si>
  <si>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</si>
  <si>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</si>
  <si>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</si>
  <si>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</si>
  <si>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</si>
  <si>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</si>
  <si>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</si>
  <si>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</si>
  <si>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</si>
  <si>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</si>
  <si>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</si>
  <si>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</si>
  <si>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</si>
  <si>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</si>
  <si>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</si>
  <si>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</si>
  <si>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</si>
  <si>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</si>
  <si>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</si>
  <si>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</si>
  <si>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</si>
  <si>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</si>
  <si>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</si>
  <si>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</si>
  <si>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</si>
  <si>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</si>
  <si>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</si>
  <si>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</si>
  <si>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</si>
  <si>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</si>
  <si>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</si>
  <si>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</si>
  <si>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</si>
  <si>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</si>
  <si>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</si>
  <si>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</si>
  <si>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</si>
  <si>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</si>
  <si>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</si>
  <si>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</si>
  <si>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</si>
  <si>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</si>
  <si>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</si>
  <si>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</si>
  <si>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</si>
  <si>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</si>
  <si>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</si>
  <si>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</si>
  <si>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</si>
  <si>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</si>
  <si>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</si>
  <si>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</si>
  <si>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</si>
  <si>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</si>
  <si>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</si>
  <si>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</si>
  <si>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</si>
  <si>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</si>
  <si>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</si>
  <si>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</si>
  <si>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</si>
  <si>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</si>
  <si>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</si>
  <si>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</si>
  <si>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</si>
  <si>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</si>
  <si>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</si>
  <si>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</si>
  <si>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</si>
  <si>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</si>
  <si>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</si>
  <si>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</si>
  <si>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</si>
  <si>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</si>
  <si>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</si>
  <si>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</si>
  <si>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</si>
  <si>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</si>
  <si>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</si>
  <si>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</si>
  <si>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</si>
  <si>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</si>
  <si>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</si>
  <si>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</si>
  <si>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</si>
  <si>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</si>
  <si>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</si>
  <si>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</si>
  <si>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</si>
  <si>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</si>
  <si>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</si>
  <si>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</si>
  <si>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</si>
  <si>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</si>
  <si>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</si>
  <si>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</si>
  <si>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</si>
  <si>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</si>
  <si>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</si>
  <si>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</si>
  <si>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</si>
  <si>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</si>
  <si>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</si>
  <si>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</si>
  <si>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</si>
  <si>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</si>
  <si>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</si>
  <si>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</si>
  <si>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</si>
  <si>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</si>
  <si>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</si>
  <si>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</si>
  <si>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</si>
  <si>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</si>
  <si>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</si>
  <si>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</si>
  <si>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</si>
  <si>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</si>
  <si>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</si>
  <si>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</si>
  <si>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</si>
  <si>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</si>
  <si>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</si>
  <si>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</si>
  <si>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</si>
  <si>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</si>
  <si>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</si>
  <si>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</si>
  <si>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</si>
  <si>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</si>
  <si>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</si>
  <si>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</si>
  <si>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</si>
  <si>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</si>
  <si>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</si>
  <si>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</si>
  <si>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</si>
  <si>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</si>
  <si>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</si>
  <si>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</si>
  <si>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</si>
  <si>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</si>
  <si>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</si>
  <si>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</si>
  <si>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</si>
  <si>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</si>
  <si>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</si>
  <si>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</si>
  <si>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</si>
  <si>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</si>
  <si>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</si>
  <si>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</si>
  <si>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</si>
  <si>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</si>
  <si>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</si>
  <si>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</si>
  <si>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</si>
  <si>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</si>
  <si>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</si>
  <si>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</si>
  <si>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</si>
  <si>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</si>
  <si>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</si>
  <si>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</si>
  <si>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</si>
  <si>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</si>
  <si>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</si>
  <si>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</si>
  <si>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</si>
  <si>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</si>
  <si>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</si>
  <si>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</si>
  <si>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</si>
  <si>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</si>
  <si>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</si>
  <si>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</si>
  <si>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</si>
  <si>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</si>
  <si>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</si>
  <si>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</si>
  <si>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</si>
  <si>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</si>
  <si>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</si>
  <si>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</si>
  <si>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</si>
  <si>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</si>
  <si>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</si>
  <si>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</si>
  <si>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</si>
  <si>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</si>
  <si>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</si>
  <si>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</si>
  <si>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</si>
  <si>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</si>
  <si>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</si>
  <si>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</si>
  <si>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</si>
  <si>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</si>
  <si>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</si>
  <si>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</si>
  <si>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</si>
  <si>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</si>
  <si>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</si>
  <si>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</si>
  <si>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</si>
  <si>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</si>
  <si>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</si>
  <si>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</si>
  <si>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</si>
  <si>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</si>
  <si>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</si>
  <si>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</si>
  <si>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</si>
  <si>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</si>
  <si>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</si>
  <si>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</si>
  <si>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</si>
  <si>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</si>
  <si>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</si>
  <si>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</si>
  <si>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</si>
  <si>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</si>
  <si>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</si>
  <si>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</si>
  <si>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</si>
  <si>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</si>
  <si>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</si>
  <si>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</si>
  <si>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</si>
  <si>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</si>
  <si>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</si>
  <si>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</si>
  <si>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</si>
  <si>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</si>
  <si>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</si>
  <si>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</si>
  <si>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</si>
  <si>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</si>
  <si>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</si>
  <si>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</si>
  <si>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</si>
  <si>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</si>
  <si>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</si>
  <si>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</si>
  <si>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</si>
  <si>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</si>
  <si>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</si>
  <si>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</si>
  <si>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</si>
  <si>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</si>
  <si>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</si>
  <si>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</si>
  <si>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</si>
  <si>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</si>
  <si>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</si>
  <si>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</si>
  <si>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</si>
  <si>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</si>
  <si>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</si>
  <si>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</si>
  <si>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</si>
  <si>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</si>
  <si>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</si>
  <si>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</si>
  <si>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</si>
  <si>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</si>
  <si>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</si>
  <si>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</si>
  <si>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</si>
  <si>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</si>
  <si>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</si>
  <si>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</si>
  <si>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</si>
  <si>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</si>
  <si>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</si>
  <si>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</si>
  <si>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</si>
  <si>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</si>
  <si>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</si>
  <si>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</si>
  <si>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</si>
  <si>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</si>
  <si>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</si>
  <si>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</si>
  <si>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</si>
  <si>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</si>
  <si>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</si>
  <si>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</si>
  <si>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</si>
  <si>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</si>
  <si>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</si>
  <si>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</si>
  <si>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</si>
  <si>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</si>
  <si>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</si>
  <si>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</si>
  <si>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</si>
  <si>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</si>
  <si>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</si>
  <si>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</si>
  <si>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</si>
  <si>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</si>
  <si>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</si>
  <si>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</si>
  <si>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</si>
  <si>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</si>
  <si>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</si>
  <si>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</si>
  <si>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</si>
  <si>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</si>
  <si>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</si>
  <si>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</si>
  <si>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</si>
  <si>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</si>
  <si>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</si>
  <si>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</si>
  <si>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</si>
  <si>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</si>
  <si>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</si>
  <si>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</si>
  <si>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</si>
  <si>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</si>
  <si>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</si>
  <si>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</si>
  <si>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</si>
  <si>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</si>
  <si>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</si>
  <si>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</si>
  <si>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</si>
  <si>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</si>
  <si>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</si>
  <si>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</si>
  <si>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</si>
  <si>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</si>
  <si>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</si>
  <si>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</si>
  <si>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</si>
  <si>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</si>
  <si>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</si>
  <si>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</si>
  <si>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</si>
  <si>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</si>
  <si>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</si>
  <si>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</si>
  <si>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</si>
  <si>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</si>
  <si>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</si>
  <si>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</si>
  <si>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</si>
  <si>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</si>
  <si>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</si>
  <si>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</si>
  <si>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</si>
  <si>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</si>
  <si>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</si>
  <si>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</si>
  <si>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</si>
  <si>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</si>
  <si>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</si>
  <si>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</si>
  <si>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</si>
  <si>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</si>
  <si>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</si>
  <si>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</si>
  <si>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</si>
  <si>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</si>
  <si>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</si>
  <si>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</si>
  <si>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</si>
  <si>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</si>
  <si>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</si>
  <si>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</si>
  <si>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</si>
  <si>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</si>
  <si>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</si>
  <si>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</si>
  <si>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</si>
  <si>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</si>
  <si>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</si>
  <si>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</si>
  <si>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</si>
  <si>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</si>
  <si>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</si>
  <si>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</si>
  <si>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</si>
  <si>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</si>
  <si>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</si>
  <si>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</si>
  <si>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</si>
  <si>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</si>
  <si>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</si>
  <si>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</si>
  <si>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</si>
  <si>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</si>
  <si>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</si>
  <si>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</si>
  <si>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</si>
  <si>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</si>
  <si>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</si>
  <si>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</si>
  <si>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</si>
  <si>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</si>
  <si>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</si>
  <si>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</si>
  <si>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</si>
  <si>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</si>
  <si>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</si>
  <si>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</si>
  <si>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</si>
  <si>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</si>
  <si>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</si>
  <si>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</si>
  <si>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</si>
  <si>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</si>
  <si>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</si>
  <si>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</si>
  <si>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</si>
  <si>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</si>
  <si>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</si>
  <si>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</si>
  <si>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</si>
  <si>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</si>
  <si>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</si>
  <si>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</si>
  <si>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</si>
  <si>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</si>
  <si>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</si>
  <si>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</si>
  <si>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</si>
  <si>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</si>
  <si>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</si>
  <si>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</si>
  <si>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</si>
  <si>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</si>
  <si>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</si>
  <si>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</si>
  <si>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</si>
  <si>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</si>
  <si>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</si>
  <si>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</si>
  <si>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</si>
  <si>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</si>
  <si>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</si>
  <si>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</si>
  <si>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</si>
  <si>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</si>
  <si>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</si>
  <si>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</si>
  <si>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</si>
  <si>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</si>
  <si>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</si>
  <si>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</si>
  <si>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</si>
  <si>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</si>
  <si>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</si>
  <si>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</si>
  <si>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</si>
  <si>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</si>
  <si>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</si>
  <si>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</si>
  <si>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</si>
  <si>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</si>
  <si>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</si>
  <si>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</si>
  <si>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</si>
  <si>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</si>
  <si>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</si>
  <si>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</si>
  <si>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</si>
  <si>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</si>
  <si>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</si>
  <si>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</si>
  <si>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</si>
  <si>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</si>
  <si>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</si>
  <si>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</si>
  <si>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</si>
  <si>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</si>
  <si>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</si>
  <si>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</si>
  <si>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</si>
  <si>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</si>
  <si>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</si>
  <si>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</si>
  <si>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</si>
  <si>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</si>
  <si>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</si>
  <si>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</si>
  <si>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</si>
  <si>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</si>
  <si>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</si>
  <si>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</si>
  <si>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</si>
  <si>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</si>
  <si>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</si>
  <si>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</si>
  <si>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</si>
  <si>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</si>
  <si>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</si>
  <si>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</si>
  <si>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</si>
  <si>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</si>
  <si>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</si>
  <si>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</si>
  <si>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</si>
  <si>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</si>
  <si>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</si>
  <si>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</si>
  <si>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</si>
  <si>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</si>
  <si>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</si>
  <si>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</si>
  <si>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</si>
  <si>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</si>
  <si>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</si>
  <si>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</si>
  <si>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</si>
  <si>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</si>
  <si>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</si>
  <si>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</si>
  <si>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</si>
  <si>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</si>
  <si>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</si>
  <si>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</si>
  <si>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</si>
  <si>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</si>
  <si>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</si>
  <si>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</si>
  <si>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</si>
  <si>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</si>
  <si>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</si>
  <si>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</si>
  <si>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</si>
  <si>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</si>
  <si>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</si>
  <si>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</si>
  <si>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</si>
  <si>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</si>
  <si>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</si>
  <si>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</si>
  <si>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</si>
  <si>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</si>
  <si>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</si>
  <si>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</si>
  <si>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</si>
  <si>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</si>
  <si>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</si>
  <si>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</si>
  <si>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</si>
  <si>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</si>
  <si>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</si>
  <si>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</si>
  <si>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</si>
  <si>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</si>
  <si>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</si>
  <si>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</si>
  <si>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</si>
  <si>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</si>
  <si>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</si>
  <si>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</si>
  <si>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</si>
  <si>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</si>
  <si>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</si>
  <si>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</si>
  <si>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</si>
  <si>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</si>
  <si>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</si>
  <si>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</si>
  <si>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</si>
  <si>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</si>
  <si>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</si>
  <si>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</si>
  <si>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</si>
  <si>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</si>
  <si>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</si>
  <si>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</si>
  <si>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</si>
  <si>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</si>
  <si>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</si>
  <si>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</si>
  <si>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</si>
  <si>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</si>
  <si>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</si>
  <si>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</si>
  <si>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</si>
  <si>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</si>
  <si>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</si>
  <si>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</si>
  <si>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</si>
  <si>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</si>
  <si>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</si>
  <si>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</si>
  <si>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</si>
  <si>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</si>
  <si>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</si>
  <si>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</si>
  <si>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</si>
  <si>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</si>
  <si>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</si>
  <si>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</si>
  <si>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</si>
  <si>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</si>
  <si>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</si>
  <si>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</si>
  <si>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</si>
  <si>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</si>
  <si>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</si>
  <si>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</si>
  <si>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</si>
  <si>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</si>
  <si>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</si>
  <si>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</si>
  <si>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</si>
  <si>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</si>
  <si>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</si>
  <si>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</si>
  <si>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</si>
  <si>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</si>
  <si>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</si>
  <si>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</si>
  <si>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</si>
  <si>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</si>
  <si>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</si>
  <si>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</si>
  <si>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</si>
  <si>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</si>
  <si>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</si>
  <si>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</si>
  <si>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</si>
  <si>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</si>
  <si>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</si>
  <si>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</si>
  <si>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</si>
  <si>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</si>
  <si>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</si>
  <si>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</si>
  <si>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</si>
  <si>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</si>
  <si>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</si>
  <si>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</si>
  <si>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</si>
  <si>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</si>
  <si>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</si>
  <si>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</si>
  <si>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</si>
  <si>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</si>
  <si>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</si>
  <si>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</si>
  <si>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</si>
  <si>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</si>
  <si>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</si>
  <si>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</si>
  <si>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</si>
  <si>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</si>
  <si>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</si>
  <si>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</si>
  <si>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</si>
  <si>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</si>
  <si>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</si>
  <si>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</si>
  <si>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</si>
  <si>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</si>
  <si>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</si>
  <si>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</si>
  <si>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</si>
  <si>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</si>
  <si>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</si>
  <si>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</si>
  <si>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</si>
  <si>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</si>
  <si>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</si>
  <si>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</si>
  <si>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</si>
  <si>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</si>
  <si>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</si>
  <si>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</si>
  <si>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</si>
  <si>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</si>
  <si>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</si>
  <si>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</si>
  <si>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</si>
  <si>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</si>
  <si>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</si>
  <si>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</si>
  <si>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</si>
  <si>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</si>
  <si>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</si>
  <si>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</si>
  <si>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</si>
  <si>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</si>
  <si>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</si>
  <si>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</si>
  <si>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</si>
  <si>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</si>
  <si>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</si>
  <si>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</si>
  <si>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</si>
  <si>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</si>
  <si>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</si>
  <si>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</si>
  <si>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</si>
  <si>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</si>
  <si>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</si>
  <si>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</si>
  <si>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</si>
  <si>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</si>
  <si>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</si>
  <si>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</si>
  <si>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</si>
  <si>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</si>
  <si>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</si>
  <si>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</si>
  <si>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</si>
  <si>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</si>
  <si>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</si>
  <si>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</si>
  <si>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</si>
  <si>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</si>
  <si>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</si>
  <si>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</si>
  <si>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</si>
  <si>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</si>
  <si>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</si>
  <si>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</si>
  <si>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</si>
  <si>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</si>
  <si>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</si>
  <si>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</si>
  <si>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</si>
  <si>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</si>
  <si>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</si>
  <si>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</si>
  <si>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</si>
  <si>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</si>
  <si>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</si>
  <si>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</si>
  <si>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</si>
  <si>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</si>
  <si>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</si>
  <si>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</si>
  <si>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</si>
  <si>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</si>
  <si>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</si>
  <si>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</si>
  <si>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</si>
  <si>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</si>
  <si>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</si>
  <si>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</si>
  <si>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</si>
  <si>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</si>
  <si>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</si>
  <si>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</si>
  <si>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</si>
  <si>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</si>
  <si>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</si>
  <si>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</si>
  <si>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</si>
  <si>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</si>
  <si>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</si>
  <si>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</si>
  <si>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</si>
  <si>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</si>
  <si>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</si>
  <si>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</si>
  <si>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</si>
  <si>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</si>
  <si>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</si>
  <si>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</si>
  <si>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</si>
  <si>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</si>
  <si>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</si>
  <si>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</si>
  <si>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</si>
  <si>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</si>
  <si>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</si>
  <si>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</si>
  <si>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</si>
  <si>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</si>
  <si>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</si>
  <si>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</si>
  <si>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</si>
  <si>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</si>
  <si>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</si>
  <si>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</si>
  <si>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</si>
  <si>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</si>
  <si>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</si>
  <si>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</si>
  <si>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</si>
  <si>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</si>
  <si>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</si>
  <si>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</si>
  <si>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</si>
  <si>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</si>
  <si>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</si>
  <si>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</si>
  <si>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</si>
  <si>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</si>
  <si>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</si>
  <si>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</si>
  <si>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</si>
  <si>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</si>
  <si>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</si>
  <si>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</si>
  <si>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</si>
  <si>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</si>
  <si>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</si>
  <si>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</si>
  <si>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</si>
  <si>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</si>
  <si>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</si>
  <si>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</si>
  <si>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</si>
  <si>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</si>
  <si>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</si>
  <si>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</si>
  <si>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</si>
  <si>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</si>
  <si>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</si>
  <si>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</si>
  <si>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</si>
  <si>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</si>
  <si>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</si>
  <si>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</si>
  <si>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</si>
  <si>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</si>
  <si>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</si>
  <si>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</si>
  <si>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</si>
  <si>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</si>
  <si>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</si>
  <si>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</si>
  <si>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</si>
  <si>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</si>
  <si>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</si>
  <si>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</si>
  <si>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</si>
  <si>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</si>
  <si>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</si>
  <si>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</si>
  <si>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</si>
  <si>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</si>
  <si>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</si>
  <si>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</si>
  <si>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</si>
  <si>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</si>
  <si>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</si>
  <si>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</si>
  <si>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</si>
  <si>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</si>
  <si>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</si>
  <si>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</si>
  <si>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</si>
  <si>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</si>
  <si>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</si>
  <si>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</si>
  <si>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</si>
  <si>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</si>
  <si>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</si>
  <si>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</si>
  <si>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</si>
  <si>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</si>
  <si>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</si>
  <si>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</si>
  <si>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</si>
  <si>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</si>
  <si>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</si>
  <si>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</si>
  <si>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</si>
  <si>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</si>
  <si>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</si>
  <si>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</si>
  <si>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</si>
  <si>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</si>
  <si>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</si>
  <si>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</si>
  <si>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</si>
  <si>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</si>
  <si>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</si>
  <si>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</si>
  <si>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</si>
  <si>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</si>
  <si>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</si>
  <si>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</si>
  <si>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</si>
  <si>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</si>
  <si>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</si>
  <si>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</si>
  <si>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</si>
  <si>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</si>
  <si>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</si>
  <si>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</si>
  <si>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</si>
  <si>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</si>
  <si>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</si>
  <si>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</si>
  <si>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</si>
  <si>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</si>
  <si>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</si>
  <si>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</si>
  <si>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</si>
  <si>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</si>
  <si>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</si>
  <si>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</si>
  <si>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</si>
  <si>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</si>
  <si>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</si>
  <si>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</si>
  <si>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</si>
  <si>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</si>
  <si>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</si>
  <si>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</si>
  <si>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</si>
  <si>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</si>
  <si>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</si>
  <si>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</si>
  <si>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</si>
  <si>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</si>
  <si>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</si>
  <si>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</si>
  <si>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</si>
  <si>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</si>
  <si>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</si>
  <si>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</si>
  <si>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</si>
  <si>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</si>
  <si>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</si>
  <si>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</si>
  <si>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</si>
  <si>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</si>
  <si>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</si>
  <si>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</si>
  <si>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</si>
  <si>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</si>
  <si>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</si>
  <si>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</si>
  <si>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</si>
  <si>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</si>
  <si>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</si>
  <si>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</si>
  <si>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</si>
  <si>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</si>
  <si>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</si>
  <si>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</si>
  <si>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</si>
  <si>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</si>
  <si>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</si>
  <si>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</si>
  <si>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</si>
  <si>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</si>
  <si>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</si>
  <si>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</si>
  <si>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</si>
  <si>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</si>
  <si>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</si>
  <si>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</si>
  <si>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</si>
  <si>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</si>
  <si>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</si>
  <si>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</si>
  <si>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</si>
  <si>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</si>
  <si>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</si>
  <si>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</si>
  <si>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</si>
  <si>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</si>
  <si>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</si>
  <si>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</si>
  <si>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</si>
  <si>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</si>
  <si>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</si>
  <si>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</si>
  <si>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</si>
  <si>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</si>
  <si>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</si>
  <si>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</si>
  <si>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</si>
  <si>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</si>
  <si>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</si>
  <si>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</si>
  <si>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</si>
  <si>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</si>
  <si>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</si>
  <si>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</si>
  <si>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</si>
  <si>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</si>
  <si>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</si>
  <si>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</si>
  <si>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</si>
  <si>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</si>
  <si>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</si>
  <si>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</si>
  <si>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</si>
  <si>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</si>
  <si>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</si>
  <si>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</si>
  <si>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</si>
  <si>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</si>
  <si>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</si>
  <si>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</si>
  <si>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</si>
  <si>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</si>
  <si>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</si>
  <si>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</si>
  <si>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</si>
  <si>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</si>
  <si>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</si>
  <si>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</si>
  <si>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</si>
  <si>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</si>
  <si>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</si>
  <si>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</si>
  <si>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</si>
  <si>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</si>
  <si>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</si>
  <si>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</si>
  <si>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</si>
  <si>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</si>
  <si>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</si>
  <si>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</si>
  <si>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</si>
  <si>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</si>
  <si>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</si>
  <si>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</si>
  <si>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</si>
  <si>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</si>
  <si>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</si>
  <si>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</si>
  <si>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</si>
  <si>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</si>
  <si>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</si>
  <si>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</si>
  <si>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</si>
  <si>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</si>
  <si>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</si>
  <si>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</si>
  <si>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</si>
  <si>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</si>
  <si>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</si>
  <si>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</si>
  <si>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</si>
  <si>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</si>
  <si>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</si>
  <si>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</si>
  <si>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</si>
  <si>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</si>
  <si>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</si>
  <si>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</si>
  <si>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</si>
  <si>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</si>
  <si>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</si>
  <si>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</si>
  <si>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</si>
  <si>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</si>
  <si>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</si>
  <si>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</si>
  <si>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</si>
  <si>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</si>
  <si>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</si>
  <si>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</si>
  <si>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</si>
  <si>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</si>
  <si>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</si>
  <si>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</si>
  <si>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</si>
  <si>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</si>
  <si>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</si>
  <si>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</si>
  <si>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</si>
  <si>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</si>
  <si>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</si>
  <si>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</si>
  <si>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</si>
  <si>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</si>
  <si>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</si>
  <si>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</si>
  <si>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</si>
  <si>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</si>
  <si>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</si>
  <si>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</si>
  <si>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</si>
  <si>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</si>
  <si>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</si>
  <si>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</si>
  <si>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</si>
  <si>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</si>
  <si>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</si>
  <si>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</si>
  <si>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</si>
  <si>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</si>
  <si>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</si>
  <si>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</si>
  <si>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</si>
  <si>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</si>
  <si>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</si>
  <si>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</si>
  <si>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</si>
  <si>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</si>
  <si>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</si>
  <si>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</si>
  <si>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</si>
  <si>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</si>
  <si>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</si>
  <si>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</si>
  <si>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</si>
  <si>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</si>
  <si>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</si>
  <si>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</si>
  <si>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</si>
  <si>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</si>
  <si>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</si>
  <si>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</si>
  <si>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</si>
  <si>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</si>
  <si>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</si>
  <si>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</si>
  <si>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</si>
  <si>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</si>
  <si>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</si>
  <si>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</si>
  <si>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</si>
  <si>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</si>
  <si>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</si>
  <si>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</si>
  <si>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</si>
  <si>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</si>
  <si>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</si>
  <si>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</si>
  <si>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</si>
  <si>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</si>
  <si>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</si>
  <si>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</si>
  <si>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</si>
  <si>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</si>
  <si>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</si>
  <si>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</si>
  <si>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</si>
  <si>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</si>
  <si>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</si>
  <si>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</si>
  <si>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</si>
  <si>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</si>
  <si>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</si>
  <si>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</si>
  <si>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</si>
  <si>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</si>
  <si>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</si>
  <si>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</si>
  <si>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</si>
  <si>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</si>
  <si>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</si>
  <si>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</si>
  <si>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</si>
  <si>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</si>
  <si>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</si>
  <si>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</si>
  <si>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</si>
  <si>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</si>
  <si>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</si>
  <si>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</si>
  <si>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</si>
  <si>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</si>
  <si>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</si>
  <si>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</si>
  <si>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</si>
  <si>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</si>
  <si>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</si>
  <si>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</si>
  <si>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</si>
  <si>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</si>
  <si>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</si>
  <si>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</si>
  <si>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</si>
  <si>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</si>
  <si>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</si>
  <si>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</si>
  <si>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</si>
  <si>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</si>
  <si>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</si>
  <si>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</si>
  <si>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</si>
  <si>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</si>
  <si>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</si>
  <si>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</si>
  <si>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</si>
  <si>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</si>
  <si>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</si>
  <si>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</si>
  <si>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</si>
  <si>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</si>
  <si>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</si>
  <si>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</si>
  <si>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</si>
  <si>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</si>
  <si>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</si>
  <si>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</si>
  <si>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</si>
  <si>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</si>
  <si>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</si>
  <si>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</si>
  <si>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</si>
  <si>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</si>
  <si>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</si>
  <si>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</si>
  <si>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</si>
  <si>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</si>
  <si>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</si>
  <si>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</si>
  <si>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</si>
  <si>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</si>
  <si>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</si>
  <si>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</si>
  <si>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</si>
  <si>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</si>
  <si>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</si>
  <si>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</si>
  <si>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</si>
  <si>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</si>
  <si>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</si>
  <si>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</si>
  <si>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</si>
  <si>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</si>
  <si>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</si>
  <si>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</si>
  <si>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</si>
  <si>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</si>
  <si>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</si>
  <si>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</si>
  <si>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</si>
  <si>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</si>
  <si>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</si>
  <si>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</si>
  <si>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</si>
  <si>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</si>
  <si>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</si>
  <si>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</si>
  <si>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</si>
  <si>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</si>
  <si>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</si>
  <si>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</si>
  <si>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</si>
  <si>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</si>
  <si>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</si>
  <si>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</si>
  <si>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</si>
  <si>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</si>
  <si>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</si>
  <si>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</si>
  <si>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</si>
  <si>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</si>
  <si>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</si>
  <si>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</si>
  <si>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</si>
  <si>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</si>
  <si>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</si>
  <si>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</si>
  <si>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</si>
  <si>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</si>
  <si>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</si>
  <si>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</si>
  <si>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</si>
  <si>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</si>
  <si>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</si>
  <si>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</si>
  <si>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</si>
  <si>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</si>
  <si>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</si>
  <si>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</si>
  <si>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</si>
  <si>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</si>
  <si>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</si>
  <si>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</si>
  <si>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</si>
  <si>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</si>
  <si>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</si>
  <si>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</si>
  <si>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</si>
  <si>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</si>
  <si>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</si>
  <si>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</si>
  <si>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</si>
  <si>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</si>
  <si>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</si>
  <si>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</si>
  <si>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</si>
  <si>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</si>
  <si>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</si>
  <si>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</si>
  <si>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</si>
  <si>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</si>
  <si>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</si>
  <si>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</si>
  <si>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</si>
  <si>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</si>
  <si>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</si>
  <si>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</si>
  <si>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</si>
  <si>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</si>
  <si>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</si>
  <si>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</si>
  <si>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</si>
  <si>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</si>
  <si>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</si>
  <si>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</si>
  <si>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</si>
  <si>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</si>
  <si>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</si>
  <si>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</si>
  <si>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</si>
  <si>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</si>
  <si>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</si>
  <si>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</si>
  <si>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</si>
  <si>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</si>
  <si>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</si>
  <si>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</si>
  <si>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</si>
  <si>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</si>
  <si>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</si>
  <si>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</si>
  <si>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</si>
  <si>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</si>
  <si>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</si>
  <si>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</si>
  <si>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</si>
  <si>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</si>
  <si>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</si>
  <si>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</si>
  <si>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</si>
  <si>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</si>
  <si>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</si>
  <si>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</si>
  <si>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</si>
  <si>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</si>
  <si>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</si>
  <si>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</si>
  <si>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</si>
  <si>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</si>
  <si>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</si>
  <si>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</si>
  <si>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</si>
  <si>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</si>
  <si>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</si>
  <si>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</si>
  <si>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</si>
  <si>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</si>
  <si>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</si>
  <si>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</si>
  <si>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</si>
  <si>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</si>
  <si>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</si>
  <si>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</si>
  <si>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</si>
  <si>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</si>
  <si>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</si>
  <si>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</si>
  <si>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</si>
  <si>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</si>
  <si>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</si>
  <si>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</si>
  <si>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</si>
  <si>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</si>
  <si>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</si>
  <si>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</si>
  <si>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</si>
  <si>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</si>
  <si>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</si>
  <si>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</si>
  <si>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</si>
  <si>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</si>
  <si>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</si>
  <si>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</si>
  <si>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</si>
  <si>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</si>
  <si>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</si>
  <si>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</si>
  <si>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</si>
  <si>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</si>
  <si>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</si>
  <si>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</si>
  <si>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</si>
  <si>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</si>
  <si>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</si>
  <si>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</si>
  <si>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</si>
  <si>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</si>
  <si>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</si>
  <si>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</si>
  <si>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</si>
  <si>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</si>
  <si>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</si>
  <si>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</si>
  <si>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</si>
  <si>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</si>
  <si>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</si>
  <si>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</si>
  <si>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</si>
  <si>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</si>
  <si>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</si>
  <si>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</si>
  <si>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</si>
  <si>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</si>
  <si>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</si>
  <si>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</si>
  <si>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</si>
  <si>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</si>
  <si>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</si>
  <si>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</si>
  <si>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</si>
  <si>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</si>
  <si>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</si>
  <si>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</si>
  <si>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</si>
  <si>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</si>
  <si>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</si>
  <si>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</si>
  <si>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</si>
  <si>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</si>
  <si>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</si>
  <si>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</si>
  <si>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</si>
  <si>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</si>
  <si>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</si>
  <si>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</si>
  <si>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</si>
  <si>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</si>
  <si>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</si>
  <si>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</si>
  <si>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</si>
  <si>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</si>
  <si>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</si>
  <si>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</si>
  <si>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</si>
  <si>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</si>
  <si>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</si>
  <si>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</si>
  <si>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</si>
  <si>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</si>
  <si>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</si>
  <si>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</si>
  <si>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</si>
  <si>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</si>
  <si>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</si>
  <si>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</si>
  <si>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</si>
  <si>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</si>
  <si>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</si>
  <si>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</si>
  <si>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</si>
  <si>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</si>
  <si>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</si>
  <si>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</si>
  <si>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</si>
  <si>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</si>
  <si>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</si>
  <si>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</si>
  <si>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</si>
  <si>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</si>
  <si>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</si>
  <si>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</si>
  <si>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</si>
  <si>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</si>
  <si>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</si>
  <si>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</si>
  <si>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</si>
  <si>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</si>
  <si>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</si>
  <si>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</si>
  <si>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</si>
  <si>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</si>
  <si>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</si>
  <si>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</si>
  <si>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</si>
  <si>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</si>
  <si>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</si>
  <si>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</si>
  <si>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</si>
  <si>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</si>
  <si>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</si>
  <si>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</si>
  <si>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</si>
  <si>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</si>
  <si>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</si>
  <si>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</si>
  <si>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</si>
  <si>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</si>
  <si>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</si>
  <si>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</si>
  <si>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</si>
  <si>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</si>
  <si>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</si>
  <si>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</si>
  <si>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</si>
  <si>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</si>
  <si>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</si>
  <si>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</si>
  <si>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</si>
  <si>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</si>
  <si>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</si>
  <si>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</si>
  <si>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</si>
  <si>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</si>
  <si>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</si>
  <si>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</si>
  <si>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</si>
  <si>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</si>
  <si>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</si>
  <si>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</si>
  <si>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</si>
  <si>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</si>
  <si>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</si>
  <si>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</si>
  <si>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</si>
  <si>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</si>
  <si>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</si>
  <si>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</si>
  <si>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</si>
  <si>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</si>
  <si>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</si>
  <si>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</si>
  <si>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</si>
  <si>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</si>
  <si>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</si>
  <si>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</si>
  <si>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</si>
  <si>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</si>
  <si>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</si>
  <si>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</si>
  <si>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</si>
  <si>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</si>
  <si>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</si>
  <si>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</si>
  <si>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</si>
  <si>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</si>
  <si>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</si>
  <si>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</si>
  <si>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</si>
  <si>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</si>
  <si>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</si>
  <si>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</si>
  <si>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</si>
  <si>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</si>
  <si>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</si>
  <si>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</si>
  <si>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</si>
  <si>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</si>
  <si>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</si>
  <si>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</si>
  <si>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</si>
  <si>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</si>
  <si>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</si>
  <si>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</si>
  <si>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</si>
  <si>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</si>
  <si>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</si>
  <si>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</si>
  <si>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</si>
  <si>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</si>
  <si>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</si>
  <si>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</si>
  <si>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</si>
  <si>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</si>
  <si>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</si>
  <si>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</si>
  <si>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</si>
  <si>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</si>
  <si>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</si>
  <si>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</si>
  <si>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</si>
  <si>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</si>
  <si>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</si>
  <si>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</si>
  <si>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</si>
  <si>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</si>
  <si>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</si>
  <si>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</si>
  <si>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</si>
  <si>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</si>
  <si>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</si>
  <si>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</si>
  <si>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</si>
  <si>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</si>
  <si>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</si>
  <si>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</si>
  <si>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</si>
  <si>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</si>
  <si>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</si>
  <si>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</si>
  <si>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</si>
  <si>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</si>
  <si>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</si>
  <si>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</si>
  <si>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</si>
  <si>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</si>
  <si>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</si>
  <si>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</si>
  <si>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</si>
  <si>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</si>
  <si>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</si>
  <si>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</si>
  <si>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</si>
  <si>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</si>
  <si>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</si>
  <si>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</si>
  <si>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</si>
  <si>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</si>
  <si>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</si>
  <si>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</si>
  <si>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</si>
  <si>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</si>
  <si>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</si>
  <si>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</si>
  <si>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</si>
  <si>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</si>
  <si>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</si>
  <si>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</si>
  <si>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</si>
  <si>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</si>
  <si>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</si>
  <si>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</si>
  <si>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</si>
  <si>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</si>
  <si>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</si>
  <si>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</si>
  <si>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</si>
  <si>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</si>
  <si>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</si>
  <si>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</si>
  <si>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</si>
  <si>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</si>
  <si>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</si>
  <si>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</si>
  <si>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</si>
  <si>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</si>
  <si>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</si>
  <si>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</si>
  <si>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</si>
  <si>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</si>
  <si>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</si>
  <si>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</si>
  <si>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</si>
  <si>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</si>
  <si>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</si>
  <si>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</si>
  <si>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</si>
  <si>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</si>
  <si>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</si>
  <si>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</si>
  <si>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</si>
  <si>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</si>
  <si>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</si>
  <si>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</si>
  <si>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</si>
  <si>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</si>
  <si>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</si>
  <si>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</si>
  <si>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</si>
  <si>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</si>
  <si>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</si>
  <si>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</si>
  <si>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</si>
  <si>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</si>
  <si>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</si>
  <si>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</si>
  <si>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</si>
  <si>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</si>
  <si>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</si>
  <si>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</si>
  <si>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</si>
  <si>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</si>
  <si>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</si>
  <si>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</si>
  <si>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</si>
  <si>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</si>
  <si>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</si>
  <si>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</si>
  <si>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</si>
  <si>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</si>
  <si>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</si>
  <si>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</si>
  <si>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</si>
  <si>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</si>
  <si>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</si>
  <si>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</si>
  <si>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</si>
  <si>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</si>
  <si>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</si>
  <si>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</si>
  <si>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</si>
  <si>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</si>
  <si>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</si>
  <si>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</si>
  <si>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</si>
  <si>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</si>
  <si>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</si>
  <si>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</si>
  <si>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</si>
  <si>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</si>
  <si>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</si>
  <si>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</si>
  <si>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</si>
  <si>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</si>
  <si>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</si>
  <si>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</si>
  <si>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</si>
  <si>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</si>
  <si>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</si>
  <si>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</si>
  <si>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</si>
  <si>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</si>
  <si>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</si>
  <si>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</si>
  <si>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</si>
  <si>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</si>
  <si>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</si>
  <si>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</si>
  <si>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</si>
  <si>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</si>
  <si>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</si>
  <si>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</si>
  <si>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</si>
  <si>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</si>
  <si>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</si>
  <si>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</si>
  <si>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</si>
  <si>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</si>
  <si>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</si>
  <si>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</si>
  <si>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</si>
  <si>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</si>
  <si>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</si>
  <si>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</si>
  <si>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</si>
  <si>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</si>
  <si>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</si>
  <si>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</si>
  <si>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</si>
  <si>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</si>
  <si>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</si>
  <si>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</si>
  <si>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</si>
  <si>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</si>
  <si>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</si>
  <si>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</si>
  <si>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</si>
  <si>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</si>
  <si>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</si>
  <si>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</si>
  <si>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</si>
  <si>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</si>
  <si>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</si>
  <si>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</si>
  <si>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</si>
  <si>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</si>
  <si>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</si>
  <si>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</si>
  <si>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</si>
  <si>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</si>
  <si>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</si>
  <si>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</si>
  <si>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</si>
  <si>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</si>
  <si>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</si>
  <si>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</si>
  <si>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</si>
  <si>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</si>
  <si>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</si>
  <si>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</si>
  <si>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</si>
  <si>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</si>
  <si>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</si>
  <si>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</si>
  <si>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</si>
  <si>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</si>
  <si>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</si>
  <si>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</si>
  <si>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</si>
  <si>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</si>
  <si>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</si>
  <si>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</si>
  <si>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</si>
  <si>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</si>
  <si>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</si>
  <si>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</si>
  <si>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</si>
  <si>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</si>
  <si>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</si>
  <si>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</si>
  <si>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</si>
  <si>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</si>
  <si>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</si>
  <si>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</si>
  <si>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</si>
  <si>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</si>
  <si>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</si>
  <si>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</si>
  <si>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</si>
  <si>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</si>
  <si>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</si>
  <si>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</si>
  <si>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</si>
  <si>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</si>
  <si>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</si>
  <si>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</si>
  <si>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</si>
  <si>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</si>
  <si>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</si>
  <si>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</si>
  <si>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</si>
  <si>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</si>
  <si>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</si>
  <si>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</si>
  <si>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</si>
  <si>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</si>
  <si>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</si>
  <si>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</si>
  <si>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</si>
  <si>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</si>
  <si>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</si>
  <si>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</si>
  <si>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</si>
  <si>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</si>
  <si>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</si>
  <si>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</si>
  <si>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</si>
  <si>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</si>
  <si>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</si>
  <si>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</si>
  <si>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</si>
  <si>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</si>
  <si>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</si>
  <si>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</si>
  <si>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</si>
  <si>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</si>
  <si>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</si>
  <si>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</si>
  <si>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</si>
  <si>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</si>
  <si>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</si>
  <si>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</si>
  <si>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</si>
  <si>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</si>
  <si>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</si>
  <si>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</si>
  <si>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</si>
  <si>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</si>
  <si>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</si>
  <si>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</si>
  <si>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</si>
  <si>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</si>
  <si>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</si>
  <si>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</si>
  <si>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</si>
  <si>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</si>
  <si>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</si>
  <si>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</si>
  <si>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</si>
  <si>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</si>
  <si>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</si>
  <si>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</si>
  <si>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</si>
  <si>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</si>
  <si>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</si>
  <si>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</si>
  <si>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</si>
  <si>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</si>
  <si>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</si>
  <si>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</si>
  <si>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</si>
  <si>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</si>
  <si>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</si>
  <si>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</si>
  <si>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</si>
  <si>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</si>
  <si>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</si>
  <si>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</si>
  <si>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</si>
  <si>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</si>
  <si>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</si>
  <si>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</si>
  <si>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</si>
  <si>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</si>
  <si>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</si>
  <si>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</si>
  <si>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</si>
  <si>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</si>
  <si>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</si>
  <si>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</si>
  <si>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</si>
  <si>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</si>
  <si>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</si>
  <si>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</si>
  <si>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</si>
  <si>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</si>
  <si>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</si>
  <si>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</si>
  <si>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</si>
  <si>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</si>
  <si>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</si>
  <si>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</si>
  <si>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</si>
  <si>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</si>
  <si>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</si>
  <si>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</si>
  <si>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</si>
  <si>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</si>
  <si>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</si>
  <si>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</si>
  <si>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</si>
  <si>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</si>
  <si>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</si>
  <si>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</si>
  <si>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</si>
  <si>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</si>
  <si>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</si>
  <si>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</si>
  <si>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</si>
  <si>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</si>
  <si>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</si>
  <si>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</si>
  <si>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</si>
  <si>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</si>
  <si>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</si>
  <si>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</si>
  <si>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</si>
  <si>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</si>
  <si>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</si>
  <si>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</si>
  <si>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</si>
  <si>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</si>
  <si>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</si>
  <si>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</si>
  <si>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</si>
  <si>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</si>
  <si>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</si>
  <si>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</si>
  <si>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</si>
  <si>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</si>
  <si>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</si>
  <si>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</si>
  <si>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</si>
  <si>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</si>
  <si>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</si>
  <si>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</si>
  <si>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</si>
  <si>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</si>
  <si>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</si>
  <si>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</si>
  <si>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</si>
  <si>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</si>
  <si>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</si>
  <si>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</si>
  <si>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</si>
  <si>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</si>
  <si>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</si>
  <si>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</si>
  <si>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</si>
  <si>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</si>
  <si>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</si>
  <si>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</si>
  <si>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</si>
  <si>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</si>
  <si>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</si>
  <si>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</si>
  <si>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</si>
  <si>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</si>
  <si>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</si>
  <si>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</si>
  <si>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</si>
  <si>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</si>
  <si>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</si>
  <si>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</si>
  <si>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</si>
  <si>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</si>
  <si>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</si>
  <si>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</si>
  <si>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</si>
  <si>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</si>
  <si>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</si>
  <si>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</si>
  <si>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</si>
  <si>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</si>
  <si>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</si>
  <si>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</si>
  <si>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</si>
  <si>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</si>
  <si>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</si>
  <si>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</si>
  <si>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</si>
  <si>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</si>
  <si>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</si>
  <si>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</si>
  <si>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</si>
  <si>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</si>
  <si>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</si>
  <si>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</si>
  <si>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</si>
  <si>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</si>
  <si>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</si>
  <si>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</si>
  <si>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</si>
  <si>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</si>
  <si>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</si>
  <si>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</si>
  <si>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</si>
  <si>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</si>
  <si>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</si>
  <si>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</si>
  <si>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</si>
  <si>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</si>
  <si>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</si>
  <si>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</si>
  <si>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</si>
  <si>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</si>
  <si>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</si>
  <si>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</si>
  <si>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</si>
  <si>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</si>
  <si>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</si>
  <si>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</si>
  <si>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</si>
  <si>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</si>
  <si>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</si>
  <si>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</si>
  <si>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</si>
  <si>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</si>
  <si>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</si>
  <si>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</si>
  <si>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</si>
  <si>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</si>
  <si>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</si>
  <si>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</si>
  <si>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</si>
  <si>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</si>
  <si>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</si>
  <si>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</si>
  <si>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</si>
  <si>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</si>
  <si>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</si>
  <si>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</si>
  <si>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</si>
  <si>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</si>
  <si>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</si>
  <si>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</si>
  <si>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</si>
  <si>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</si>
  <si>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</si>
  <si>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</si>
  <si>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</si>
  <si>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</si>
  <si>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</si>
  <si>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</si>
  <si>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</si>
  <si>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</si>
  <si>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</si>
  <si>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</si>
  <si>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</si>
  <si>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</si>
  <si>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</si>
  <si>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</si>
  <si>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</si>
  <si>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</si>
  <si>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</si>
  <si>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</si>
  <si>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</si>
  <si>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</si>
  <si>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</si>
  <si>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</si>
  <si>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</si>
  <si>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</si>
  <si>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</si>
  <si>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</si>
  <si>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</si>
  <si>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</si>
  <si>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</si>
  <si>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</si>
  <si>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</si>
  <si>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</si>
  <si>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</si>
  <si>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</si>
  <si>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</si>
  <si>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</si>
  <si>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</si>
  <si>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</si>
  <si>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</si>
  <si>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</si>
  <si>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</si>
  <si>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</si>
  <si>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</si>
  <si>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</si>
  <si>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</si>
  <si>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</si>
  <si>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</si>
  <si>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</si>
  <si>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</si>
  <si>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</si>
  <si>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</si>
  <si>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</si>
  <si>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</si>
  <si>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</si>
  <si>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</si>
  <si>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</si>
  <si>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</si>
  <si>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</si>
  <si>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</si>
  <si>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</si>
  <si>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</si>
  <si>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</si>
  <si>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</si>
  <si>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</si>
  <si>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</si>
  <si>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</si>
  <si>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</si>
  <si>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</si>
  <si>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</si>
  <si>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</si>
  <si>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</si>
  <si>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</si>
  <si>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</si>
  <si>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</si>
  <si>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</si>
  <si>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</si>
  <si>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</si>
  <si>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</si>
  <si>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</si>
  <si>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</si>
  <si>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</si>
  <si>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</si>
  <si>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</si>
  <si>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</si>
  <si>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</si>
  <si>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</si>
  <si>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</si>
  <si>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</si>
  <si>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</si>
  <si>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</si>
  <si>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</si>
  <si>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</si>
  <si>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</si>
  <si>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</si>
  <si>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</si>
  <si>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</si>
  <si>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</si>
  <si>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</si>
  <si>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</si>
  <si>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</si>
  <si>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</si>
  <si>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</si>
  <si>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</si>
  <si>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</si>
  <si>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</si>
  <si>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</si>
  <si>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</si>
  <si>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</si>
  <si>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</si>
  <si>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</si>
  <si>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</si>
  <si>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</si>
  <si>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</si>
  <si>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</si>
  <si>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</si>
  <si>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</si>
  <si>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</si>
  <si>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</si>
  <si>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</si>
  <si>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</si>
  <si>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</si>
  <si>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</si>
  <si>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</si>
  <si>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</si>
  <si>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</si>
  <si>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</si>
  <si>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</si>
  <si>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</si>
  <si>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</si>
  <si>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</si>
  <si>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</si>
  <si>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</si>
  <si>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</si>
  <si>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</si>
  <si>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</si>
  <si>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</si>
  <si>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</si>
  <si>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</si>
  <si>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</si>
  <si>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</si>
  <si>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</si>
  <si>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</si>
  <si>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</si>
  <si>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</si>
  <si>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</si>
  <si>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</si>
  <si>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</si>
  <si>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</si>
  <si>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</si>
  <si>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</si>
  <si>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</si>
  <si>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</si>
  <si>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</si>
  <si>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</si>
  <si>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</si>
  <si>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</si>
  <si>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</si>
  <si>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</si>
  <si>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</si>
  <si>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</si>
  <si>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</si>
  <si>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</si>
  <si>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</si>
  <si>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</si>
  <si>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</si>
  <si>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</si>
  <si>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</si>
  <si>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</si>
  <si>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</si>
  <si>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</si>
  <si>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</si>
  <si>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</si>
  <si>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</si>
  <si>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</si>
  <si>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</si>
  <si>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</si>
  <si>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</si>
  <si>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</si>
  <si>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</si>
  <si>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</si>
  <si>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</si>
  <si>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</si>
  <si>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</si>
  <si>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</si>
  <si>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</si>
  <si>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</si>
  <si>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</si>
  <si>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</si>
  <si>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</si>
  <si>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</si>
  <si>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</si>
  <si>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</si>
  <si>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</si>
  <si>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</si>
  <si>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</si>
  <si>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</si>
  <si>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</si>
  <si>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</si>
  <si>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</si>
  <si>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</si>
  <si>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</si>
  <si>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</si>
  <si>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</si>
  <si>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</si>
  <si>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</si>
  <si>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</si>
  <si>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</si>
  <si>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</si>
  <si>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</si>
  <si>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</si>
  <si>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</si>
  <si>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</si>
  <si>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</si>
  <si>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</si>
  <si>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</si>
  <si>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</si>
  <si>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</si>
  <si>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</si>
  <si>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</si>
  <si>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</si>
  <si>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</si>
  <si>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</si>
  <si>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</si>
  <si>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</si>
  <si>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</si>
  <si>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</si>
  <si>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</si>
  <si>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</si>
  <si>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</si>
  <si>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</si>
  <si>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</si>
  <si>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</si>
  <si>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</si>
  <si>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</si>
  <si>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</si>
  <si>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</si>
  <si>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</si>
  <si>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</si>
  <si>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</si>
  <si>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</si>
  <si>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</si>
  <si>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</si>
  <si>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</si>
  <si>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</si>
  <si>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</si>
  <si>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</si>
  <si>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</si>
  <si>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</si>
  <si>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</si>
  <si>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</si>
  <si>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</si>
  <si>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</si>
  <si>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</si>
  <si>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</si>
  <si>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</si>
  <si>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</si>
  <si>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</si>
  <si>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</si>
  <si>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</si>
  <si>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</si>
  <si>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</si>
  <si>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</si>
  <si>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</si>
  <si>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</si>
  <si>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</si>
  <si>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</si>
  <si>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</si>
  <si>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</si>
  <si>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</si>
  <si>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</si>
  <si>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</si>
  <si>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</si>
  <si>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</si>
  <si>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</si>
  <si>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</si>
  <si>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</si>
  <si>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</si>
  <si>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</si>
  <si>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</si>
  <si>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</si>
  <si>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</si>
  <si>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</si>
  <si>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</si>
  <si>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</si>
  <si>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</si>
  <si>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</si>
  <si>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</si>
  <si>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</si>
  <si>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</si>
  <si>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</si>
  <si>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</si>
  <si>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</si>
  <si>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</si>
  <si>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</si>
  <si>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</si>
  <si>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</si>
  <si>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</si>
  <si>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</si>
  <si>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</si>
  <si>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</si>
  <si>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</si>
  <si>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</si>
  <si>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</si>
  <si>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</si>
  <si>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</si>
  <si>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</si>
  <si>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</si>
  <si>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</si>
  <si>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</si>
  <si>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</si>
  <si>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</si>
  <si>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</si>
  <si>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</si>
  <si>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</si>
  <si>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</si>
  <si>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</si>
  <si>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</si>
  <si>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</si>
  <si>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</si>
  <si>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</si>
  <si>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</si>
  <si>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</si>
  <si>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</si>
  <si>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</si>
  <si>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</si>
  <si>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</si>
  <si>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</si>
  <si>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</si>
  <si>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</si>
  <si>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</si>
  <si>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</si>
  <si>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</si>
  <si>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</si>
  <si>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</si>
  <si>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</si>
  <si>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</si>
  <si>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</si>
  <si>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</si>
  <si>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</si>
  <si>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</si>
  <si>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</si>
  <si>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</si>
  <si>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</si>
  <si>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</si>
  <si>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</si>
  <si>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</si>
  <si>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</si>
  <si>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</si>
  <si>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</si>
  <si>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</si>
  <si>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</si>
  <si>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</si>
  <si>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</si>
  <si>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</si>
  <si>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</si>
  <si>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</si>
  <si>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</si>
  <si>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</si>
  <si>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</si>
  <si>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</si>
  <si>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</si>
  <si>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</si>
  <si>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</si>
  <si>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</si>
  <si>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</si>
  <si>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</si>
  <si>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</si>
  <si>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</si>
  <si>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</si>
  <si>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</si>
  <si>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</si>
  <si>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</si>
  <si>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</si>
  <si>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</si>
  <si>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</si>
  <si>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</si>
  <si>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</si>
  <si>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</si>
  <si>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</si>
  <si>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</si>
  <si>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</si>
  <si>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</si>
  <si>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</si>
  <si>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</si>
  <si>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</si>
  <si>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</si>
  <si>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</si>
  <si>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</si>
  <si>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</si>
  <si>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</si>
  <si>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</si>
  <si>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</si>
  <si>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</si>
  <si>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</si>
  <si>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</si>
  <si>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</si>
  <si>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</si>
  <si>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</si>
  <si>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</si>
  <si>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</si>
  <si>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</si>
  <si>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</si>
  <si>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</si>
  <si>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</si>
  <si>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</si>
  <si>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</si>
  <si>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</si>
  <si>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</si>
  <si>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</si>
  <si>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</si>
  <si>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</si>
  <si>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</si>
  <si>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</si>
  <si>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</si>
  <si>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</si>
  <si>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</si>
  <si>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</si>
  <si>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</si>
  <si>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</si>
  <si>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</si>
  <si>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</si>
  <si>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</si>
  <si>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</si>
  <si>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</si>
  <si>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</si>
  <si>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</si>
  <si>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</si>
  <si>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</si>
  <si>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</si>
  <si>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</si>
  <si>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</si>
  <si>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</si>
  <si>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</si>
  <si>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</si>
  <si>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</si>
  <si>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</si>
  <si>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</si>
  <si>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</si>
  <si>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</si>
  <si>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</si>
  <si>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</si>
  <si>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</si>
  <si>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</si>
  <si>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</si>
  <si>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</si>
  <si>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</si>
  <si>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</si>
  <si>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</si>
  <si>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</si>
  <si>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</si>
  <si>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</si>
  <si>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</si>
  <si>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</si>
  <si>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</si>
  <si>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</si>
  <si>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</si>
  <si>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</si>
  <si>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</si>
  <si>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</si>
  <si>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</si>
  <si>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</si>
  <si>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</si>
  <si>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</si>
  <si>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</si>
  <si>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</si>
  <si>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</si>
  <si>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</si>
  <si>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</si>
  <si>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</si>
  <si>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</si>
  <si>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</si>
  <si>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</si>
  <si>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</si>
  <si>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</si>
  <si>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</si>
  <si>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</si>
  <si>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</si>
  <si>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</si>
  <si>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</si>
  <si>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</si>
  <si>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</si>
  <si>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</si>
  <si>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</si>
  <si>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</si>
  <si>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</si>
  <si>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</si>
  <si>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</si>
  <si>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</si>
  <si>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</si>
  <si>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</si>
  <si>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</si>
  <si>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</si>
  <si>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</si>
  <si>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</si>
  <si>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</si>
  <si>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</si>
  <si>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</si>
  <si>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</si>
  <si>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</si>
  <si>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</si>
  <si>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</si>
  <si>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</si>
  <si>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</si>
  <si>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</si>
  <si>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</si>
  <si>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</si>
  <si>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</si>
  <si>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</si>
  <si>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</si>
  <si>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</si>
  <si>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</si>
  <si>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</si>
  <si>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</si>
  <si>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</si>
  <si>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</si>
  <si>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</si>
  <si>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</si>
  <si>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</si>
  <si>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</si>
  <si>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</si>
  <si>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</si>
  <si>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</si>
  <si>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</si>
  <si>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</si>
  <si>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</si>
  <si>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</si>
  <si>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</si>
  <si>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</si>
  <si>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</si>
  <si>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</si>
  <si>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</si>
  <si>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</si>
  <si>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</si>
  <si>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</si>
  <si>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</si>
  <si>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</si>
  <si>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</si>
  <si>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</si>
  <si>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</si>
  <si>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</si>
  <si>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</si>
  <si>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</si>
  <si>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</si>
  <si>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</si>
  <si>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</si>
  <si>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</si>
  <si>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</si>
  <si>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</si>
  <si>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</si>
  <si>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</si>
  <si>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</si>
  <si>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</si>
  <si>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</si>
  <si>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</si>
  <si>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</si>
  <si>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</si>
  <si>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</si>
  <si>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</si>
  <si>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</si>
  <si>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</si>
  <si>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</si>
  <si>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</si>
  <si>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</si>
  <si>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</si>
  <si>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</si>
  <si>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</si>
  <si>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</si>
  <si>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</si>
  <si>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</si>
  <si>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</si>
  <si>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</si>
  <si>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</si>
  <si>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</si>
  <si>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</si>
  <si>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</si>
  <si>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</si>
  <si>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</si>
  <si>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</si>
  <si>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</si>
  <si>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</si>
  <si>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</si>
  <si>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</si>
  <si>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</si>
  <si>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</si>
  <si>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</si>
  <si>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</si>
  <si>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</si>
  <si>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</si>
  <si>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</si>
  <si>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</si>
  <si>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</si>
  <si>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</si>
  <si>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</si>
  <si>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</si>
  <si>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</si>
  <si>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</si>
  <si>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</si>
  <si>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</si>
  <si>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</si>
  <si>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</si>
  <si>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</si>
  <si>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</si>
  <si>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</si>
  <si>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</si>
  <si>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</si>
  <si>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</si>
  <si>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</si>
  <si>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</si>
  <si>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</si>
  <si>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</si>
  <si>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</si>
  <si>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</si>
  <si>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</si>
  <si>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</si>
  <si>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</si>
  <si>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</si>
  <si>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</si>
  <si>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</si>
  <si>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</si>
  <si>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</si>
  <si>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</si>
  <si>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</si>
  <si>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</si>
  <si>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</si>
  <si>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</si>
  <si>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</si>
  <si>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</si>
  <si>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</si>
  <si>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</si>
  <si>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</si>
  <si>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</si>
  <si>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</si>
  <si>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</si>
  <si>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</si>
  <si>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</si>
  <si>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</si>
  <si>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</si>
  <si>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</si>
  <si>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</si>
  <si>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</si>
  <si>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</si>
  <si>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</si>
  <si>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</si>
  <si>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</si>
  <si>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</si>
  <si>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</si>
  <si>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</si>
  <si>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</si>
  <si>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</si>
  <si>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</si>
  <si>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</si>
  <si>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</si>
  <si>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</si>
  <si>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</si>
  <si>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</si>
  <si>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</si>
  <si>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</si>
  <si>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</si>
  <si>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</si>
  <si>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</si>
  <si>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</si>
  <si>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</si>
  <si>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</si>
  <si>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</si>
  <si>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</si>
  <si>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</si>
  <si>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</si>
  <si>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</si>
  <si>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</si>
  <si>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</si>
  <si>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</si>
  <si>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</si>
  <si>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</si>
  <si>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</si>
  <si>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</si>
  <si>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</si>
  <si>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</si>
  <si>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</si>
  <si>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</si>
  <si>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</si>
  <si>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</si>
  <si>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</si>
  <si>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</si>
  <si>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</si>
  <si>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</si>
  <si>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</si>
  <si>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</si>
  <si>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</si>
  <si>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</si>
  <si>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</si>
  <si>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</si>
  <si>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</si>
  <si>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</si>
  <si>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</si>
  <si>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</si>
  <si>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</si>
  <si>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</si>
  <si>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</si>
  <si>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</si>
  <si>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</si>
  <si>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</si>
  <si>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</si>
  <si>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</si>
  <si>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</si>
  <si>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</si>
  <si>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</si>
  <si>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</si>
  <si>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</si>
  <si>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</si>
  <si>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</si>
  <si>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</si>
  <si>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</si>
  <si>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</si>
  <si>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</si>
  <si>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</si>
  <si>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</si>
  <si>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</si>
  <si>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</si>
  <si>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</si>
  <si>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</si>
  <si>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</si>
  <si>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</si>
  <si>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</si>
  <si>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</si>
  <si>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</si>
  <si>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</si>
  <si>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</si>
  <si>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</si>
  <si>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</si>
  <si>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</si>
  <si>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</si>
  <si>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</si>
  <si>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</si>
  <si>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</si>
  <si>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</si>
  <si>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</si>
  <si>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</si>
  <si>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</si>
  <si>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</si>
  <si>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</si>
  <si>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</si>
  <si>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</si>
  <si>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</si>
  <si>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</si>
  <si>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</si>
  <si>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</si>
  <si>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</si>
  <si>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</si>
  <si>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</si>
  <si>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</si>
  <si>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</si>
  <si>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</si>
  <si>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</si>
  <si>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</si>
  <si>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</si>
  <si>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</si>
  <si>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</si>
  <si>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</si>
  <si>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</si>
  <si>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</si>
  <si>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</si>
  <si>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</si>
  <si>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</si>
  <si>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</si>
  <si>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</si>
  <si>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</si>
  <si>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</si>
  <si>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</si>
  <si>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</si>
  <si>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</si>
  <si>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</si>
  <si>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</si>
  <si>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</si>
  <si>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</si>
  <si>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</si>
  <si>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</si>
  <si>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</si>
  <si>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</si>
  <si>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</si>
  <si>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</si>
  <si>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</si>
  <si>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</si>
  <si>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</si>
  <si>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</si>
  <si>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</si>
  <si>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</si>
  <si>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</si>
  <si>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</si>
  <si>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</si>
  <si>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</si>
  <si>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</si>
  <si>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</si>
  <si>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</si>
  <si>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</si>
  <si>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</si>
  <si>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</si>
  <si>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</si>
  <si>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</si>
  <si>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</si>
  <si>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</si>
  <si>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</si>
  <si>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</si>
  <si>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</si>
  <si>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</si>
  <si>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</si>
  <si>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</si>
  <si>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</si>
  <si>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</si>
  <si>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</si>
  <si>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</si>
  <si>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</si>
  <si>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</si>
  <si>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</si>
  <si>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</si>
  <si>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</si>
  <si>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</si>
  <si>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</si>
  <si>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</si>
  <si>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</si>
  <si>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</si>
  <si>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</si>
  <si>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</si>
  <si>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</si>
  <si>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</si>
  <si>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</si>
  <si>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</si>
  <si>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</si>
  <si>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</si>
  <si>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</si>
  <si>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</si>
  <si>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</si>
  <si>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</si>
  <si>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</si>
  <si>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</si>
  <si>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</si>
  <si>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</si>
  <si>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</si>
  <si>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</si>
  <si>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</si>
  <si>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</si>
  <si>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</si>
  <si>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</si>
  <si>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</si>
  <si>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</si>
  <si>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</si>
  <si>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</si>
  <si>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</si>
  <si>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</si>
  <si>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</si>
  <si>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</si>
  <si>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</si>
  <si>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</si>
  <si>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</si>
  <si>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</si>
  <si>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</si>
  <si>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</si>
  <si>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</si>
  <si>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</si>
  <si>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</si>
  <si>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</si>
  <si>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</si>
  <si>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</si>
  <si>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</si>
  <si>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</si>
  <si>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</si>
  <si>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</si>
  <si>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</si>
  <si>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</si>
  <si>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</si>
  <si>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</si>
  <si>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</si>
  <si>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</si>
  <si>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</si>
  <si>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</si>
  <si>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</si>
  <si>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</si>
  <si>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</si>
  <si>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</si>
  <si>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</si>
  <si>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</si>
  <si>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</si>
  <si>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</si>
  <si>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</si>
  <si>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</si>
  <si>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</si>
  <si>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</si>
  <si>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</si>
  <si>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</si>
  <si>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</si>
  <si>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</si>
  <si>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</si>
  <si>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</si>
  <si>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</si>
  <si>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</si>
  <si>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</si>
  <si>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</si>
  <si>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</si>
  <si>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</si>
  <si>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</si>
  <si>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</si>
  <si>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</si>
  <si>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</si>
  <si>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</si>
  <si>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</si>
  <si>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</si>
  <si>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</si>
  <si>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</si>
  <si>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</si>
  <si>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</si>
  <si>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</si>
  <si>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</si>
  <si>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</si>
  <si>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</si>
  <si>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</si>
  <si>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</si>
  <si>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</si>
  <si>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</si>
  <si>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</si>
  <si>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</si>
  <si>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</si>
  <si>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</si>
  <si>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</si>
  <si>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</si>
  <si>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</si>
  <si>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</si>
  <si>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</si>
  <si>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</si>
  <si>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</si>
  <si>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</si>
  <si>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</si>
  <si>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</si>
  <si>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</si>
  <si>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</si>
  <si>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</si>
  <si>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</si>
  <si>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</si>
  <si>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</si>
  <si>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</si>
  <si>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</si>
  <si>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</si>
  <si>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</si>
  <si>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</si>
  <si>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</si>
  <si>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</si>
  <si>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</si>
  <si>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</si>
  <si>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</si>
  <si>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</si>
  <si>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</si>
  <si>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</si>
  <si>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</si>
  <si>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</si>
  <si>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</si>
  <si>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</si>
  <si>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</si>
  <si>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</si>
  <si>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</si>
  <si>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</si>
  <si>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</si>
  <si>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</si>
  <si>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</si>
  <si>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</si>
  <si>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</si>
  <si>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</si>
  <si>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</si>
  <si>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</si>
  <si>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</si>
  <si>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</si>
  <si>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</si>
  <si>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</si>
  <si>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</si>
  <si>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</si>
  <si>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</si>
  <si>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</si>
  <si>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</si>
  <si>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</si>
  <si>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</si>
  <si>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</si>
  <si>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</si>
  <si>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</si>
  <si>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</si>
  <si>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</si>
  <si>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</si>
  <si>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</si>
  <si>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</si>
  <si>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</si>
  <si>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</si>
  <si>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</si>
  <si>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</si>
  <si>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</si>
  <si>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</si>
  <si>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</si>
  <si>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</si>
  <si>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</si>
  <si>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</si>
  <si>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</si>
  <si>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</si>
  <si>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</si>
  <si>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</si>
  <si>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</si>
  <si>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</si>
  <si>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</si>
  <si>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</si>
  <si>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</si>
  <si>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</si>
  <si>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</si>
  <si>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</si>
  <si>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</si>
  <si>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</si>
  <si>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</si>
  <si>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</si>
  <si>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</si>
  <si>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</si>
  <si>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</si>
  <si>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</si>
  <si>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</si>
  <si>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</si>
  <si>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</si>
  <si>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</si>
  <si>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</si>
  <si>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</si>
  <si>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</si>
  <si>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</si>
  <si>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</si>
  <si>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</si>
  <si>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</si>
  <si>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</si>
  <si>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</si>
  <si>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</si>
  <si>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</si>
  <si>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</si>
  <si>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</si>
  <si>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</si>
  <si>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</si>
  <si>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</si>
  <si>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</si>
  <si>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</si>
  <si>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</si>
  <si>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</si>
  <si>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</si>
  <si>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</si>
  <si>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</si>
  <si>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</si>
  <si>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</si>
  <si>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</si>
  <si>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</si>
  <si>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</si>
  <si>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</si>
  <si>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</si>
  <si>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</si>
  <si>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</si>
  <si>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</si>
  <si>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</si>
  <si>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</si>
  <si>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</si>
  <si>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</si>
  <si>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</si>
  <si>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</si>
  <si>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</si>
  <si>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</si>
  <si>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</si>
  <si>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</si>
  <si>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</si>
  <si>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</si>
  <si>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</si>
  <si>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</si>
  <si>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</si>
  <si>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</si>
  <si>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</si>
  <si>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</si>
  <si>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</si>
  <si>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</si>
  <si>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</si>
  <si>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</si>
  <si>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</si>
  <si>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</si>
  <si>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</si>
  <si>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</si>
  <si>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</si>
  <si>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</si>
  <si>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</si>
  <si>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</si>
  <si>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</si>
  <si>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</si>
  <si>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</si>
  <si>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</si>
  <si>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</si>
  <si>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</si>
  <si>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</si>
  <si>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</si>
  <si>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</si>
  <si>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</si>
  <si>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</si>
  <si>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</si>
  <si>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</si>
  <si>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</si>
  <si>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</si>
  <si>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</si>
  <si>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</si>
  <si>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</si>
  <si>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</si>
  <si>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</si>
  <si>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</si>
  <si>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</si>
  <si>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</si>
  <si>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</si>
  <si>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</si>
  <si>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</si>
  <si>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</si>
  <si>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</si>
  <si>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</si>
  <si>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</si>
  <si>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</si>
  <si>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</si>
  <si>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</si>
  <si>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</si>
  <si>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</si>
  <si>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</si>
  <si>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</si>
  <si>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</si>
  <si>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</si>
  <si>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</si>
  <si>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</si>
  <si>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</si>
  <si>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</si>
  <si>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</si>
  <si>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</si>
  <si>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</si>
  <si>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</si>
  <si>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</si>
  <si>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</si>
  <si>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</si>
  <si>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</si>
  <si>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</si>
  <si>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</si>
  <si>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</si>
  <si>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</si>
  <si>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</si>
  <si>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</si>
  <si>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</si>
  <si>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</si>
  <si>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</si>
  <si>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</si>
  <si>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</si>
  <si>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</si>
  <si>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</si>
  <si>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</si>
  <si>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</si>
  <si>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</si>
  <si>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</si>
  <si>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</si>
  <si>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</si>
  <si>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</si>
  <si>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</si>
  <si>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</si>
  <si>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</si>
  <si>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</si>
  <si>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</si>
  <si>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</si>
  <si>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</si>
  <si>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</si>
  <si>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</si>
  <si>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</si>
  <si>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</si>
  <si>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</si>
  <si>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</si>
  <si>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</si>
  <si>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</si>
  <si>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</si>
  <si>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</si>
  <si>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</si>
  <si>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</si>
  <si>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</si>
  <si>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</si>
  <si>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</si>
  <si>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</si>
  <si>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</si>
  <si>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</si>
  <si>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</si>
  <si>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</si>
  <si>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</si>
  <si>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</si>
  <si>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</si>
  <si>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</si>
  <si>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</si>
  <si>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</si>
  <si>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</si>
  <si>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</si>
  <si>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</si>
  <si>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</si>
  <si>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</si>
  <si>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</si>
  <si>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</si>
  <si>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</si>
  <si>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</si>
  <si>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</si>
  <si>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</si>
  <si>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</si>
  <si>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</si>
  <si>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</si>
  <si>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</si>
  <si>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</si>
  <si>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</si>
  <si>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</si>
  <si>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</si>
  <si>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</si>
  <si>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</si>
  <si>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</si>
  <si>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</si>
  <si>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</si>
  <si>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</si>
  <si>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</si>
  <si>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</si>
  <si>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</si>
  <si>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</si>
  <si>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</si>
  <si>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</si>
  <si>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</si>
  <si>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</si>
  <si>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</si>
  <si>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</si>
  <si>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</si>
  <si>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</si>
  <si>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</si>
  <si>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</si>
  <si>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</si>
  <si>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</si>
  <si>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</si>
  <si>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</si>
  <si>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</si>
  <si>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</si>
  <si>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</si>
  <si>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</si>
  <si>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</si>
  <si>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</si>
  <si>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</si>
  <si>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</si>
  <si>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</si>
  <si>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</si>
  <si>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</si>
  <si>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</si>
  <si>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</si>
  <si>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</si>
  <si>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</si>
  <si>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</si>
  <si>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</si>
  <si>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</si>
  <si>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</si>
  <si>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</si>
  <si>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</si>
  <si>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</si>
  <si>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</si>
  <si>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</si>
  <si>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</si>
  <si>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</si>
  <si>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</si>
  <si>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</si>
  <si>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</si>
  <si>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</si>
  <si>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</si>
  <si>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</si>
  <si>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</si>
  <si>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</si>
  <si>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</si>
  <si>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</si>
  <si>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</si>
  <si>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</si>
  <si>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</si>
  <si>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</si>
  <si>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</si>
  <si>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</si>
  <si>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</si>
  <si>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</si>
  <si>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</si>
  <si>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</si>
  <si>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</si>
  <si>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</si>
  <si>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</si>
  <si>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</si>
  <si>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</si>
  <si>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</si>
  <si>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</si>
  <si>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</si>
  <si>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</si>
  <si>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</si>
  <si>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</si>
  <si>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</si>
  <si>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</si>
  <si>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</si>
  <si>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</si>
  <si>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</si>
  <si>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</si>
  <si>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</si>
  <si>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</si>
  <si>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</si>
  <si>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</si>
  <si>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</si>
  <si>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</si>
  <si>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</si>
  <si>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</si>
  <si>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</si>
  <si>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</si>
  <si>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</si>
  <si>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</si>
  <si>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</si>
  <si>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</si>
  <si>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</si>
  <si>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</si>
  <si>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</si>
  <si>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</si>
  <si>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</si>
  <si>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</si>
  <si>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</si>
  <si>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</si>
  <si>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</si>
  <si>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</si>
  <si>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</si>
  <si>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</si>
  <si>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</si>
  <si>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</si>
  <si>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</si>
  <si>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</si>
  <si>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</si>
  <si>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</si>
  <si>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</si>
  <si>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</si>
  <si>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</si>
  <si>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</si>
  <si>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</si>
  <si>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</si>
  <si>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</si>
  <si>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</si>
  <si>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</si>
  <si>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</si>
  <si>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</si>
  <si>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</si>
  <si>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</si>
  <si>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</si>
  <si>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</si>
  <si>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</si>
  <si>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</si>
  <si>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</si>
  <si>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</si>
  <si>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</si>
  <si>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</si>
  <si>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</si>
  <si>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</si>
  <si>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</si>
  <si>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</si>
  <si>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</si>
  <si>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</si>
  <si>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</si>
  <si>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</si>
  <si>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</si>
  <si>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</si>
  <si>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</si>
  <si>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</si>
  <si>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</si>
  <si>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</si>
  <si>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</si>
  <si>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</si>
  <si>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</si>
  <si>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</si>
  <si>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</si>
  <si>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</si>
  <si>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</si>
  <si>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</si>
  <si>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</si>
  <si>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</si>
  <si>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</si>
  <si>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</si>
  <si>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</si>
  <si>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</si>
  <si>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</si>
  <si>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</si>
  <si>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</si>
  <si>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</si>
  <si>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</si>
  <si>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</si>
  <si>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</si>
  <si>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</si>
  <si>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</si>
  <si>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</si>
  <si>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</si>
  <si>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</si>
  <si>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</si>
  <si>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</si>
  <si>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</si>
  <si>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</si>
  <si>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</si>
  <si>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</si>
  <si>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</si>
  <si>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</si>
  <si>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</si>
  <si>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</si>
  <si>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</si>
  <si>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</si>
  <si>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</si>
  <si>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</si>
  <si>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</si>
  <si>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</si>
  <si>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</si>
  <si>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</si>
  <si>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</si>
  <si>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</si>
  <si>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</si>
  <si>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</si>
  <si>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</si>
  <si>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</si>
  <si>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</si>
  <si>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</si>
  <si>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</si>
  <si>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</si>
  <si>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</si>
  <si>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</si>
  <si>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</si>
  <si>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</si>
  <si>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</si>
  <si>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</si>
  <si>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</si>
  <si>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</si>
  <si>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</si>
  <si>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</si>
  <si>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</si>
  <si>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</si>
  <si>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</si>
  <si>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</si>
  <si>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</si>
  <si>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</si>
  <si>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</si>
  <si>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</si>
  <si>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</si>
  <si>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</si>
  <si>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</si>
  <si>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</si>
  <si>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</si>
  <si>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</si>
  <si>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</si>
  <si>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</si>
  <si>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</si>
  <si>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</si>
  <si>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</si>
  <si>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</si>
  <si>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</si>
  <si>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</si>
  <si>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</si>
  <si>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</si>
  <si>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</si>
  <si>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</si>
  <si>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</si>
  <si>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</si>
  <si>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</si>
  <si>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</si>
  <si>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</si>
  <si>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</si>
  <si>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</si>
  <si>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</si>
  <si>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</si>
  <si>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</si>
  <si>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</si>
  <si>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</si>
  <si>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</si>
  <si>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</si>
  <si>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</si>
  <si>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</si>
  <si>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</si>
  <si>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</si>
  <si>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</si>
  <si>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</si>
  <si>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</si>
  <si>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</si>
  <si>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</si>
  <si>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</si>
  <si>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</si>
  <si>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</si>
  <si>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</si>
  <si>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</si>
  <si>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</si>
  <si>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</si>
  <si>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</si>
  <si>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</si>
  <si>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</si>
  <si>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</si>
  <si>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</si>
  <si>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</si>
  <si>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</si>
  <si>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</si>
  <si>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</si>
  <si>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</si>
  <si>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</si>
  <si>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</si>
  <si>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</si>
  <si>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</si>
  <si>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</si>
  <si>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</si>
  <si>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</si>
  <si>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</si>
  <si>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</si>
  <si>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</si>
  <si>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</si>
  <si>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</si>
  <si>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</si>
  <si>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</si>
  <si>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</si>
  <si>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</si>
  <si>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</si>
  <si>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</si>
  <si>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</si>
  <si>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</si>
  <si>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</si>
  <si>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</si>
  <si>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</si>
  <si>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</si>
  <si>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</si>
  <si>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</si>
  <si>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</si>
  <si>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</si>
  <si>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</si>
  <si>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</si>
  <si>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</si>
  <si>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</si>
  <si>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</si>
  <si>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</si>
  <si>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</si>
  <si>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</si>
  <si>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</si>
  <si>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</si>
  <si>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</si>
  <si>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</si>
  <si>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</si>
  <si>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</si>
  <si>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</si>
  <si>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</si>
  <si>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</si>
  <si>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</si>
  <si>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</si>
  <si>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</si>
  <si>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</si>
  <si>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</si>
  <si>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</si>
  <si>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</si>
  <si>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</si>
  <si>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</si>
  <si>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</si>
  <si>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</si>
  <si>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</si>
  <si>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</si>
  <si>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</si>
  <si>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</si>
  <si>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</si>
  <si>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</si>
  <si>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</si>
  <si>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</si>
  <si>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</si>
  <si>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</si>
  <si>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</si>
  <si>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</si>
  <si>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</si>
  <si>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</si>
  <si>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</si>
  <si>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</si>
  <si>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</si>
  <si>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</si>
  <si>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</si>
  <si>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</si>
  <si>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</si>
  <si>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</si>
  <si>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</si>
  <si>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</si>
  <si>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</si>
  <si>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</si>
  <si>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</si>
  <si>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</si>
  <si>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</si>
  <si>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</si>
  <si>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</si>
  <si>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</si>
  <si>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</si>
  <si>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</si>
  <si>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</si>
  <si>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</si>
  <si>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</si>
  <si>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</si>
  <si>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</si>
  <si>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</si>
  <si>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</si>
  <si>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</si>
  <si>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</si>
  <si>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</si>
  <si>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</si>
  <si>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</si>
  <si>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</si>
  <si>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</si>
  <si>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</si>
  <si>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</si>
  <si>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</si>
  <si>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</si>
  <si>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</si>
  <si>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</si>
  <si>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</si>
  <si>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</si>
  <si>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</si>
  <si>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</si>
  <si>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</si>
  <si>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</si>
  <si>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</si>
  <si>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</si>
  <si>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</si>
  <si>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</si>
  <si>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</si>
  <si>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</si>
  <si>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</si>
  <si>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</si>
  <si>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</si>
  <si>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</si>
  <si>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</si>
  <si>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</si>
  <si>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</si>
  <si>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</si>
  <si>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</si>
  <si>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</si>
  <si>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</si>
  <si>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</si>
  <si>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</si>
  <si>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</si>
  <si>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</si>
  <si>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</si>
  <si>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</si>
  <si>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</si>
  <si>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</si>
  <si>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</si>
  <si>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</si>
  <si>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</si>
  <si>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</si>
  <si>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</si>
  <si>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</si>
  <si>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</si>
  <si>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</si>
  <si>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</si>
  <si>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</si>
  <si>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</si>
  <si>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</si>
  <si>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</si>
  <si>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</si>
  <si>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</si>
  <si>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</si>
  <si>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</si>
  <si>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</si>
  <si>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</si>
  <si>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</si>
  <si>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</si>
  <si>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</si>
  <si>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</si>
  <si>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</si>
  <si>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</si>
  <si>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</si>
  <si>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</si>
  <si>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</si>
  <si>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</si>
  <si>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</si>
  <si>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</si>
  <si>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</si>
  <si>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</si>
  <si>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</si>
  <si>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</si>
  <si>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</si>
  <si>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</si>
  <si>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</si>
  <si>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</si>
  <si>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</si>
  <si>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</si>
  <si>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</si>
  <si>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</si>
  <si>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</si>
  <si>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</si>
  <si>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</si>
  <si>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</si>
  <si>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</si>
  <si>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</si>
  <si>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</si>
  <si>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</si>
  <si>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</si>
  <si>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</si>
  <si>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</si>
  <si>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</si>
  <si>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</si>
  <si>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</si>
  <si>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</si>
  <si>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</si>
  <si>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</si>
  <si>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</si>
  <si>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</si>
  <si>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</si>
  <si>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</si>
  <si>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</si>
  <si>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</si>
  <si>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</si>
  <si>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</si>
  <si>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</si>
  <si>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</si>
  <si>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</si>
  <si>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</si>
  <si>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</si>
  <si>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</si>
  <si>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</si>
  <si>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</si>
  <si>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</si>
  <si>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</si>
  <si>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</si>
  <si>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</si>
  <si>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</si>
  <si>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</si>
  <si>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</si>
  <si>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</si>
  <si>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</si>
  <si>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</si>
  <si>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</si>
  <si>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</si>
  <si>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</si>
  <si>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</si>
  <si>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</si>
  <si>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</si>
  <si>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</si>
  <si>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</si>
  <si>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</si>
  <si>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</si>
  <si>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</si>
  <si>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</si>
  <si>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</si>
  <si>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</si>
  <si>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</si>
  <si>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</si>
  <si>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</si>
  <si>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</si>
  <si>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</si>
  <si>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</si>
  <si>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</si>
  <si>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</si>
  <si>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</si>
  <si>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</si>
  <si>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</si>
  <si>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</si>
  <si>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</si>
  <si>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</si>
  <si>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</si>
  <si>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</si>
  <si>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</si>
  <si>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</si>
  <si>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</si>
  <si>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</si>
  <si>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</si>
  <si>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</si>
  <si>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</si>
  <si>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</si>
  <si>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</si>
  <si>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</si>
  <si>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</si>
  <si>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</si>
  <si>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</si>
  <si>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</si>
  <si>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</si>
  <si>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</si>
  <si>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</si>
  <si>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</si>
  <si>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</si>
  <si>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</si>
  <si>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</si>
  <si>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</si>
  <si>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</si>
  <si>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</si>
  <si>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</si>
  <si>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</si>
  <si>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</si>
  <si>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</si>
  <si>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</si>
  <si>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</si>
  <si>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</si>
  <si>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</si>
  <si>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</si>
  <si>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</si>
  <si>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</si>
  <si>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</si>
  <si>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</si>
  <si>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</si>
  <si>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</si>
  <si>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</si>
  <si>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</si>
  <si>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</si>
  <si>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</si>
  <si>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</si>
  <si>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</si>
  <si>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</si>
  <si>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</si>
  <si>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</si>
  <si>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</si>
  <si>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</si>
  <si>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</si>
  <si>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</si>
  <si>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</si>
  <si>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</si>
  <si>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</si>
  <si>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</si>
  <si>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</si>
  <si>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</si>
  <si>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</si>
  <si>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</si>
  <si>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</si>
  <si>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</si>
  <si>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</si>
  <si>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</si>
  <si>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</si>
  <si>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</si>
  <si>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</si>
  <si>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</si>
  <si>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</si>
  <si>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</si>
  <si>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</si>
  <si>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</si>
  <si>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</si>
  <si>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</si>
  <si>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</si>
  <si>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</si>
  <si>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</si>
  <si>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</si>
  <si>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</si>
  <si>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</si>
  <si>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</si>
  <si>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</si>
  <si>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</si>
  <si>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</si>
  <si>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</si>
  <si>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</si>
  <si>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</si>
  <si>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</si>
  <si>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</si>
  <si>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</si>
  <si>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</si>
  <si>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</si>
  <si>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</si>
  <si>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</si>
  <si>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</si>
  <si>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</si>
  <si>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</si>
  <si>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</si>
  <si>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</si>
  <si>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</si>
  <si>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</si>
  <si>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</si>
  <si>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</si>
  <si>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</si>
  <si>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</si>
  <si>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</si>
  <si>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</si>
  <si>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</si>
  <si>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</si>
  <si>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</si>
  <si>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</si>
  <si>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</si>
  <si>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</si>
  <si>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</si>
  <si>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</si>
  <si>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</si>
  <si>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</si>
  <si>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</si>
  <si>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</si>
  <si>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</si>
  <si>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</si>
  <si>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</si>
  <si>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</si>
  <si>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</si>
  <si>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</si>
  <si>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</si>
  <si>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</si>
  <si>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</si>
  <si>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</si>
  <si>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</si>
  <si>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</si>
  <si>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</si>
  <si>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</si>
  <si>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</si>
  <si>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</si>
  <si>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</si>
  <si>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</si>
  <si>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</si>
  <si>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</si>
  <si>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</si>
  <si>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</si>
  <si>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</si>
  <si>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</si>
  <si>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</si>
  <si>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</si>
  <si>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</si>
  <si>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</si>
  <si>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</si>
  <si>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</si>
  <si>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</si>
  <si>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</si>
  <si>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</si>
  <si>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</si>
  <si>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</si>
  <si>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</si>
  <si>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</si>
  <si>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</si>
  <si>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</si>
  <si>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</si>
  <si>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</si>
  <si>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</si>
  <si>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</si>
  <si>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</si>
  <si>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</si>
  <si>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</si>
  <si>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</si>
  <si>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</si>
  <si>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</si>
  <si>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</si>
  <si>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</si>
  <si>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</si>
  <si>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</si>
  <si>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</si>
  <si>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</si>
  <si>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</si>
  <si>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</si>
  <si>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</si>
  <si>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</si>
  <si>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</si>
  <si>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</si>
  <si>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</si>
  <si>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</si>
  <si>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</si>
  <si>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</si>
  <si>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</si>
  <si>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</si>
  <si>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</si>
  <si>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</si>
  <si>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</si>
  <si>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</si>
  <si>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</si>
  <si>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</si>
  <si>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</si>
  <si>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</si>
  <si>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</si>
  <si>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</si>
  <si>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</si>
  <si>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</si>
  <si>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</si>
  <si>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</si>
  <si>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</si>
  <si>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</si>
  <si>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</si>
  <si>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</si>
  <si>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</si>
  <si>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</si>
  <si>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</si>
  <si>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</si>
  <si>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</si>
  <si>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</si>
  <si>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</si>
  <si>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</si>
  <si>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</si>
  <si>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</si>
  <si>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</si>
  <si>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</si>
  <si>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</si>
  <si>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</si>
  <si>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</si>
  <si>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</si>
  <si>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</si>
  <si>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</si>
  <si>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</si>
  <si>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</si>
  <si>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</si>
  <si>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</si>
  <si>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</si>
  <si>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</si>
  <si>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</si>
  <si>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</si>
  <si>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</si>
  <si>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</si>
  <si>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</si>
  <si>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</si>
  <si>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</si>
  <si>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</si>
  <si>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</si>
  <si>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</si>
  <si>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</si>
  <si>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</si>
  <si>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</si>
  <si>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</si>
  <si>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</si>
  <si>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</si>
  <si>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</si>
  <si>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</si>
  <si>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</si>
  <si>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</si>
  <si>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</si>
  <si>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</si>
  <si>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</si>
  <si>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</si>
  <si>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</si>
  <si>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</si>
  <si>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</si>
  <si>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</si>
  <si>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</si>
  <si>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</si>
  <si>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</si>
  <si>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</si>
  <si>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</si>
  <si>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</si>
  <si>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</si>
  <si>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</si>
  <si>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</si>
  <si>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</si>
  <si>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</si>
  <si>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</si>
  <si>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</si>
  <si>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</si>
  <si>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</si>
  <si>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</si>
  <si>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</si>
  <si>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</si>
  <si>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</si>
  <si>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</si>
  <si>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</si>
  <si>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</si>
  <si>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</si>
  <si>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</si>
  <si>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</si>
  <si>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</si>
  <si>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</si>
  <si>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</si>
  <si>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</si>
  <si>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</si>
  <si>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</si>
  <si>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</si>
  <si>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</si>
  <si>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</si>
  <si>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</si>
  <si>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</si>
  <si>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</si>
  <si>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</si>
  <si>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</si>
  <si>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</si>
  <si>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</si>
  <si>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</si>
  <si>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</si>
  <si>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</si>
  <si>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</si>
  <si>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</si>
  <si>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</si>
  <si>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</si>
  <si>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</si>
  <si>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</si>
  <si>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</si>
  <si>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</si>
  <si>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</si>
  <si>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</si>
  <si>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</si>
  <si>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</si>
  <si>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</si>
  <si>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</si>
  <si>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</si>
  <si>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</si>
  <si>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</si>
  <si>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</si>
  <si>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</si>
  <si>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</si>
  <si>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</si>
  <si>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</si>
  <si>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</si>
  <si>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</si>
  <si>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</si>
  <si>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</si>
  <si>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</si>
  <si>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</si>
  <si>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</si>
  <si>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</si>
  <si>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</si>
  <si>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</si>
  <si>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</si>
  <si>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</si>
  <si>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</si>
  <si>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</si>
  <si>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</si>
  <si>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</si>
  <si>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</si>
  <si>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</si>
  <si>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</si>
  <si>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</si>
  <si>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</si>
  <si>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</si>
  <si>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</si>
  <si>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</si>
  <si>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</si>
  <si>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</si>
  <si>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</si>
  <si>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</si>
  <si>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</si>
  <si>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</si>
  <si>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</si>
  <si>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</si>
  <si>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</si>
  <si>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</si>
  <si>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</si>
  <si>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</si>
  <si>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</si>
  <si>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</si>
  <si>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</si>
  <si>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</si>
  <si>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</si>
  <si>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</si>
  <si>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</si>
  <si>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</si>
  <si>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</si>
  <si>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</si>
  <si>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</si>
  <si>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</si>
  <si>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</si>
  <si>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</si>
  <si>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</si>
  <si>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</si>
  <si>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</si>
  <si>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</si>
  <si>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</si>
  <si>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</si>
  <si>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</si>
  <si>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</si>
  <si>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</si>
  <si>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</si>
  <si>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</si>
  <si>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</si>
  <si>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</si>
  <si>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</si>
  <si>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</si>
  <si>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</si>
  <si>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</si>
  <si>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</si>
  <si>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</si>
  <si>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</si>
  <si>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</si>
  <si>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</si>
  <si>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</si>
  <si>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</si>
  <si>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</si>
  <si>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</si>
  <si>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</si>
  <si>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</si>
  <si>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</si>
  <si>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</si>
  <si>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</si>
  <si>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</si>
  <si>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</si>
  <si>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</si>
  <si>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</si>
  <si>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</si>
  <si>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</si>
  <si>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</si>
  <si>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</si>
  <si>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</si>
  <si>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</si>
  <si>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</si>
  <si>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</si>
  <si>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</si>
  <si>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</si>
  <si>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</si>
  <si>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</si>
  <si>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</si>
  <si>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</si>
  <si>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</si>
  <si>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</si>
  <si>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</si>
  <si>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</si>
  <si>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</si>
  <si>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</si>
  <si>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</si>
  <si>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</si>
  <si>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</si>
  <si>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</si>
  <si>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</si>
  <si>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</si>
  <si>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</si>
  <si>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</si>
  <si>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</si>
  <si>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</si>
  <si>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</si>
  <si>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</si>
  <si>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</si>
  <si>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</si>
  <si>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</si>
  <si>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</si>
  <si>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</si>
  <si>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</si>
  <si>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</si>
  <si>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</si>
  <si>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</si>
  <si>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</si>
  <si>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</si>
  <si>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</si>
  <si>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</si>
  <si>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</si>
  <si>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</si>
  <si>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</si>
  <si>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</si>
  <si>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</si>
  <si>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</si>
  <si>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</si>
  <si>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</si>
  <si>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</si>
  <si>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</si>
  <si>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</si>
  <si>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</si>
  <si>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</si>
  <si>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</si>
  <si>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</si>
  <si>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</si>
  <si>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</si>
  <si>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</si>
  <si>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</si>
  <si>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</si>
  <si>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</si>
  <si>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</si>
  <si>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</si>
  <si>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</si>
  <si>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</si>
  <si>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</si>
  <si>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</si>
  <si>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</si>
  <si>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</si>
  <si>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</si>
  <si>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</si>
  <si>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</si>
  <si>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</si>
  <si>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</si>
  <si>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</si>
  <si>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</si>
  <si>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</si>
  <si>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</si>
  <si>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</si>
  <si>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</si>
  <si>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</si>
  <si>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</si>
  <si>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</si>
  <si>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</si>
  <si>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</si>
  <si>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</si>
  <si>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</si>
  <si>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</si>
  <si>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</si>
  <si>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</si>
  <si>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</si>
  <si>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</si>
  <si>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</si>
  <si>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</si>
  <si>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</si>
  <si>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</si>
  <si>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</si>
  <si>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</si>
  <si>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</si>
  <si>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</si>
  <si>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</si>
  <si>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</si>
  <si>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</si>
  <si>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</si>
  <si>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</si>
  <si>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</si>
  <si>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</si>
  <si>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</si>
  <si>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</si>
  <si>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</si>
  <si>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</si>
  <si>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</si>
  <si>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</si>
  <si>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</si>
  <si>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</si>
  <si>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</si>
  <si>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</si>
  <si>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</si>
  <si>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</si>
  <si>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</si>
  <si>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</si>
  <si>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</si>
  <si>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</si>
  <si>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</si>
  <si>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</si>
  <si>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</si>
  <si>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</si>
  <si>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</si>
  <si>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</si>
  <si>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</si>
  <si>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</si>
  <si>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</si>
  <si>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</si>
  <si>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</si>
  <si>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</si>
  <si>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</si>
  <si>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</si>
  <si>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</si>
  <si>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</si>
  <si>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</si>
  <si>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</si>
  <si>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</si>
  <si>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</si>
  <si>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</si>
  <si>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</si>
  <si>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</si>
  <si>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</si>
  <si>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</si>
  <si>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</si>
  <si>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</si>
  <si>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</si>
  <si>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</si>
  <si>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</si>
  <si>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</si>
  <si>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</si>
  <si>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</si>
  <si>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</si>
  <si>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</si>
  <si>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</si>
  <si>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</si>
  <si>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</si>
  <si>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</si>
  <si>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</si>
  <si>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</si>
  <si>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</si>
  <si>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</si>
  <si>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</si>
  <si>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</si>
  <si>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</si>
  <si>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</si>
  <si>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</si>
  <si>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</si>
  <si>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</si>
  <si>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</si>
  <si>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</si>
  <si>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</si>
  <si>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</si>
  <si>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</si>
  <si>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</si>
  <si>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</si>
  <si>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</si>
  <si>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</si>
  <si>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</si>
  <si>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</si>
  <si>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</si>
  <si>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</si>
  <si>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</si>
  <si>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</si>
  <si>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</si>
  <si>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</si>
  <si>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</si>
  <si>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</si>
  <si>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</si>
  <si>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</si>
  <si>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</si>
  <si>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</si>
  <si>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</si>
  <si>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</si>
  <si>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</si>
  <si>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</si>
  <si>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</si>
  <si>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</si>
  <si>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</si>
  <si>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</si>
  <si>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</si>
  <si>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</si>
  <si>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</si>
  <si>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</si>
  <si>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</si>
  <si>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</si>
  <si>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</si>
  <si>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</si>
  <si>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</si>
  <si>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</si>
  <si>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</si>
  <si>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</si>
  <si>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</si>
  <si>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</si>
  <si>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</si>
  <si>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</si>
  <si>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</si>
  <si>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</si>
  <si>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</si>
  <si>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</si>
  <si>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</si>
  <si>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</si>
  <si>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</si>
  <si>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</si>
  <si>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</si>
  <si>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</si>
  <si>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</si>
  <si>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</si>
  <si>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</si>
  <si>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</si>
  <si>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</si>
  <si>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</si>
  <si>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</si>
  <si>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</si>
  <si>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</si>
  <si>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</si>
  <si>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</si>
  <si>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</si>
  <si>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</si>
  <si>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</si>
  <si>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</si>
  <si>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</si>
  <si>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</si>
  <si>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</si>
  <si>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</si>
  <si>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</si>
  <si>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</si>
  <si>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</si>
  <si>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</si>
  <si>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</si>
  <si>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</si>
  <si>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</si>
  <si>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</si>
  <si>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</si>
  <si>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</si>
  <si>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</si>
  <si>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</si>
  <si>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</si>
  <si>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</si>
  <si>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</si>
  <si>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</si>
  <si>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</si>
  <si>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</si>
  <si>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</si>
  <si>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</si>
  <si>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</si>
  <si>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</si>
  <si>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</si>
  <si>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</si>
  <si>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</si>
  <si>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</si>
  <si>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</si>
  <si>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</si>
  <si>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</si>
  <si>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</si>
  <si>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</si>
  <si>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</si>
  <si>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</si>
  <si>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</si>
  <si>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</si>
  <si>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</si>
  <si>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</si>
  <si>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</si>
  <si>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</si>
  <si>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</si>
  <si>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</si>
  <si>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</si>
  <si>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</si>
  <si>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</si>
  <si>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</si>
  <si>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</si>
  <si>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</si>
  <si>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</si>
  <si>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</si>
  <si>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</si>
  <si>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</si>
  <si>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</si>
  <si>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</si>
  <si>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</si>
  <si>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</si>
  <si>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</si>
  <si>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</si>
  <si>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</si>
  <si>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</si>
  <si>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</si>
  <si>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</si>
  <si>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</si>
  <si>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</si>
  <si>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</si>
  <si>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</si>
  <si>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</si>
  <si>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</si>
  <si>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</si>
  <si>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</si>
  <si>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</si>
  <si>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</si>
  <si>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</si>
  <si>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</si>
  <si>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</si>
  <si>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</si>
  <si>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</si>
  <si>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</si>
  <si>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</si>
  <si>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</si>
  <si>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</si>
  <si>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</si>
  <si>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</si>
  <si>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</si>
  <si>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</si>
  <si>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</si>
  <si>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</si>
  <si>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</si>
  <si>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</si>
  <si>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</si>
  <si>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</si>
  <si>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</si>
  <si>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</si>
  <si>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</si>
  <si>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</si>
  <si>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</si>
  <si>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</si>
  <si>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</si>
  <si>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</si>
  <si>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</si>
  <si>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</si>
  <si>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</si>
  <si>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</si>
  <si>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</si>
  <si>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</si>
  <si>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</si>
  <si>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</si>
  <si>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</si>
  <si>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</si>
  <si>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</si>
  <si>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</si>
  <si>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</si>
  <si>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</si>
  <si>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</si>
  <si>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</si>
  <si>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</si>
  <si>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</si>
  <si>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</si>
  <si>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</si>
  <si>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</si>
  <si>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</si>
  <si>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</si>
  <si>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</si>
  <si>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</si>
  <si>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</si>
  <si>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</si>
  <si>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</si>
  <si>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</si>
  <si>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</si>
  <si>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</si>
  <si>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</si>
  <si>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</si>
  <si>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</si>
  <si>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</si>
  <si>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</si>
  <si>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</si>
  <si>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</si>
  <si>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</si>
  <si>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</si>
  <si>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</si>
  <si>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</si>
  <si>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</si>
  <si>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</si>
  <si>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</si>
  <si>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</si>
  <si>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</si>
  <si>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</si>
  <si>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</si>
  <si>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</si>
  <si>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</si>
  <si>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</si>
  <si>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</si>
  <si>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</si>
  <si>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</si>
  <si>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</si>
  <si>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</si>
  <si>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</si>
  <si>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</si>
  <si>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</si>
  <si>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</si>
  <si>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</si>
  <si>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</si>
  <si>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</si>
  <si>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</si>
  <si>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</si>
  <si>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</si>
  <si>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</si>
  <si>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</si>
  <si>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</si>
  <si>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</si>
  <si>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</si>
  <si>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</si>
  <si>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</si>
  <si>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</si>
  <si>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</si>
  <si>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</si>
  <si>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</si>
  <si>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</si>
  <si>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</si>
  <si>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</si>
  <si>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</si>
  <si>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</si>
  <si>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</si>
  <si>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</si>
  <si>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</si>
  <si>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</si>
  <si>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</si>
  <si>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</si>
  <si>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</si>
  <si>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</si>
  <si>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</si>
  <si>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</si>
  <si>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</si>
  <si>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</si>
  <si>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</si>
  <si>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</si>
  <si>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</si>
  <si>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</si>
  <si>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</si>
  <si>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</si>
  <si>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</si>
  <si>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</si>
  <si>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</si>
  <si>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</si>
  <si>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</si>
  <si>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</si>
  <si>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</si>
  <si>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</si>
  <si>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</si>
  <si>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</si>
  <si>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</si>
  <si>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</si>
  <si>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</si>
  <si>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</si>
  <si>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</si>
  <si>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</si>
  <si>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</si>
  <si>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</si>
  <si>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</si>
  <si>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</si>
  <si>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</si>
  <si>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</si>
  <si>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</si>
  <si>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</si>
  <si>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</si>
  <si>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</si>
  <si>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</si>
  <si>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</si>
  <si>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</si>
  <si>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</si>
  <si>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</si>
  <si>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</si>
  <si>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</si>
  <si>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</si>
  <si>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</si>
  <si>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</si>
  <si>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</si>
  <si>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</si>
  <si>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</si>
  <si>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</si>
  <si>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</si>
  <si>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</si>
  <si>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</si>
  <si>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</si>
  <si>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</si>
  <si>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</si>
  <si>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</si>
  <si>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</si>
  <si>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</si>
  <si>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</si>
  <si>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</si>
  <si>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</si>
  <si>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</si>
  <si>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</si>
  <si>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</si>
  <si>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</si>
  <si>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</si>
  <si>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</si>
  <si>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</si>
  <si>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</si>
  <si>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</si>
  <si>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</si>
  <si>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</si>
  <si>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</si>
  <si>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</si>
  <si>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</si>
  <si>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</si>
  <si>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</si>
  <si>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</si>
  <si>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</si>
  <si>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</si>
  <si>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</si>
  <si>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</si>
  <si>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</si>
  <si>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</si>
  <si>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</si>
  <si>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</si>
  <si>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</si>
  <si>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</si>
  <si>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</si>
  <si>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</si>
  <si>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</si>
  <si>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</si>
  <si>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</si>
  <si>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</si>
  <si>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</si>
  <si>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</si>
  <si>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</si>
  <si>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</si>
  <si>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</si>
  <si>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</si>
  <si>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</si>
  <si>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</si>
  <si>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</si>
  <si>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</si>
  <si>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</si>
  <si>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</si>
  <si>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</si>
  <si>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</si>
  <si>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</si>
  <si>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</si>
  <si>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</si>
  <si>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</si>
  <si>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</si>
  <si>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</si>
  <si>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</si>
  <si>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</si>
  <si>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</si>
  <si>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</si>
  <si>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</si>
  <si>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</si>
  <si>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</si>
  <si>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</si>
  <si>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</si>
  <si>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</si>
  <si>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</si>
  <si>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</si>
  <si>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</si>
  <si>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</si>
  <si>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</si>
  <si>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</si>
  <si>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</si>
  <si>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</si>
  <si>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</si>
  <si>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</si>
  <si>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</si>
  <si>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</si>
  <si>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</si>
  <si>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</si>
  <si>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</si>
  <si>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</si>
  <si>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</si>
  <si>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</si>
  <si>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</si>
  <si>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</si>
  <si>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</si>
  <si>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</si>
  <si>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</si>
  <si>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</si>
  <si>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</si>
  <si>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</si>
  <si>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</si>
  <si>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</si>
  <si>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</si>
  <si>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</si>
  <si>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</si>
  <si>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</si>
  <si>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</si>
  <si>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</si>
  <si>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</si>
  <si>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</si>
  <si>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</si>
  <si>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</si>
  <si>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</si>
  <si>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</si>
  <si>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</si>
  <si>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</si>
  <si>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</si>
  <si>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</si>
  <si>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</si>
  <si>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</si>
  <si>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</si>
  <si>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</si>
  <si>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</si>
  <si>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</si>
  <si>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</si>
  <si>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</si>
  <si>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</si>
  <si>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</si>
  <si>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</si>
  <si>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</si>
  <si>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</si>
  <si>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</si>
  <si>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</si>
  <si>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</si>
  <si>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</si>
  <si>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</si>
  <si>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</si>
  <si>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</si>
  <si>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</si>
  <si>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</si>
  <si>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</si>
  <si>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</si>
  <si>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</si>
  <si>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</si>
  <si>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</si>
  <si>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</si>
  <si>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</si>
  <si>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</si>
  <si>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</si>
  <si>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</si>
  <si>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</si>
  <si>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</si>
  <si>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</si>
  <si>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</si>
  <si>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</si>
  <si>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</si>
  <si>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</si>
  <si>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</si>
  <si>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</si>
  <si>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</si>
  <si>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</si>
  <si>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</si>
  <si>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</si>
  <si>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</si>
  <si>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</si>
  <si>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</si>
  <si>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</si>
  <si>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</si>
  <si>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</si>
  <si>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</si>
  <si>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</si>
  <si>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</si>
  <si>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</si>
  <si>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</si>
  <si>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</si>
  <si>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</si>
  <si>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</si>
  <si>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</si>
  <si>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</si>
  <si>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</si>
  <si>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</si>
  <si>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</si>
  <si>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</si>
  <si>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</si>
  <si>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</si>
  <si>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</si>
  <si>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</si>
  <si>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</si>
  <si>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</si>
  <si>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</si>
  <si>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</si>
  <si>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</si>
  <si>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</si>
  <si>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</si>
  <si>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</si>
  <si>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</si>
  <si>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</si>
  <si>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</si>
  <si>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</si>
  <si>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</si>
  <si>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</si>
  <si>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</si>
  <si>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</si>
  <si>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</si>
  <si>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</si>
  <si>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</si>
  <si>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</si>
  <si>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</si>
  <si>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</si>
  <si>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</si>
  <si>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</si>
  <si>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</si>
  <si>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</si>
  <si>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</si>
  <si>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</si>
  <si>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</si>
  <si>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</si>
  <si>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</si>
  <si>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</si>
  <si>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</si>
  <si>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</si>
  <si>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</si>
  <si>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</si>
  <si>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</si>
  <si>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</si>
  <si>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</si>
  <si>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</si>
  <si>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</si>
  <si>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</si>
  <si>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</si>
  <si>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</si>
  <si>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</si>
  <si>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</si>
  <si>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</si>
  <si>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</si>
  <si>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</si>
  <si>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</si>
  <si>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</si>
  <si>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</si>
  <si>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</si>
  <si>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</si>
  <si>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</si>
  <si>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</si>
  <si>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</si>
  <si>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</si>
  <si>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</si>
  <si>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</si>
  <si>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</si>
  <si>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</si>
  <si>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</si>
  <si>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</si>
  <si>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</si>
  <si>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</si>
  <si>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</si>
  <si>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</si>
  <si>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</si>
  <si>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</si>
  <si>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</si>
  <si>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</si>
  <si>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</si>
  <si>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</si>
  <si>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</si>
  <si>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</si>
  <si>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</si>
  <si>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</si>
  <si>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</si>
  <si>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</si>
  <si>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</si>
  <si>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</si>
  <si>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</si>
  <si>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</si>
  <si>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</si>
  <si>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</si>
  <si>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</si>
  <si>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</si>
  <si>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</si>
  <si>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</si>
  <si>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</si>
  <si>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</si>
  <si>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</si>
  <si>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</si>
  <si>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</si>
  <si>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</si>
  <si>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</si>
  <si>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</si>
  <si>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</si>
  <si>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</si>
  <si>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</si>
  <si>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</si>
  <si>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</si>
  <si>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</si>
  <si>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</si>
  <si>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</si>
  <si>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</si>
  <si>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</si>
  <si>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</si>
  <si>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</si>
  <si>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</si>
  <si>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</si>
  <si>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</si>
  <si>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</si>
  <si>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</si>
  <si>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</si>
  <si>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</si>
  <si>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</si>
  <si>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</si>
  <si>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</si>
  <si>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</si>
  <si>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</si>
  <si>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</si>
  <si>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</si>
  <si>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</si>
  <si>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</si>
  <si>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</si>
  <si>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</si>
  <si>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</si>
  <si>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</si>
  <si>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</si>
  <si>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</si>
  <si>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</si>
  <si>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</si>
  <si>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</si>
  <si>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</si>
  <si>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</si>
  <si>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</si>
  <si>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</si>
  <si>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</si>
  <si>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</si>
  <si>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</si>
  <si>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</si>
  <si>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</si>
  <si>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</si>
  <si>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</si>
  <si>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</si>
  <si>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</si>
  <si>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</si>
  <si>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</si>
  <si>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</si>
  <si>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</si>
  <si>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</si>
  <si>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</si>
  <si>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</si>
  <si>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</si>
  <si>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</si>
  <si>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</si>
  <si>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</si>
  <si>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</si>
  <si>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</si>
  <si>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</si>
  <si>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</si>
  <si>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</si>
  <si>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</si>
  <si>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</si>
  <si>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</si>
  <si>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</si>
  <si>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</si>
  <si>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</si>
  <si>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</si>
  <si>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</si>
  <si>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</si>
  <si>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</si>
  <si>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</si>
  <si>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</si>
  <si>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</si>
  <si>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</si>
  <si>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</si>
  <si>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</si>
  <si>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</si>
  <si>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</si>
  <si>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</si>
  <si>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</si>
  <si>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</si>
  <si>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</si>
  <si>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</si>
  <si>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</si>
  <si>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</si>
  <si>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</si>
  <si>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</si>
  <si>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</si>
  <si>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</si>
  <si>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</si>
  <si>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</si>
  <si>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</si>
  <si>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</si>
  <si>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</si>
  <si>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</si>
  <si>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</si>
  <si>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</si>
  <si>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</si>
  <si>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</si>
  <si>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</si>
  <si>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</si>
  <si>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</si>
  <si>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</si>
  <si>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</si>
  <si>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</si>
  <si>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</si>
  <si>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</si>
  <si>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</si>
  <si>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</si>
  <si>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</si>
  <si>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</si>
  <si>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</si>
  <si>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</si>
  <si>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</si>
  <si>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</si>
  <si>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</si>
  <si>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</si>
  <si>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</si>
  <si>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</si>
  <si>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</si>
  <si>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</si>
  <si>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</si>
  <si>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</si>
  <si>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</si>
  <si>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</si>
  <si>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</si>
  <si>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</si>
  <si>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</si>
  <si>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</si>
  <si>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</si>
  <si>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</si>
  <si>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</si>
  <si>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</si>
  <si>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</si>
  <si>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</si>
  <si>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</si>
  <si>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</si>
  <si>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</si>
  <si>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</si>
  <si>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</si>
  <si>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</si>
  <si>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</si>
  <si>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</si>
  <si>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</si>
  <si>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</si>
  <si>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</si>
  <si>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</si>
  <si>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</si>
  <si>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</si>
  <si>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</si>
  <si>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</si>
  <si>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</si>
  <si>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</si>
  <si>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</si>
  <si>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</si>
  <si>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</si>
  <si>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</si>
  <si>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</si>
  <si>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</si>
  <si>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</si>
  <si>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</si>
  <si>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</si>
  <si>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</si>
  <si>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</si>
  <si>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</si>
  <si>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</si>
  <si>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</si>
  <si>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</si>
  <si>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</si>
  <si>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</si>
  <si>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</si>
  <si>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</si>
  <si>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</si>
  <si>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</si>
  <si>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</si>
  <si>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</si>
  <si>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</si>
  <si>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</si>
  <si>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</si>
  <si>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</si>
  <si>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</si>
  <si>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</si>
  <si>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</si>
  <si>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</si>
  <si>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</si>
  <si>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</si>
  <si>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</si>
  <si>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</si>
  <si>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</si>
  <si>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</si>
  <si>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</si>
  <si>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</si>
  <si>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</si>
  <si>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</si>
  <si>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</si>
  <si>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</si>
  <si>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</si>
  <si>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</si>
  <si>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</si>
  <si>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</si>
  <si>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</si>
  <si>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</si>
  <si>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</si>
  <si>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</si>
  <si>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</si>
  <si>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</si>
  <si>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</si>
  <si>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</si>
  <si>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</si>
  <si>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</si>
  <si>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</si>
  <si>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</si>
  <si>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</si>
  <si>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</si>
  <si>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</si>
  <si>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</si>
  <si>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</si>
  <si>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</si>
  <si>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</si>
  <si>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</si>
  <si>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</si>
  <si>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</si>
  <si>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</si>
  <si>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</si>
  <si>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</si>
  <si>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</si>
  <si>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</si>
  <si>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</si>
  <si>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</si>
  <si>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</si>
  <si>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</si>
  <si>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</si>
  <si>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</si>
  <si>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</si>
  <si>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</si>
  <si>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</si>
  <si>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</si>
  <si>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</si>
  <si>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</si>
  <si>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</si>
  <si>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</si>
  <si>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</si>
  <si>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</si>
  <si>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</si>
  <si>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</si>
  <si>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</si>
  <si>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</si>
  <si>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</si>
  <si>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</si>
  <si>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</si>
  <si>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</si>
  <si>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</si>
  <si>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</si>
  <si>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</si>
  <si>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</si>
  <si>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</si>
  <si>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</si>
  <si>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</si>
  <si>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</si>
  <si>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</si>
  <si>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</si>
  <si>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</si>
  <si>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</si>
  <si>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</si>
  <si>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</si>
  <si>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</si>
  <si>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</si>
  <si>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</si>
  <si>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</si>
  <si>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</si>
  <si>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</si>
  <si>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</si>
  <si>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</si>
  <si>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</si>
  <si>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</si>
  <si>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</si>
  <si>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</si>
  <si>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</si>
  <si>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</si>
  <si>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</si>
  <si>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</si>
  <si>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</si>
  <si>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</si>
  <si>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</si>
  <si>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</si>
  <si>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</si>
  <si>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</si>
  <si>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</si>
  <si>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</si>
  <si>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</si>
  <si>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</si>
  <si>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</si>
  <si>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</si>
  <si>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</si>
  <si>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</si>
  <si>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</si>
  <si>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</si>
  <si>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</si>
  <si>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</si>
  <si>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</si>
  <si>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</si>
  <si>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</si>
  <si>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</si>
  <si>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</si>
  <si>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</si>
  <si>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</si>
  <si>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</si>
  <si>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</si>
  <si>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</si>
  <si>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</si>
  <si>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</si>
  <si>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</si>
  <si>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</si>
  <si>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</si>
  <si>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</si>
  <si>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</si>
  <si>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</si>
  <si>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</si>
  <si>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</si>
  <si>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</si>
  <si>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</si>
  <si>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</si>
  <si>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</si>
  <si>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</si>
  <si>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</si>
  <si>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</si>
  <si>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</si>
  <si>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</si>
  <si>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</si>
  <si>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</si>
  <si>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</si>
  <si>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</si>
  <si>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</si>
  <si>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</si>
  <si>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</si>
  <si>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</si>
  <si>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</si>
  <si>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</si>
  <si>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</si>
  <si>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</si>
  <si>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</si>
  <si>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Sales Plan Qty</t>
  </si>
  <si>
    <t>Sale Plan Value</t>
  </si>
  <si>
    <t>USD/EUR value</t>
  </si>
  <si>
    <t>Total price</t>
  </si>
  <si>
    <t>Row Labels</t>
  </si>
  <si>
    <t>(blank)</t>
  </si>
  <si>
    <t>Grand Total</t>
  </si>
  <si>
    <t>Sum of Sale Plan Value</t>
  </si>
  <si>
    <t>Export</t>
  </si>
  <si>
    <t>Domestic</t>
  </si>
  <si>
    <t>Category</t>
  </si>
  <si>
    <t>JUNE SALES PLAN 2026</t>
  </si>
  <si>
    <t>Export Value in Lakhs</t>
  </si>
  <si>
    <t>Domestic Value in Lakhs</t>
  </si>
  <si>
    <t>Total Sales value in lakhs</t>
  </si>
  <si>
    <t xml:space="preserve">Customer </t>
  </si>
  <si>
    <t>840T</t>
  </si>
  <si>
    <t>Machinagee Ton</t>
  </si>
  <si>
    <t>Price/rate</t>
  </si>
  <si>
    <t>Sales Actual Qty</t>
  </si>
  <si>
    <t>Sale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</si>
</sst>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43" fontId="0" fillId="0" borderId="0" xfId="1" applyFont="1"/>
    <xf numFmtId="2" fontId="2" fillId="3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pc1" refreshedDate="46173.545933449073" createdVersion="8" refreshedVersion="8" minRefreshableVersion="3" recordCount="100" xr:uid="{73242F08-2D18-4B17-8513-7875732FC72F}">
  <cacheSource type="worksheet">
    <worksheetSource ref="A4:K1048576" sheet="JUNE sale plan 2026"/>
  </cacheSource>
  <cacheFields count="11">
    <cacheField name="CUSTOMER" numFmtId="0">
      <sharedItems containsBlank="1" count="25">
        <s v="C00013"/>
        <s v="C00038"/>
        <s v="C00455"/>
        <s v="C00066"/>
        <s v="C00075"/>
        <s v="C00093"/>
        <s v="C00110"/>
        <s v="C00109"/>
        <s v="C00117"/>
        <s v="C00160"/>
        <s v="C00152"/>
        <s v="C00161"/>
        <s v="C00419"/>
        <s v="C00178"/>
        <s v="C00185"/>
        <s v="C00235"/>
        <s v="C00500"/>
        <s v="C00402"/>
        <s v="C00538"/>
        <s v="C00448"/>
        <s v="C00320"/>
        <s v="C00371"/>
        <s v="C00379"/>
        <s v="C00383"/>
        <m/>
      </sharedItems>
    </cacheField>
    <cacheField name="CUSTOMER DESC." numFmtId="0">
      <sharedItems containsBlank="1" count="25">
        <s v="ARGO-HYTOS PVT LTD"/>
        <s v="BING POWER SYSTEMS GMBH"/>
        <s v="DOVER INDIA PVT. LTD"/>
        <s v="DY AUTO INDIA PVT. LTD."/>
        <s v="ELERO GMBH"/>
        <s v="FESTO INDIA PRIVATE LIMITED"/>
        <s v="G PLAST PVT LTD UNIT I"/>
        <s v="GATES UNITTA INDIA COMPANY PVT LTD"/>
        <s v="GOODRICH LIGHTING SYSTEMS"/>
        <s v="HUSCO HYDRAULICS PVT LTD (PUNE)"/>
        <s v="HUSCO INTERNATIONAL - (USA)"/>
        <s v="HUSCO INTERNATIONAL PARTNERS LLP"/>
        <s v="HYDAC (INDIA) PRIVATE LIMITED"/>
        <s v="ITW INDIA PRIVATE LIMITED"/>
        <s v="JABIL CIRCUIT (GUANGZHOU) LTD"/>
        <s v="MAHLE ELECTRIC DRIVES INDIA PVT LTD.,"/>
        <s v="NASH PRODUCTS"/>
        <s v="OMNI MATRIX PRIVATE LIMITED"/>
        <s v="RIETER (CHINA) TEXTILE INSTRUMENTS CO., LTD."/>
        <s v="RIETER AUTOMATIC WINDER GMBH"/>
        <s v="SAURER TEXTILE SOLUTIONS PRIVATE LIMITED"/>
        <s v="VISTEON ELECTRONICS INDIA PRIVATE LIMITED"/>
        <s v="WAYNE FUELING SYSTEMS LLC"/>
        <s v="WAYNE INDUSTRIA E COMERCIO LTDA"/>
        <m/>
      </sharedItems>
    </cacheField>
    <cacheField name="ITEM" numFmtId="0">
      <sharedItems containsBlank="1"/>
    </cacheField>
    <cacheField name="ITEM DESCRIPTION" numFmtId="0">
      <sharedItems containsBlank="1"/>
    </cacheField>
    <cacheField name="SALES UOM" numFmtId="0">
      <sharedItems containsBlank="1"/>
    </cacheField>
    <cacheField name="SALES PRICE" numFmtId="0">
      <sharedItems containsString="0" containsBlank="1" containsNumber="1" minValue="0.33" maxValue="8000"/>
    </cacheField>
    <cacheField name="CURRENCY" numFmtId="0">
      <sharedItems containsBlank="1"/>
    </cacheField>
    <cacheField name="USD/EUR value" numFmtId="0">
      <sharedItems containsString="0" containsBlank="1" containsNumber="1" minValue="15.99" maxValue="8000"/>
    </cacheField>
    <cacheField name="Total price" numFmtId="0">
      <sharedItems containsString="0" containsBlank="1" containsNumber="1" minValue="15.99" maxValue="8000"/>
    </cacheField>
    <cacheField name="Sales Plan Qty" numFmtId="0">
      <sharedItems containsString="0" containsBlank="1" containsNumber="1" containsInteger="1" minValue="40" maxValue="74140"/>
    </cacheField>
    <cacheField name="Sale Plan Value" numFmtId="0">
      <sharedItems containsString="0" containsBlank="1" containsNumber="1" minValue="7.5485099999999999E-2" maxValue="71.52694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A13D01340000"/>
    <s v="FILTER HEAD (E103.0001)"/>
    <s v="NOS"/>
    <n v="311.95"/>
    <s v="INR"/>
    <n v="311.95"/>
    <n v="311.95"/>
    <n v="500"/>
    <n v="1.55975"/>
  </r>
  <r>
    <x v="0"/>
    <x v="0"/>
    <s v="A13D01530000"/>
    <s v="FILTER HEAD (E103.0002) DRAWING  NO# 44413000"/>
    <s v="NOS"/>
    <n v="229.11"/>
    <s v="INR"/>
    <n v="229.11"/>
    <n v="229.11"/>
    <n v="2160"/>
    <n v="4.9487760000000005"/>
  </r>
  <r>
    <x v="0"/>
    <x v="0"/>
    <s v="A13D134B0000"/>
    <s v="FILTER HEAD-E2118 (E103.0179) [28794200]"/>
    <s v="NOS"/>
    <n v="315.98"/>
    <s v="INR"/>
    <n v="315.98"/>
    <n v="315.98"/>
    <n v="800"/>
    <n v="2.5278399999999999"/>
  </r>
  <r>
    <x v="0"/>
    <x v="0"/>
    <s v="A13D01540000"/>
    <s v="FILTER HEAD (40134400)"/>
    <s v="NOS"/>
    <n v="315.98"/>
    <s v="INR"/>
    <n v="315.98"/>
    <n v="315.98"/>
    <n v="400"/>
    <n v="1.2639199999999999"/>
  </r>
  <r>
    <x v="0"/>
    <x v="0"/>
    <s v="C00013D416002122"/>
    <s v="JCB FILTER COVER (34380400)"/>
    <s v="NOS"/>
    <n v="193.99"/>
    <s v="INR"/>
    <n v="193.99"/>
    <n v="193.99"/>
    <n v="8580"/>
    <n v="16.644342000000002"/>
  </r>
  <r>
    <x v="0"/>
    <x v="0"/>
    <s v="C00013D417002122"/>
    <s v="JCB FILTER HEAD (34381900)"/>
    <s v="NOS"/>
    <n v="449.89"/>
    <s v="INR"/>
    <n v="449.89"/>
    <n v="449.89"/>
    <n v="9440"/>
    <n v="42.469615999999995"/>
  </r>
  <r>
    <x v="0"/>
    <x v="0"/>
    <s v="C000130D42002223"/>
    <s v="FILTER HEAD (44413300)_E103.0010"/>
    <s v="NOS"/>
    <n v="373.89"/>
    <s v="INR"/>
    <n v="373.89"/>
    <n v="373.89"/>
    <n v="150"/>
    <n v="0.56083499999999997"/>
  </r>
  <r>
    <x v="0"/>
    <x v="0"/>
    <s v="C000130D42402223"/>
    <s v="FILTER HEAD (44418700)_E103.0161"/>
    <s v="NOS"/>
    <n v="321.43"/>
    <s v="INR"/>
    <n v="321.43"/>
    <n v="321.43"/>
    <n v="500"/>
    <n v="1.6071500000000001"/>
  </r>
  <r>
    <x v="0"/>
    <x v="0"/>
    <s v="C000130D04620000"/>
    <s v="FILTER HEAD RST 308.0201 (44248000)"/>
    <s v="NOS"/>
    <n v="1616.44"/>
    <s v="INR"/>
    <n v="1616.44"/>
    <n v="1616.44"/>
    <n v="300"/>
    <n v="4.8493199999999996"/>
  </r>
  <r>
    <x v="0"/>
    <x v="0"/>
    <s v="C000130D04600000"/>
    <s v="COVER WITH ANODIZING (45851800)"/>
    <s v="NOS"/>
    <n v="134.47"/>
    <s v="INR"/>
    <n v="134.47"/>
    <n v="134.47"/>
    <n v="10504"/>
    <n v="14.1247288"/>
  </r>
  <r>
    <x v="0"/>
    <x v="0"/>
    <s v="C000130D04610000"/>
    <s v="SLEEVE WITH ANODIZING (45852600)"/>
    <s v="NOS"/>
    <n v="112.48"/>
    <s v="INR"/>
    <n v="112.48"/>
    <n v="112.48"/>
    <n v="9223"/>
    <n v="10.374030400000001"/>
  </r>
  <r>
    <x v="0"/>
    <x v="0"/>
    <s v="C00013D05030000"/>
    <s v="JCB-COVER (45852500) WITHOUT ANODIZING"/>
    <s v="NOS"/>
    <n v="102.42"/>
    <s v="INR"/>
    <n v="102.42"/>
    <n v="102.42"/>
    <n v="140"/>
    <n v="0.14338800000000002"/>
  </r>
  <r>
    <x v="0"/>
    <x v="0"/>
    <s v="C00013D05040000"/>
    <s v="JCB-SLEEVE (45852100) WITHOUT ANODIZING"/>
    <s v="NOS"/>
    <n v="82.88"/>
    <s v="INR"/>
    <n v="82.88"/>
    <n v="82.88"/>
    <n v="137"/>
    <n v="0.1135456"/>
  </r>
  <r>
    <x v="0"/>
    <x v="0"/>
    <s v="A13DT55000000"/>
    <s v="FILTER HEAD - 47007237 - REV-00"/>
    <s v="NOS"/>
    <n v="295"/>
    <s v="INR"/>
    <n v="295"/>
    <n v="295"/>
    <n v="1625"/>
    <n v="4.7937500000000002"/>
  </r>
  <r>
    <x v="1"/>
    <x v="1"/>
    <s v="B09D03000000"/>
    <s v="GEHAUSE-HOUSING (114-806-05)"/>
    <s v="NOS"/>
    <n v="0.4"/>
    <s v="EUR"/>
    <n v="110"/>
    <n v="44"/>
    <n v="11520"/>
    <n v="5.0688000000000004"/>
  </r>
  <r>
    <x v="1"/>
    <x v="1"/>
    <s v="B09D300A0000"/>
    <s v="GEHAUSE-HOUSING (114-807-05)"/>
    <s v="NOS"/>
    <n v="0.4"/>
    <s v="EUR"/>
    <n v="110"/>
    <n v="44"/>
    <n v="11520"/>
    <n v="5.0688000000000004"/>
  </r>
  <r>
    <x v="1"/>
    <x v="1"/>
    <s v="C00038D05230000"/>
    <s v="CARBURETOR HOUSING PRE MACHINING R (22259-00-00)"/>
    <s v="NOS"/>
    <n v="4.9000000000000004"/>
    <s v="EUR"/>
    <n v="110"/>
    <n v="539"/>
    <n v="1782"/>
    <n v="9.6049799999999994"/>
  </r>
  <r>
    <x v="1"/>
    <x v="1"/>
    <s v="C00038D05240000"/>
    <s v="CARBURETOR HOUSING PRE MACHINING L (22260-00-00)"/>
    <s v="NOS"/>
    <n v="4.9000000000000004"/>
    <s v="EUR"/>
    <n v="110"/>
    <n v="539"/>
    <n v="1782"/>
    <n v="9.6049799999999994"/>
  </r>
  <r>
    <x v="1"/>
    <x v="1"/>
    <s v="C00038D05300000"/>
    <s v="ADAPTER PLATE MACHINED (22547-00-00)"/>
    <s v="NOS"/>
    <n v="1.26"/>
    <s v="EUR"/>
    <n v="110"/>
    <n v="138.6"/>
    <n v="2560"/>
    <n v="3.5481600000000002"/>
  </r>
  <r>
    <x v="2"/>
    <x v="2"/>
    <s v="C00455D004412223"/>
    <s v="ASSY,NV4000 NORMAL VENT (PV VENT ASSY,3PSIG PRESSURE,1PSIG VAC, 1-5/8-12 UN THREADS (NV4000(1 NV4000- L-IN)"/>
    <s v="NOS"/>
    <n v="1178"/>
    <s v="INR"/>
    <n v="1178"/>
    <n v="1178"/>
    <n v="1000"/>
    <n v="11.78"/>
  </r>
  <r>
    <x v="3"/>
    <x v="3"/>
    <s v="C00066D406212200"/>
    <s v="SLEEVE (QX LD, xALDC 12) 111020701"/>
    <s v="NOS"/>
    <n v="61.37"/>
    <s v="INR"/>
    <n v="61.37"/>
    <n v="61.37"/>
    <n v="123"/>
    <n v="7.5485099999999999E-2"/>
  </r>
  <r>
    <x v="3"/>
    <x v="3"/>
    <s v="C00066D407212200"/>
    <s v="SLEEVE (QX LP, xALDC 12) 111020801"/>
    <s v="NOS"/>
    <n v="62.37"/>
    <s v="INR"/>
    <n v="62.37"/>
    <n v="62.37"/>
    <n v="123"/>
    <n v="7.6715099999999994E-2"/>
  </r>
  <r>
    <x v="3"/>
    <x v="3"/>
    <s v="C00066D402002122"/>
    <s v="FRAME (IG, xALDC 12, ) 10A026202"/>
    <s v="NOS"/>
    <n v="160.08000000000001"/>
    <s v="INR"/>
    <n v="160.08000000000001"/>
    <n v="160.08000000000001"/>
    <n v="44682"/>
    <n v="71.526945600000005"/>
  </r>
  <r>
    <x v="3"/>
    <x v="3"/>
    <s v="C00066D408212200"/>
    <s v="FRAME LHD (AE, xALDC 12, ) 10A025501B"/>
    <s v="NOS"/>
    <n v="146.66999999999999"/>
    <s v="INR"/>
    <n v="146.66999999999999"/>
    <n v="146.66999999999999"/>
    <n v="6515"/>
    <n v="9.5555504999999989"/>
  </r>
  <r>
    <x v="3"/>
    <x v="3"/>
    <s v="C00066D445002223"/>
    <s v="FRAME RHD (AE, xALDC 12, ) 10A025801"/>
    <s v="NOS"/>
    <n v="146.66999999999999"/>
    <s v="INR"/>
    <n v="146.66999999999999"/>
    <n v="146.66999999999999"/>
    <n v="26583"/>
    <n v="38.989286100000001"/>
  </r>
  <r>
    <x v="3"/>
    <x v="3"/>
    <s v="C00066D468002324"/>
    <s v="SLEEVE (SU2i RD, xALDC 12) 111023100A"/>
    <s v="NOS"/>
    <n v="67"/>
    <s v="INR"/>
    <n v="67"/>
    <n v="67"/>
    <n v="17790"/>
    <n v="11.9193"/>
  </r>
  <r>
    <x v="3"/>
    <x v="3"/>
    <s v="C00066D469002324"/>
    <s v="SLEEVE (SU2i RP, xALDC 12 ) 111023200A"/>
    <s v="NOS"/>
    <n v="66.98"/>
    <s v="INR"/>
    <n v="66.98"/>
    <n v="66.98"/>
    <n v="17790"/>
    <n v="11.915742000000002"/>
  </r>
  <r>
    <x v="3"/>
    <x v="3"/>
    <s v="C00066D470002324"/>
    <s v="SLEEVE DR (SU2i LD,xALDC 12) 111023500"/>
    <s v="NOS"/>
    <n v="65.34"/>
    <s v="INR"/>
    <n v="65.34"/>
    <n v="65.34"/>
    <n v="11433"/>
    <n v="7.4703222000000009"/>
  </r>
  <r>
    <x v="3"/>
    <x v="3"/>
    <s v="C00066D471002324"/>
    <s v="SLEEVE (SU2i LP,xALDC 12) 111023600"/>
    <s v="NOS"/>
    <n v="64.84"/>
    <s v="INR"/>
    <n v="64.84"/>
    <n v="64.84"/>
    <n v="11433"/>
    <n v="7.4131572000000006"/>
  </r>
  <r>
    <x v="3"/>
    <x v="3"/>
    <s v="C00066D466002324"/>
    <s v="SLEEVE RD (AI3 xALDC 12) 111021000"/>
    <s v="NOS"/>
    <n v="76"/>
    <s v="INR"/>
    <n v="76"/>
    <n v="76"/>
    <n v="25276"/>
    <n v="19.209759999999999"/>
  </r>
  <r>
    <x v="3"/>
    <x v="3"/>
    <s v="C00066D467002324"/>
    <s v="SLEEVE RP (AI3 xALDC 12) 111021100"/>
    <s v="NOS"/>
    <n v="75.88"/>
    <s v="INR"/>
    <n v="75.88"/>
    <n v="75.88"/>
    <n v="25276"/>
    <n v="19.1794288"/>
  </r>
  <r>
    <x v="3"/>
    <x v="3"/>
    <s v="C00066DT479002324"/>
    <s v="BI3 P3 RHD (10A030800)"/>
    <s v="NOS"/>
    <n v="106.75"/>
    <s v="INR"/>
    <n v="106.75"/>
    <n v="106.75"/>
    <n v="5688"/>
    <n v="6.0719399999999997"/>
  </r>
  <r>
    <x v="3"/>
    <x v="3"/>
    <s v="C00066D005050000"/>
    <s v="SLEEVE (SP3i RD,XALDC 12) 111049500"/>
    <s v="NOS"/>
    <n v="66.959999999999994"/>
    <s v="INR"/>
    <n v="66.959999999999994"/>
    <n v="66.959999999999994"/>
    <n v="1156"/>
    <n v="0.7740575999999999"/>
  </r>
  <r>
    <x v="3"/>
    <x v="3"/>
    <s v="C00066D005060000"/>
    <s v="SLEEVE (SP3i RP,XALDC 12) 111049600"/>
    <s v="NOS"/>
    <n v="66.44"/>
    <s v="INR"/>
    <n v="66.44"/>
    <n v="66.44"/>
    <n v="1156"/>
    <n v="0.76804640000000002"/>
  </r>
  <r>
    <x v="3"/>
    <x v="3"/>
    <s v="C00066D005120000"/>
    <s v="SLEEVE LD-SP3i (111049700)"/>
    <s v="NOS"/>
    <n v="64.25"/>
    <s v="INR"/>
    <n v="64.25"/>
    <n v="64.25"/>
    <n v="375"/>
    <n v="0.2409375"/>
  </r>
  <r>
    <x v="3"/>
    <x v="3"/>
    <s v="C00066D005130000"/>
    <s v="SLEEVE LP-SP3i (111049800)"/>
    <s v="NOS"/>
    <n v="65.25"/>
    <s v="INR"/>
    <n v="65.25"/>
    <n v="65.25"/>
    <n v="375"/>
    <n v="0.2446875"/>
  </r>
  <r>
    <x v="3"/>
    <x v="3"/>
    <s v="C00066D05550000"/>
    <s v="COVER (107012504) REV B"/>
    <s v="NOS"/>
    <n v="216.47"/>
    <s v="INR"/>
    <n v="216.47"/>
    <n v="216.47"/>
    <n v="7800"/>
    <n v="16.88466"/>
  </r>
  <r>
    <x v="4"/>
    <x v="4"/>
    <s v="E05D03690000"/>
    <s v="ADAPTER SH (233750901)"/>
    <s v="NOS"/>
    <n v="3"/>
    <s v="EUR"/>
    <n v="110"/>
    <n v="330"/>
    <n v="500"/>
    <n v="1.65"/>
  </r>
  <r>
    <x v="5"/>
    <x v="5"/>
    <s v="C00093D411212200"/>
    <s v="END CAP 10D (8168295)_17098269  REV D"/>
    <s v="NOS"/>
    <n v="68.33"/>
    <s v="INR"/>
    <n v="68.33"/>
    <n v="68.33"/>
    <n v="7000"/>
    <n v="4.7831000000000001"/>
  </r>
  <r>
    <x v="5"/>
    <x v="5"/>
    <s v="C00093D412212200"/>
    <s v="END CAP 20D (8168452) 17098269 REV D"/>
    <s v="NOS"/>
    <n v="85.89"/>
    <s v="INR"/>
    <n v="85.89"/>
    <n v="85.89"/>
    <n v="30000"/>
    <n v="25.766999999999999"/>
  </r>
  <r>
    <x v="5"/>
    <x v="5"/>
    <s v="C00093D413212200"/>
    <s v="END CAP 20S S (8168298)_17098269  REV D"/>
    <s v="NOS"/>
    <n v="108.91"/>
    <s v="INR"/>
    <n v="108.91"/>
    <n v="108.91"/>
    <n v="3000"/>
    <n v="3.2673000000000001"/>
  </r>
  <r>
    <x v="5"/>
    <x v="5"/>
    <s v="C00093D448002223"/>
    <s v="END CAP DFPD-20-S-EP(8168299)_17098269 REV D"/>
    <s v="NOS"/>
    <n v="108.91"/>
    <s v="INR"/>
    <n v="108.91"/>
    <n v="108.91"/>
    <n v="200"/>
    <n v="0.21782000000000001"/>
  </r>
  <r>
    <x v="6"/>
    <x v="6"/>
    <s v="G06D03710000"/>
    <s v="MOUNTING PLATE (5791432DDW REV.1)"/>
    <s v="NOS"/>
    <n v="1400"/>
    <s v="INR"/>
    <n v="1400"/>
    <n v="1400"/>
    <n v="360"/>
    <n v="5.04"/>
  </r>
  <r>
    <x v="6"/>
    <x v="6"/>
    <s v="C00106D457002223"/>
    <s v="INS291 MACHINING, UPPER STEERING (5928184DDW) REV7"/>
    <s v="NOS"/>
    <n v="8000"/>
    <s v="INR"/>
    <n v="8000"/>
    <n v="8000"/>
    <n v="40"/>
    <n v="3.2"/>
  </r>
  <r>
    <x v="7"/>
    <x v="7"/>
    <s v="C00109D400202122"/>
    <s v="K15 TENSIONER ARM (I83554A1347- A)"/>
    <s v="NOS"/>
    <n v="107.15"/>
    <s v="INR"/>
    <n v="107.15"/>
    <n v="107.15"/>
    <n v="40000"/>
    <n v="42.86"/>
  </r>
  <r>
    <x v="7"/>
    <x v="7"/>
    <s v="C00109D401202122"/>
    <s v="K15 TENSIONER BASE (I83554A1348 -A)"/>
    <s v="NOS"/>
    <n v="142.54"/>
    <s v="INR"/>
    <n v="142.54"/>
    <n v="142.54"/>
    <n v="40000"/>
    <n v="57.015999999999998"/>
  </r>
  <r>
    <x v="7"/>
    <x v="7"/>
    <s v="C00109D039702122"/>
    <s v="K10 TENSIONER ARM (I83539A1004 - B)"/>
    <s v="NOS"/>
    <n v="114.8"/>
    <s v="INR"/>
    <n v="114.8"/>
    <n v="114.8"/>
    <n v="20000"/>
    <n v="22.96"/>
  </r>
  <r>
    <x v="7"/>
    <x v="7"/>
    <s v="C00109D039802122"/>
    <s v="K10 TENSIONER BASE  (I83539A1005-C)"/>
    <s v="NOS"/>
    <n v="136.44"/>
    <s v="INR"/>
    <n v="136.44"/>
    <n v="136.44"/>
    <n v="20000"/>
    <n v="27.288"/>
  </r>
  <r>
    <x v="8"/>
    <x v="8"/>
    <s v="G18D01730000"/>
    <s v="CLAMP BLOCK &amp; CLAMP SUPPORT ASSEY (9XX625015-00)"/>
    <s v="NOS"/>
    <n v="2.75"/>
    <s v="USD"/>
    <n v="95"/>
    <n v="261.25"/>
    <n v="10000"/>
    <n v="26.125"/>
  </r>
  <r>
    <x v="8"/>
    <x v="8"/>
    <s v="G18D02540000"/>
    <s v="HOUSING (9BG416772-03)"/>
    <s v="NOS"/>
    <n v="38.369999999999997"/>
    <s v="USD"/>
    <n v="95"/>
    <n v="3645.1499999999996"/>
    <n v="100"/>
    <n v="3.6451499999999992"/>
  </r>
  <r>
    <x v="9"/>
    <x v="9"/>
    <s v="H01D03840000"/>
    <s v="CAPSPOOL ( 63437 ) REV (C03)"/>
    <s v="NOS"/>
    <n v="43.34"/>
    <s v="INR"/>
    <n v="43.34"/>
    <n v="43.34"/>
    <n v="1500"/>
    <n v="0.65010000000000012"/>
  </r>
  <r>
    <x v="9"/>
    <x v="9"/>
    <s v="H09D01500000"/>
    <s v="CAP SPOOL (3324-14) C04"/>
    <s v="NOS"/>
    <n v="45.29"/>
    <s v="INR"/>
    <n v="45.29"/>
    <n v="45.29"/>
    <n v="6000"/>
    <n v="2.7174"/>
  </r>
  <r>
    <x v="9"/>
    <x v="9"/>
    <s v="H09D02180000"/>
    <s v="TRIPLE END CAP SPOOL (62251-4) A00"/>
    <s v="NOS"/>
    <n v="472.55"/>
    <s v="INR"/>
    <n v="472.55"/>
    <n v="472.55"/>
    <n v="630"/>
    <n v="2.9770650000000001"/>
  </r>
  <r>
    <x v="9"/>
    <x v="9"/>
    <s v="H09D02200000"/>
    <s v="CAP SPOOL (K59936-4) E01"/>
    <s v="NOS"/>
    <n v="269"/>
    <s v="INR"/>
    <n v="269"/>
    <n v="269"/>
    <n v="48"/>
    <n v="0.12912000000000001"/>
  </r>
  <r>
    <x v="9"/>
    <x v="9"/>
    <s v="H09D150A0000"/>
    <s v="CAP SPOOL (3324-A)"/>
    <s v="NOS"/>
    <n v="44.48"/>
    <s v="INR"/>
    <n v="44.48"/>
    <n v="44.48"/>
    <n v="300"/>
    <n v="0.13343999999999998"/>
  </r>
  <r>
    <x v="9"/>
    <x v="9"/>
    <s v="HO9D311A0000"/>
    <s v="CAP SPOOL (5028-A1) A00"/>
    <s v="NOS"/>
    <n v="33.61"/>
    <s v="INR"/>
    <n v="33.61"/>
    <n v="33.61"/>
    <n v="1000"/>
    <n v="0.33610000000000001"/>
  </r>
  <r>
    <x v="10"/>
    <x v="10"/>
    <s v="H01D03030000"/>
    <s v="Cap Spool (K59936-10) C01"/>
    <s v="NOS"/>
    <n v="4"/>
    <s v="USD"/>
    <n v="95"/>
    <n v="380"/>
    <n v="960"/>
    <n v="3.6480000000000001"/>
  </r>
  <r>
    <x v="10"/>
    <x v="10"/>
    <s v="H09D01510000"/>
    <s v="CAP SPOOL (5028) F00"/>
    <s v="NOS"/>
    <n v="0.39"/>
    <s v="USD"/>
    <n v="95"/>
    <n v="37.050000000000004"/>
    <n v="4000"/>
    <n v="1.4820000000000002"/>
  </r>
  <r>
    <x v="10"/>
    <x v="10"/>
    <s v="H09D02160000"/>
    <s v="CAP SPOOL (K59934-3) F01"/>
    <s v="NOS"/>
    <n v="2.82"/>
    <s v="USD"/>
    <n v="95"/>
    <n v="267.89999999999998"/>
    <n v="960"/>
    <n v="2.5718399999999999"/>
  </r>
  <r>
    <x v="10"/>
    <x v="10"/>
    <s v="H09D02180000"/>
    <s v="TRIPLE END CAP SPOOL (62251-4) A00"/>
    <s v="NOS"/>
    <n v="6.33"/>
    <s v="USD"/>
    <n v="95"/>
    <n v="601.35"/>
    <n v="756"/>
    <n v="4.5462060000000006"/>
  </r>
  <r>
    <x v="10"/>
    <x v="10"/>
    <s v="H09D02190000"/>
    <s v="CAP SPOOL (K59936-3) F01"/>
    <s v="NOS"/>
    <n v="3.45"/>
    <s v="USD"/>
    <n v="95"/>
    <n v="327.75"/>
    <n v="960"/>
    <n v="3.1463999999999999"/>
  </r>
  <r>
    <x v="10"/>
    <x v="10"/>
    <s v="H09D02200000"/>
    <s v="CAP SPOOL (K59936-4) E01"/>
    <s v="NOS"/>
    <n v="3.29"/>
    <s v="USD"/>
    <n v="95"/>
    <n v="312.55"/>
    <n v="960"/>
    <n v="3.00048"/>
  </r>
  <r>
    <x v="10"/>
    <x v="10"/>
    <s v="C00157D05320000"/>
    <s v="CAPSPOOL 64206-2 (A03)"/>
    <s v="NOS"/>
    <n v="4.62"/>
    <s v="USD"/>
    <n v="95"/>
    <n v="438.90000000000003"/>
    <n v="10000"/>
    <n v="43.89"/>
  </r>
  <r>
    <x v="11"/>
    <x v="11"/>
    <s v="H09D01510000"/>
    <s v="CAP SPOOL (5028) F00"/>
    <s v="NOS"/>
    <n v="0.33"/>
    <s v="USD"/>
    <n v="95"/>
    <n v="31.35"/>
    <n v="1000"/>
    <n v="0.3135"/>
  </r>
  <r>
    <x v="11"/>
    <x v="11"/>
    <s v="H09D0151A0000"/>
    <s v="CAP SPOOL (5028-6) B00"/>
    <s v="NOS"/>
    <n v="0.37"/>
    <s v="USD"/>
    <n v="95"/>
    <n v="35.15"/>
    <n v="500"/>
    <n v="0.17574999999999999"/>
  </r>
  <r>
    <x v="11"/>
    <x v="11"/>
    <s v="H09D150C0000"/>
    <s v="CAPS POOL (3324-17  REV B01)"/>
    <s v="NOS"/>
    <n v="1.0900000000000001"/>
    <s v="USD"/>
    <n v="95"/>
    <n v="103.55000000000001"/>
    <n v="2000"/>
    <n v="2.0710000000000002"/>
  </r>
  <r>
    <x v="11"/>
    <x v="11"/>
    <s v="C00152D049102324"/>
    <s v="CAP-SPOOL (64205) B03"/>
    <s v="NOS"/>
    <n v="1.59"/>
    <s v="USD"/>
    <n v="95"/>
    <n v="151.05000000000001"/>
    <n v="5000"/>
    <n v="7.5525000000000002"/>
  </r>
  <r>
    <x v="12"/>
    <x v="12"/>
    <s v="C00419D003992122"/>
    <s v="SPRING HOUSING-DETENT-899129"/>
    <s v="NOS"/>
    <n v="68.8"/>
    <s v="INR"/>
    <n v="68.8"/>
    <n v="68.8"/>
    <n v="2352"/>
    <n v="1.6181760000000001"/>
  </r>
  <r>
    <x v="13"/>
    <x v="13"/>
    <s v="C00178D488000000"/>
    <s v="WEIGHT BALANCE (BA0000681200) REV 04"/>
    <s v="NOS"/>
    <n v="69.790000000000006"/>
    <s v="INR"/>
    <n v="69.790000000000006"/>
    <n v="69.790000000000006"/>
    <n v="50000"/>
    <n v="34.895000000000003"/>
  </r>
  <r>
    <x v="14"/>
    <x v="14"/>
    <s v="G04D01380000"/>
    <s v="END CAP, BAPA/BCLA HOUSING (GE151X1202YV04MG02)"/>
    <s v="NOS"/>
    <n v="5"/>
    <s v="USD"/>
    <n v="95"/>
    <n v="475"/>
    <n v="1500"/>
    <n v="7.125"/>
  </r>
  <r>
    <x v="14"/>
    <x v="14"/>
    <s v="J05D01460000"/>
    <s v="UCSA ASSY  (GE259B2452AEG01)"/>
    <s v="NOS"/>
    <n v="33.01"/>
    <s v="USD"/>
    <n v="95"/>
    <n v="3135.95"/>
    <n v="300"/>
    <n v="9.4078499999999998"/>
  </r>
  <r>
    <x v="15"/>
    <x v="15"/>
    <s v="C00235D394000000"/>
    <s v="REAR END BRACKET (15125396) REV 9 (COMP WG 0.412*7 =RS.2.8)"/>
    <s v="NOS"/>
    <n v="236.12"/>
    <s v="INR"/>
    <n v="236.12"/>
    <n v="236.12"/>
    <n v="24064"/>
    <n v="56.819916799999994"/>
  </r>
  <r>
    <x v="15"/>
    <x v="15"/>
    <s v="C00235D405212200"/>
    <s v="PROTECTIVE COVER_D15422567"/>
    <s v="NOS"/>
    <n v="53.15"/>
    <s v="INR"/>
    <n v="53.15"/>
    <n v="53.15"/>
    <n v="9360"/>
    <n v="4.9748400000000004"/>
  </r>
  <r>
    <x v="15"/>
    <x v="15"/>
    <s v="C00235D409212200"/>
    <s v="REAR END BRACKET (P-045072_15126653)"/>
    <s v="NOS"/>
    <n v="267.93"/>
    <s v="INR"/>
    <n v="267.93"/>
    <n v="267.93"/>
    <n v="1924"/>
    <n v="5.1549731999999997"/>
  </r>
  <r>
    <x v="15"/>
    <x v="15"/>
    <s v="C00235D415212200"/>
    <s v="RING (15422596)"/>
    <s v="NOS"/>
    <n v="37.1"/>
    <s v="INR"/>
    <n v="37.1"/>
    <n v="37.1"/>
    <n v="74140"/>
    <n v="27.505939999999999"/>
  </r>
  <r>
    <x v="15"/>
    <x v="15"/>
    <s v="C00235D455002223"/>
    <s v="PROTECTIVE COVER (15125656)"/>
    <s v="NOS"/>
    <n v="51.51"/>
    <s v="INR"/>
    <n v="51.51"/>
    <n v="51.51"/>
    <n v="25392"/>
    <n v="13.079419199999998"/>
  </r>
  <r>
    <x v="15"/>
    <x v="15"/>
    <s v="C00235D045802223"/>
    <s v="HOUSING_15422348 REV-03"/>
    <s v="NOS"/>
    <n v="570.16999999999996"/>
    <s v="INR"/>
    <n v="570.16999999999996"/>
    <n v="570.16999999999996"/>
    <n v="12320"/>
    <n v="70.24494399999999"/>
  </r>
  <r>
    <x v="15"/>
    <x v="15"/>
    <s v="C00235D475002324"/>
    <s v="TERMINAL (50,3 X 43 X 13)_(15552465)_REV11"/>
    <s v="NOS"/>
    <n v="62.64"/>
    <s v="INR"/>
    <n v="62.64"/>
    <n v="62.64"/>
    <n v="34615"/>
    <n v="21.682836000000002"/>
  </r>
  <r>
    <x v="15"/>
    <x v="15"/>
    <s v="C00235D476002324"/>
    <s v="TERMINAL( 56,7 X 19,5 X 38,7)_(15552466)_REV10"/>
    <s v="NOS"/>
    <n v="89.16"/>
    <s v="INR"/>
    <n v="89.16"/>
    <n v="89.16"/>
    <n v="23884"/>
    <n v="21.294974400000001"/>
  </r>
  <r>
    <x v="15"/>
    <x v="15"/>
    <s v="C00235D485000000"/>
    <s v="PUSH PLATE 154.25X68.5X13.5(ASSEMBLY)_15210320 REV 4"/>
    <s v="NOS"/>
    <n v="99.44"/>
    <s v="INR"/>
    <n v="99.44"/>
    <n v="99.44"/>
    <n v="11477"/>
    <n v="11.412728799999998"/>
  </r>
  <r>
    <x v="15"/>
    <x v="15"/>
    <s v="C00235D486000000"/>
    <s v="HOUSING (15422662) REV 6"/>
    <s v="NOS"/>
    <n v="716.49"/>
    <s v="INR"/>
    <n v="716.49"/>
    <n v="716.49"/>
    <n v="1180"/>
    <n v="8.4545820000000003"/>
  </r>
  <r>
    <x v="15"/>
    <x v="15"/>
    <s v="C00235D487000000"/>
    <s v="GROUND PLATE SUZUKI P-087289 (D15200486) REV 9"/>
    <s v="NOS"/>
    <n v="325.44"/>
    <s v="INR"/>
    <n v="325.44"/>
    <n v="325.44"/>
    <n v="2007"/>
    <n v="6.5315807999999995"/>
  </r>
  <r>
    <x v="15"/>
    <x v="15"/>
    <s v="C00235D005080000"/>
    <s v="GROUND PLATE RIVER P-123783 (D15120737)"/>
    <s v="NOS"/>
    <n v="337.09"/>
    <s v="INR"/>
    <n v="337.09"/>
    <n v="337.09"/>
    <n v="10480"/>
    <n v="35.327031999999996"/>
  </r>
  <r>
    <x v="15"/>
    <x v="15"/>
    <s v="C00530DT5520000"/>
    <s v="REAR END BRACKET - 15127080 ( RIVER )"/>
    <s v="NOS"/>
    <n v="296.51"/>
    <s v="INR"/>
    <n v="296.51"/>
    <n v="296.51"/>
    <n v="10480"/>
    <n v="31.074247999999997"/>
  </r>
  <r>
    <x v="16"/>
    <x v="16"/>
    <s v="C00500D0005070000"/>
    <s v="HT/SNK-RADO RECV AMPL (VPSYSF-18B890-AB)"/>
    <s v="NOS"/>
    <n v="153.72"/>
    <s v="INR"/>
    <n v="153.72"/>
    <n v="153.72"/>
    <n v="16000"/>
    <n v="24.595199999999998"/>
  </r>
  <r>
    <x v="17"/>
    <x v="17"/>
    <s v="C00402D039600000"/>
    <s v="CAP SPOOL(63440-A3) REV A00"/>
    <s v="NOS"/>
    <n v="153"/>
    <s v="INR"/>
    <n v="153"/>
    <n v="153"/>
    <n v="1656"/>
    <n v="2.5336799999999999"/>
  </r>
  <r>
    <x v="17"/>
    <x v="17"/>
    <s v="C00506D05200000"/>
    <s v="CAPSPOOL(64395-A2  REV-A00)"/>
    <s v="NOS"/>
    <n v="210"/>
    <s v="INR"/>
    <n v="210"/>
    <n v="210"/>
    <n v="2386"/>
    <n v="5.0106000000000002"/>
  </r>
  <r>
    <x v="17"/>
    <x v="17"/>
    <s v="C00506D05210000"/>
    <s v="CAPSPOOL(64395-A1 REV-A00)"/>
    <s v="NOS"/>
    <n v="210"/>
    <s v="INR"/>
    <n v="210"/>
    <n v="210"/>
    <n v="432"/>
    <n v="0.90720000000000001"/>
  </r>
  <r>
    <x v="18"/>
    <x v="18"/>
    <s v="C00448D05180000"/>
    <s v="CENTERING DEVICE (171-025.803)"/>
    <s v="NOS"/>
    <n v="2.2000000000000002"/>
    <s v="EUR"/>
    <n v="110"/>
    <n v="242.00000000000003"/>
    <n v="300"/>
    <n v="0.7260000000000002"/>
  </r>
  <r>
    <x v="19"/>
    <x v="19"/>
    <s v="C00448D5110000000"/>
    <s v="YARN GUIDE TUBE  (171-027.295) REV-B"/>
    <s v="NOS"/>
    <n v="0.9"/>
    <s v="EUR"/>
    <n v="110"/>
    <n v="99"/>
    <n v="2500"/>
    <n v="2.4750000000000001"/>
  </r>
  <r>
    <x v="20"/>
    <x v="20"/>
    <s v="S31D03540000"/>
    <s v="ARTICULATION PIECE (4 – 600.85.0070 ) C"/>
    <s v="NOS"/>
    <n v="128.61000000000001"/>
    <s v="INR"/>
    <n v="128.61000000000001"/>
    <n v="128.61000000000001"/>
    <n v="718"/>
    <n v="0.92341980000000012"/>
  </r>
  <r>
    <x v="20"/>
    <x v="20"/>
    <s v="S31D03550000"/>
    <s v="INSERT 0 (4 – 234.30.0431) C"/>
    <s v="NOS"/>
    <n v="15.99"/>
    <s v="INR"/>
    <n v="15.99"/>
    <n v="15.99"/>
    <n v="4380"/>
    <n v="0.70036199999999993"/>
  </r>
  <r>
    <x v="20"/>
    <x v="20"/>
    <s v="S31D03560000"/>
    <s v="BEARING SLIDE / MUW (4 – 263.33.0690) D"/>
    <s v="NOS"/>
    <n v="78.62"/>
    <s v="INR"/>
    <n v="78.62"/>
    <n v="78.62"/>
    <n v="828"/>
    <n v="0.65097360000000004"/>
  </r>
  <r>
    <x v="20"/>
    <x v="20"/>
    <s v="S31D03570000"/>
    <s v="BEARING SLIDE / AUW (4 – 263.33.0780) F"/>
    <s v="NOS"/>
    <n v="73.8"/>
    <s v="INR"/>
    <n v="73.8"/>
    <n v="73.8"/>
    <n v="4357"/>
    <n v="3.2154659999999997"/>
  </r>
  <r>
    <x v="20"/>
    <x v="20"/>
    <s v="S31D03580000"/>
    <s v="BEARING SLIDE / EUW (4 – 263.33.0810) B"/>
    <s v="NOS"/>
    <n v="77.099999999999994"/>
    <s v="INR"/>
    <n v="77.099999999999994"/>
    <n v="77.099999999999994"/>
    <n v="2310"/>
    <n v="1.78101"/>
  </r>
  <r>
    <x v="21"/>
    <x v="21"/>
    <s v="C00371D47900000"/>
    <s v="X4 METAL CARRIER (VPPTLF 17C288 AC)"/>
    <s v="NOS"/>
    <n v="383.6"/>
    <s v="INR"/>
    <n v="383.6"/>
    <n v="383.6"/>
    <n v="6000"/>
    <n v="23.015999999999998"/>
  </r>
  <r>
    <x v="22"/>
    <x v="22"/>
    <s v="W02D03130000"/>
    <s v="RAW CASTING, COUPLING FOR DOME COVER, LOW (WM018102 / REV 06)"/>
    <s v="NOS"/>
    <n v="0.66"/>
    <s v="USD"/>
    <n v="95"/>
    <n v="62.7"/>
    <n v="12000"/>
    <n v="7.524"/>
  </r>
  <r>
    <x v="22"/>
    <x v="22"/>
    <s v="W06D03390000"/>
    <s v="COVER, DOME DUO WITH COVER (WM066093-0007)"/>
    <s v="NOS"/>
    <n v="9.83"/>
    <s v="USD"/>
    <n v="95"/>
    <n v="933.85"/>
    <n v="200"/>
    <n v="1.8676999999999999"/>
  </r>
  <r>
    <x v="23"/>
    <x v="23"/>
    <s v="W06D03390000"/>
    <s v="COVER, DOME DUO WITH COVER (WM066093-0007)"/>
    <s v="NOS"/>
    <n v="8.9"/>
    <s v="USD"/>
    <n v="95"/>
    <n v="845.5"/>
    <n v="200"/>
    <n v="1.6910000000000001"/>
  </r>
  <r>
    <x v="24"/>
    <x v="2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8E0F-1DB1-4371-89B1-F5CD1472E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>
      <items count="26">
        <item x="0"/>
        <item x="1"/>
        <item x="3"/>
        <item x="4"/>
        <item x="5"/>
        <item x="7"/>
        <item x="6"/>
        <item x="8"/>
        <item x="10"/>
        <item x="9"/>
        <item x="11"/>
        <item x="13"/>
        <item x="14"/>
        <item x="15"/>
        <item x="20"/>
        <item x="21"/>
        <item x="22"/>
        <item x="23"/>
        <item x="17"/>
        <item x="12"/>
        <item x="19"/>
        <item x="2"/>
        <item x="16"/>
        <item x="18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 Plan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9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8.6999999999999993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17.559999999999999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311.60000000000002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71.900000000000006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78.260000000000005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79.260000000000005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306.39999999999998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4.4800000000000004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19.809999999999999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4.0999999999999996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9.9600000000000009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4.8499999999999996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2.4900000000000002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16.920000000000002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9.1300000000000008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2.2200000000000002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4.5599999999999996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8.6300000000000008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646.70000000000005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646.70000000000005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4.5599999999999996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0.46700000000000003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0.30599999999999999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0.19500000000000001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8.6999999999999994E-2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0.93840000000000001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20.059999999999999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20.059999999999999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1.1499999999999999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1.1000000000000001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33.619999999999997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0.13500000000000001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7.5999999999999998E-2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0.16300000000000001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0.17299999999999999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8.8000000000000007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0.19500000000000001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9.3000000000000007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40.659999999999997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38.369999999999997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0.57999999999999996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4.0599999999999996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36.950000000000003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7.0000000000000007E-2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0.28000000000000003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1.1000000000000001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0.31459999999999999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1.0900000000000001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64.599999999999994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1.1399999999999999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1.0900000000000001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580.20000000000005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78.739999999999995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518.83000000000004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39.159999999999997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40.840000000000003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75.510000000000005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80.040000000000006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77.569999999999993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2.2400000000000002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2.2400000000000002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1.1599999999999999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40.700000000000003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38.909999999999997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16.899999999999999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40.700000000000003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38.909999999999997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16.899999999999999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16.899999999999999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77.790000000000006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1.1000000000000001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0.81200000000000006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68.680000000000007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146.44999999999999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2.0680000000000001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1.1299999999999999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1.1399999999999999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1.1299999999999999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1.1499999999999999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1.1299999999999999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7.0000000000000007E-2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7.0000000000000007E-2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7.0000000000000007E-2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150.41999999999999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141.16999999999999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72.180000000000007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17.190000000000001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146.16999999999999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80.650000000000006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74.569999999999993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4.8499999999999996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19.309999999999999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4.1100000000000003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4.1100000000000003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35.799999999999997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19.309999999999999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35.979999999999997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4.1100000000000003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4.1100000000000003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17.690000000000001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76.319999999999993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40.299999999999997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33.869999999999997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79.709999999999994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145.72999999999999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32.409999999999997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37.340000000000003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75.040000000000006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0.20019999999999999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150.41999999999999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2.1215999999999999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166.91560000000001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2.2000000000000002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2.0099999999999998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60.494999999999997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2916.2950000000001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2928.2849999999999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2944.6350000000002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5167.1450000000004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5220.5550000000003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737.38499999999999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60.494999999999997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294.39999999999998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128.61000000000001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77.099999999999994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326.29000000000002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34.869999999999997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77.040000000000006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0.36499999999999999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1.1160000000000001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0.46700000000000003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0.46700000000000003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0.30599999999999999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0.19500000000000001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0.19500000000000001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1.9790000000000001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34.479999999999997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18.649999999999999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2.0099999999999998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4.9000000000000004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4.9000000000000004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4.9000000000000004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4.9000000000000004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4.7300000000000004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4.7300000000000004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4.7300000000000004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4.7300000000000004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0.55000000000000004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0.57999999999999996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10.050000000000001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2.4900000000000002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7.4999999999999997E-2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16.899999999999999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4.8600000000000003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16.899999999999999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4.6100000000000003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2.4900000000000002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16.899999999999999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2300.1999999999998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21434.400000000001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141.72999999999999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137.27000000000001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17.190000000000001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4.8499999999999996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138.30000000000001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9.9700000000000006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89.507499999999993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305.02999999999997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37.049999999999997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37.049999999999997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515.69000000000005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516.08000000000004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154.52000000000001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151.41999999999999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8.9499999999999993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129.83000000000001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8.9499999999999993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17.100000000000001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20.260000000000002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40.840000000000003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38.700000000000003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34.659999999999997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139.16999999999999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34.659999999999997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74.510000000000005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256.29000000000002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256.29000000000002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80.400000000000006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78.260000000000005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76.349999999999994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319.41000000000003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160.08000000000001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139.16999999999999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256.29000000000002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305.02999999999997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2.7387999999999999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146.16999999999999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4966.3999999999996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146.66999999999999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9.1999999999999993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613309.19999999995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4.5999999999999996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8.1999999999999993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35.979999999999997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146.66999999999999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570.16999999999996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148.55000000000001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81.400000000000006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75.510000000000005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72.180000000000007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20.260000000000002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72.180000000000007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35.380000000000003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75.510000000000005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17.100000000000001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72.180000000000007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34.659999999999997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72.180000000000007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74.510000000000005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74.510000000000005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4.8499999999999996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69.790000000000006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137.27000000000001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19.149999999999999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77.099999999999994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9.4499999999999993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77.790000000000006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66.959999999999994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77.790000000000006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16.399999999999999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16.989999999999998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4.5999999999999996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128.02000000000001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0.57999999999999996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1.1000000000000001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1.1000000000000001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278.95999999999998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4.9000000000000004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0.57999999999999996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1288.1600000000001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4.9000000000000004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4.9000000000000004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278.95999999999998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2.5499999999999998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279.70999999999998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68.849999999999994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68.680000000000007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146.94999999999999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16.600000000000001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581.70000000000005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581.70000000000005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8.1999999999999993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4.5599999999999996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3.0609000000000002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2.2599999999999998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325.47000000000003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8.2200000000000006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4.3499999999999996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4.0599999999999996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2.0099999999999998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5.0599999999999996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2.5099999999999998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4.5999999999999996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148.55000000000001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16.600000000000001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78.099999999999994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5.1100000000000003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2.2000000000000002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5.1100000000000003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472-5BFF-45B1-8275-ED64135DAC37}">
  <dimension ref="A1:U783"/>
  <sheetViews>
    <sheetView tabSelected="1" topLeftCell="L1" workbookViewId="0">
      <selection activeCell="X1" sqref="X1"/>
    </sheetView>
  </sheetViews>
  <sheetFormatPr defaultRowHeight="15" x14ac:dyDescent="0.25"/>
  <cols>
    <col min="1" max="1" width="15.5703125" style="2" customWidth="1"/>
    <col min="2" max="2" width="10.7109375" style="2" customWidth="1"/>
    <col min="3" max="3" width="5.28515625" style="2" customWidth="1"/>
    <col min="4" max="4" width="17.85546875" style="2" customWidth="1"/>
    <col min="5" max="5" width="9.5703125" style="2" customWidth="1"/>
    <col min="6" max="6" width="22.140625" style="2" customWidth="1"/>
    <col min="7" max="7" width="11.140625" style="2" customWidth="1"/>
    <col min="8" max="8" width="48.7109375" style="2" customWidth="1"/>
    <col min="9" max="9" width="15.42578125" style="2" customWidth="1"/>
    <col min="10" max="10" width="4.85546875" style="2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9.42578125" style="2" customWidth="1"/>
    <col min="16" max="16" width="9.140625" style="2" customWidth="1"/>
    <col min="17" max="17" width="20.7109375" style="2" customWidth="1"/>
    <col min="18" max="18" width="10.5703125" style="2" customWidth="1"/>
    <col min="19" max="19" width="12" style="2" customWidth="1"/>
    <col min="20" max="20" width="12.28515625" style="2" customWidth="1"/>
    <col min="21" max="21" width="11.7109375" style="2" customWidth="1"/>
    <col min="22" max="16384" width="9.140625" style="2"/>
  </cols>
  <sheetData>
    <row r="1" spans="1:21" s="3" customFormat="1" ht="41.2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7710</v>
      </c>
      <c r="P1" s="4" t="s">
        <v>7711</v>
      </c>
      <c r="Q1" s="4" t="s">
        <v>16</v>
      </c>
      <c r="R1" s="4" t="s">
        <v>17</v>
      </c>
      <c r="S1" s="4" t="s">
        <v>18</v>
      </c>
      <c r="T1" s="5" t="s">
        <v>7708</v>
      </c>
      <c r="U1" s="5" t="s">
        <v>7709</v>
      </c>
    </row>
    <row r="2" spans="1:21" x14ac:dyDescent="0.25">
      <c r="A2" s="2" t="s">
        <v>19</v>
      </c>
      <c r="B2" s="6">
        <v>43959</v>
      </c>
      <c r="C2" s="7" t="s">
        <v>20</v>
      </c>
      <c r="D2" s="7" t="s">
        <v>21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>
        <v>0</v>
      </c>
      <c r="K2" s="7" t="s">
        <v>25</v>
      </c>
      <c r="L2" s="7" t="s">
        <v>26</v>
      </c>
      <c r="M2" s="7">
        <v>60.25</v>
      </c>
      <c r="N2" s="7" t="s">
        <v>27</v>
      </c>
      <c r="O2" s="7">
        <f>M2</f>
        <v>60.25</v>
      </c>
      <c r="P2" s="7">
        <f>O2</f>
        <v>60.25</v>
      </c>
      <c r="Q2" s="7" t="s">
        <v>28</v>
      </c>
      <c r="R2" s="8">
        <v>45019</v>
      </c>
      <c r="S2" s="8">
        <v>401768</v>
      </c>
      <c r="T2" s="7"/>
      <c r="U2" s="9">
        <f>T2*P2/100000</f>
        <v>0</v>
      </c>
    </row>
    <row r="3" spans="1:21" x14ac:dyDescent="0.25">
      <c r="A3" s="2" t="s">
        <v>7340</v>
      </c>
      <c r="B3" s="6">
        <v>46049</v>
      </c>
      <c r="C3" s="7" t="s">
        <v>20</v>
      </c>
      <c r="D3" s="7" t="s">
        <v>21</v>
      </c>
      <c r="E3" s="7" t="s">
        <v>28</v>
      </c>
      <c r="F3" s="7" t="s">
        <v>28</v>
      </c>
      <c r="G3" s="7" t="s">
        <v>6396</v>
      </c>
      <c r="H3" s="7" t="s">
        <v>6397</v>
      </c>
      <c r="I3" s="7" t="s">
        <v>7601</v>
      </c>
      <c r="J3" s="7">
        <v>0</v>
      </c>
      <c r="K3" s="7" t="s">
        <v>7602</v>
      </c>
      <c r="L3" s="7" t="s">
        <v>49</v>
      </c>
      <c r="M3" s="7">
        <v>1030000</v>
      </c>
      <c r="N3" s="7" t="s">
        <v>27</v>
      </c>
      <c r="O3" s="7">
        <f t="shared" ref="O3:O43" si="0">M3</f>
        <v>1030000</v>
      </c>
      <c r="P3" s="7">
        <f t="shared" ref="P3:P43" si="1">O3</f>
        <v>1030000</v>
      </c>
      <c r="Q3" s="7" t="s">
        <v>28</v>
      </c>
      <c r="R3" s="8">
        <v>46049</v>
      </c>
      <c r="S3" s="8">
        <v>401768</v>
      </c>
      <c r="T3" s="7"/>
      <c r="U3" s="9">
        <f t="shared" ref="U3:U66" si="2">T3*P3/100000</f>
        <v>0</v>
      </c>
    </row>
    <row r="4" spans="1:21" x14ac:dyDescent="0.25">
      <c r="A4" s="2" t="s">
        <v>126</v>
      </c>
      <c r="B4" s="6">
        <v>43959</v>
      </c>
      <c r="C4" s="7" t="s">
        <v>20</v>
      </c>
      <c r="D4" s="7" t="s">
        <v>21</v>
      </c>
      <c r="E4" s="7" t="s">
        <v>20</v>
      </c>
      <c r="F4" s="7" t="s">
        <v>21</v>
      </c>
      <c r="G4" s="7" t="s">
        <v>127</v>
      </c>
      <c r="H4" s="7" t="s">
        <v>128</v>
      </c>
      <c r="I4" s="7" t="s">
        <v>129</v>
      </c>
      <c r="J4" s="7">
        <v>0</v>
      </c>
      <c r="K4" s="7" t="s">
        <v>130</v>
      </c>
      <c r="L4" s="7" t="s">
        <v>26</v>
      </c>
      <c r="M4" s="7">
        <v>311.95</v>
      </c>
      <c r="N4" s="7" t="s">
        <v>27</v>
      </c>
      <c r="O4" s="7">
        <f t="shared" si="0"/>
        <v>311.95</v>
      </c>
      <c r="P4" s="7">
        <f t="shared" si="1"/>
        <v>311.95</v>
      </c>
      <c r="Q4" s="7" t="s">
        <v>28</v>
      </c>
      <c r="R4" s="8">
        <v>46151</v>
      </c>
      <c r="S4" s="8">
        <v>401768</v>
      </c>
      <c r="T4" s="7">
        <v>500</v>
      </c>
      <c r="U4" s="9">
        <f t="shared" si="2"/>
        <v>1.55975</v>
      </c>
    </row>
    <row r="5" spans="1:21" x14ac:dyDescent="0.25">
      <c r="A5" s="2" t="s">
        <v>131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132</v>
      </c>
      <c r="J5" s="7">
        <v>0</v>
      </c>
      <c r="K5" s="7" t="s">
        <v>133</v>
      </c>
      <c r="L5" s="7" t="s">
        <v>26</v>
      </c>
      <c r="M5" s="7">
        <v>260.01</v>
      </c>
      <c r="N5" s="7" t="s">
        <v>27</v>
      </c>
      <c r="O5" s="7">
        <f t="shared" si="0"/>
        <v>260.01</v>
      </c>
      <c r="P5" s="7">
        <f t="shared" si="1"/>
        <v>260.01</v>
      </c>
      <c r="Q5" s="7" t="s">
        <v>28</v>
      </c>
      <c r="R5" s="8">
        <v>46065</v>
      </c>
      <c r="S5" s="8">
        <v>401768</v>
      </c>
      <c r="T5" s="7"/>
      <c r="U5" s="9">
        <f t="shared" si="2"/>
        <v>0</v>
      </c>
    </row>
    <row r="6" spans="1:21" x14ac:dyDescent="0.25">
      <c r="A6" s="2" t="s">
        <v>134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135</v>
      </c>
      <c r="J6" s="7">
        <v>0</v>
      </c>
      <c r="K6" s="7" t="s">
        <v>136</v>
      </c>
      <c r="L6" s="7" t="s">
        <v>26</v>
      </c>
      <c r="M6" s="7">
        <v>229.11</v>
      </c>
      <c r="N6" s="7" t="s">
        <v>27</v>
      </c>
      <c r="O6" s="7">
        <f t="shared" si="0"/>
        <v>229.11</v>
      </c>
      <c r="P6" s="7">
        <f t="shared" si="1"/>
        <v>229.11</v>
      </c>
      <c r="Q6" s="7" t="s">
        <v>28</v>
      </c>
      <c r="R6" s="8">
        <v>45461</v>
      </c>
      <c r="S6" s="8">
        <v>45461</v>
      </c>
      <c r="T6" s="7">
        <v>2160</v>
      </c>
      <c r="U6" s="9">
        <f t="shared" si="2"/>
        <v>4.9487760000000005</v>
      </c>
    </row>
    <row r="7" spans="1:21" x14ac:dyDescent="0.25">
      <c r="A7" s="2" t="s">
        <v>137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138</v>
      </c>
      <c r="J7" s="7">
        <v>0</v>
      </c>
      <c r="K7" s="7" t="s">
        <v>139</v>
      </c>
      <c r="L7" s="7" t="s">
        <v>26</v>
      </c>
      <c r="M7" s="7">
        <v>311.60000000000002</v>
      </c>
      <c r="N7" s="7" t="s">
        <v>27</v>
      </c>
      <c r="O7" s="7">
        <f t="shared" si="0"/>
        <v>311.60000000000002</v>
      </c>
      <c r="P7" s="7">
        <f t="shared" si="1"/>
        <v>311.60000000000002</v>
      </c>
      <c r="Q7" s="7" t="s">
        <v>28</v>
      </c>
      <c r="R7" s="8">
        <v>46151</v>
      </c>
      <c r="S7" s="8">
        <v>401768</v>
      </c>
      <c r="T7" s="7"/>
      <c r="U7" s="9">
        <f t="shared" si="2"/>
        <v>0</v>
      </c>
    </row>
    <row r="8" spans="1:21" x14ac:dyDescent="0.25">
      <c r="A8" s="2" t="s">
        <v>140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141</v>
      </c>
      <c r="J8" s="7">
        <v>0</v>
      </c>
      <c r="K8" s="7" t="s">
        <v>142</v>
      </c>
      <c r="L8" s="7" t="s">
        <v>26</v>
      </c>
      <c r="M8" s="7">
        <v>195.18</v>
      </c>
      <c r="N8" s="7" t="s">
        <v>27</v>
      </c>
      <c r="O8" s="7">
        <f t="shared" si="0"/>
        <v>195.18</v>
      </c>
      <c r="P8" s="7">
        <f t="shared" si="1"/>
        <v>195.18</v>
      </c>
      <c r="Q8" s="7" t="s">
        <v>28</v>
      </c>
      <c r="R8" s="8">
        <v>45175</v>
      </c>
      <c r="S8" s="8">
        <v>45199</v>
      </c>
      <c r="T8" s="7"/>
      <c r="U8" s="9">
        <f t="shared" si="2"/>
        <v>0</v>
      </c>
    </row>
    <row r="9" spans="1:21" x14ac:dyDescent="0.25">
      <c r="A9" s="2" t="s">
        <v>143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144</v>
      </c>
      <c r="J9" s="7">
        <v>0</v>
      </c>
      <c r="K9" s="7" t="s">
        <v>145</v>
      </c>
      <c r="L9" s="7" t="s">
        <v>26</v>
      </c>
      <c r="M9" s="7">
        <v>315.98</v>
      </c>
      <c r="N9" s="7" t="s">
        <v>27</v>
      </c>
      <c r="O9" s="7">
        <f t="shared" si="0"/>
        <v>315.98</v>
      </c>
      <c r="P9" s="7">
        <f t="shared" si="1"/>
        <v>315.98</v>
      </c>
      <c r="Q9" s="7" t="s">
        <v>28</v>
      </c>
      <c r="R9" s="8">
        <v>46151</v>
      </c>
      <c r="S9" s="8">
        <v>401768</v>
      </c>
      <c r="T9" s="7">
        <v>800</v>
      </c>
      <c r="U9" s="9">
        <f t="shared" si="2"/>
        <v>2.5278399999999999</v>
      </c>
    </row>
    <row r="10" spans="1:21" x14ac:dyDescent="0.25">
      <c r="A10" s="2" t="s">
        <v>146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147</v>
      </c>
      <c r="J10" s="7">
        <v>0</v>
      </c>
      <c r="K10" s="7" t="s">
        <v>148</v>
      </c>
      <c r="L10" s="7" t="s">
        <v>26</v>
      </c>
      <c r="M10" s="7">
        <v>364.82</v>
      </c>
      <c r="N10" s="7" t="s">
        <v>27</v>
      </c>
      <c r="O10" s="7">
        <f t="shared" si="0"/>
        <v>364.82</v>
      </c>
      <c r="P10" s="7">
        <f t="shared" si="1"/>
        <v>364.82</v>
      </c>
      <c r="Q10" s="7" t="s">
        <v>28</v>
      </c>
      <c r="R10" s="8">
        <v>46151</v>
      </c>
      <c r="S10" s="8">
        <v>401768</v>
      </c>
      <c r="T10" s="7"/>
      <c r="U10" s="9">
        <f t="shared" si="2"/>
        <v>0</v>
      </c>
    </row>
    <row r="11" spans="1:21" x14ac:dyDescent="0.25">
      <c r="A11" s="2" t="s">
        <v>4516</v>
      </c>
      <c r="B11" s="6">
        <v>43993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5647</v>
      </c>
      <c r="J11" s="7">
        <v>0</v>
      </c>
      <c r="K11" s="7" t="s">
        <v>5648</v>
      </c>
      <c r="L11" s="7" t="s">
        <v>26</v>
      </c>
      <c r="M11" s="7">
        <v>315.98</v>
      </c>
      <c r="N11" s="7" t="s">
        <v>27</v>
      </c>
      <c r="O11" s="7">
        <f t="shared" si="0"/>
        <v>315.98</v>
      </c>
      <c r="P11" s="7">
        <f t="shared" si="1"/>
        <v>315.98</v>
      </c>
      <c r="Q11" s="7" t="s">
        <v>28</v>
      </c>
      <c r="R11" s="8">
        <v>46151</v>
      </c>
      <c r="S11" s="8">
        <v>401768</v>
      </c>
      <c r="T11" s="7">
        <v>400</v>
      </c>
      <c r="U11" s="9">
        <f t="shared" si="2"/>
        <v>1.2639199999999999</v>
      </c>
    </row>
    <row r="12" spans="1:21" x14ac:dyDescent="0.25">
      <c r="A12" s="2" t="s">
        <v>3090</v>
      </c>
      <c r="B12" s="6">
        <v>44076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5755</v>
      </c>
      <c r="J12" s="7">
        <v>0</v>
      </c>
      <c r="K12" s="7" t="s">
        <v>5756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/>
      <c r="U12" s="9">
        <f t="shared" si="2"/>
        <v>0</v>
      </c>
    </row>
    <row r="13" spans="1:21" x14ac:dyDescent="0.25">
      <c r="A13" s="2" t="s">
        <v>2943</v>
      </c>
      <c r="B13" s="6">
        <v>44446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6102</v>
      </c>
      <c r="J13" s="7">
        <v>0</v>
      </c>
      <c r="K13" s="7" t="s">
        <v>6103</v>
      </c>
      <c r="L13" s="7" t="s">
        <v>26</v>
      </c>
      <c r="M13" s="7">
        <v>45133.74</v>
      </c>
      <c r="N13" s="7" t="s">
        <v>27</v>
      </c>
      <c r="O13" s="7">
        <f t="shared" si="0"/>
        <v>45133.74</v>
      </c>
      <c r="P13" s="7">
        <f t="shared" si="1"/>
        <v>45133.74</v>
      </c>
      <c r="Q13" s="7" t="s">
        <v>28</v>
      </c>
      <c r="R13" s="8">
        <v>45108</v>
      </c>
      <c r="S13" s="8">
        <v>45169</v>
      </c>
      <c r="T13" s="7"/>
      <c r="U13" s="9">
        <f t="shared" si="2"/>
        <v>0</v>
      </c>
    </row>
    <row r="14" spans="1:21" x14ac:dyDescent="0.25">
      <c r="A14" s="2" t="s">
        <v>6323</v>
      </c>
      <c r="B14" s="6">
        <v>44690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6324</v>
      </c>
      <c r="J14" s="7">
        <v>0</v>
      </c>
      <c r="K14" s="7" t="s">
        <v>6325</v>
      </c>
      <c r="L14" s="7" t="s">
        <v>26</v>
      </c>
      <c r="M14" s="7">
        <v>193.99</v>
      </c>
      <c r="N14" s="7" t="s">
        <v>27</v>
      </c>
      <c r="O14" s="7">
        <f t="shared" si="0"/>
        <v>193.99</v>
      </c>
      <c r="P14" s="7">
        <f t="shared" si="1"/>
        <v>193.99</v>
      </c>
      <c r="Q14" s="7" t="s">
        <v>28</v>
      </c>
      <c r="R14" s="8">
        <v>46151</v>
      </c>
      <c r="S14" s="8">
        <v>401768</v>
      </c>
      <c r="T14" s="7">
        <v>8580</v>
      </c>
      <c r="U14" s="9">
        <f t="shared" si="2"/>
        <v>16.644342000000002</v>
      </c>
    </row>
    <row r="15" spans="1:21" x14ac:dyDescent="0.25">
      <c r="A15" s="2" t="s">
        <v>6326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6327</v>
      </c>
      <c r="J15" s="7">
        <v>0</v>
      </c>
      <c r="K15" s="7" t="s">
        <v>6328</v>
      </c>
      <c r="L15" s="7" t="s">
        <v>26</v>
      </c>
      <c r="M15" s="7">
        <v>449.89</v>
      </c>
      <c r="N15" s="7" t="s">
        <v>27</v>
      </c>
      <c r="O15" s="7">
        <f t="shared" si="0"/>
        <v>449.89</v>
      </c>
      <c r="P15" s="7">
        <f t="shared" si="1"/>
        <v>449.89</v>
      </c>
      <c r="Q15" s="7" t="s">
        <v>28</v>
      </c>
      <c r="R15" s="8">
        <v>46151</v>
      </c>
      <c r="S15" s="8">
        <v>401768</v>
      </c>
      <c r="T15" s="7">
        <v>9440</v>
      </c>
      <c r="U15" s="9">
        <f t="shared" si="2"/>
        <v>42.469615999999995</v>
      </c>
    </row>
    <row r="16" spans="1:21" x14ac:dyDescent="0.25">
      <c r="A16" s="2" t="s">
        <v>4623</v>
      </c>
      <c r="B16" s="6">
        <v>44699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6331</v>
      </c>
      <c r="J16" s="7">
        <v>0</v>
      </c>
      <c r="K16" s="7" t="s">
        <v>6332</v>
      </c>
      <c r="L16" s="7" t="s">
        <v>26</v>
      </c>
      <c r="M16" s="7">
        <v>321.02</v>
      </c>
      <c r="N16" s="7" t="s">
        <v>27</v>
      </c>
      <c r="O16" s="7">
        <f t="shared" si="0"/>
        <v>321.02</v>
      </c>
      <c r="P16" s="7">
        <f t="shared" si="1"/>
        <v>321.02</v>
      </c>
      <c r="Q16" s="7" t="s">
        <v>28</v>
      </c>
      <c r="R16" s="8">
        <v>46151</v>
      </c>
      <c r="S16" s="8">
        <v>401768</v>
      </c>
      <c r="T16" s="7"/>
      <c r="U16" s="9">
        <f t="shared" si="2"/>
        <v>0</v>
      </c>
    </row>
    <row r="17" spans="1:21" x14ac:dyDescent="0.25">
      <c r="A17" s="2" t="s">
        <v>5295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6333</v>
      </c>
      <c r="J17" s="7">
        <v>0</v>
      </c>
      <c r="K17" s="7" t="s">
        <v>6334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9">
        <f t="shared" si="2"/>
        <v>0</v>
      </c>
    </row>
    <row r="18" spans="1:21" x14ac:dyDescent="0.25">
      <c r="A18" s="2" t="s">
        <v>4620</v>
      </c>
      <c r="B18" s="6">
        <v>44700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6335</v>
      </c>
      <c r="J18" s="7">
        <v>0</v>
      </c>
      <c r="K18" s="7" t="s">
        <v>6336</v>
      </c>
      <c r="L18" s="7" t="s">
        <v>26</v>
      </c>
      <c r="M18" s="7">
        <v>307.93</v>
      </c>
      <c r="N18" s="7" t="s">
        <v>27</v>
      </c>
      <c r="O18" s="7">
        <f t="shared" si="0"/>
        <v>307.93</v>
      </c>
      <c r="P18" s="7">
        <f t="shared" si="1"/>
        <v>307.93</v>
      </c>
      <c r="Q18" s="7" t="s">
        <v>28</v>
      </c>
      <c r="R18" s="8">
        <v>46151</v>
      </c>
      <c r="S18" s="8">
        <v>401768</v>
      </c>
      <c r="T18" s="7"/>
      <c r="U18" s="9">
        <f t="shared" si="2"/>
        <v>0</v>
      </c>
    </row>
    <row r="19" spans="1:21" x14ac:dyDescent="0.25">
      <c r="A19" s="2" t="s">
        <v>6337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6338</v>
      </c>
      <c r="J19" s="7">
        <v>0</v>
      </c>
      <c r="K19" s="7" t="s">
        <v>6339</v>
      </c>
      <c r="L19" s="7" t="s">
        <v>26</v>
      </c>
      <c r="M19" s="7">
        <v>312.13</v>
      </c>
      <c r="N19" s="7" t="s">
        <v>27</v>
      </c>
      <c r="O19" s="7">
        <f t="shared" si="0"/>
        <v>312.13</v>
      </c>
      <c r="P19" s="7">
        <f t="shared" si="1"/>
        <v>312.13</v>
      </c>
      <c r="Q19" s="7" t="s">
        <v>28</v>
      </c>
      <c r="R19" s="8">
        <v>46151</v>
      </c>
      <c r="S19" s="8">
        <v>401768</v>
      </c>
      <c r="T19" s="7"/>
      <c r="U19" s="9">
        <f t="shared" si="2"/>
        <v>0</v>
      </c>
    </row>
    <row r="20" spans="1:21" x14ac:dyDescent="0.25">
      <c r="A20" s="2" t="s">
        <v>6340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6341</v>
      </c>
      <c r="J20" s="7">
        <v>0</v>
      </c>
      <c r="K20" s="7" t="s">
        <v>6342</v>
      </c>
      <c r="L20" s="7" t="s">
        <v>26</v>
      </c>
      <c r="M20" s="7">
        <v>373.89</v>
      </c>
      <c r="N20" s="7" t="s">
        <v>27</v>
      </c>
      <c r="O20" s="7">
        <f t="shared" si="0"/>
        <v>373.89</v>
      </c>
      <c r="P20" s="7">
        <f t="shared" si="1"/>
        <v>373.89</v>
      </c>
      <c r="Q20" s="7" t="s">
        <v>28</v>
      </c>
      <c r="R20" s="8">
        <v>46151</v>
      </c>
      <c r="S20" s="8">
        <v>401768</v>
      </c>
      <c r="T20" s="7">
        <v>150</v>
      </c>
      <c r="U20" s="9">
        <f t="shared" si="2"/>
        <v>0.56083499999999997</v>
      </c>
    </row>
    <row r="21" spans="1:21" x14ac:dyDescent="0.25">
      <c r="A21" s="2" t="s">
        <v>6350</v>
      </c>
      <c r="B21" s="6">
        <v>44708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6351</v>
      </c>
      <c r="J21" s="7">
        <v>0</v>
      </c>
      <c r="K21" s="7" t="s">
        <v>6352</v>
      </c>
      <c r="L21" s="7" t="s">
        <v>26</v>
      </c>
      <c r="M21" s="7">
        <v>249.92</v>
      </c>
      <c r="N21" s="7" t="s">
        <v>27</v>
      </c>
      <c r="O21" s="7">
        <f t="shared" si="0"/>
        <v>249.92</v>
      </c>
      <c r="P21" s="7">
        <f t="shared" si="1"/>
        <v>249.92</v>
      </c>
      <c r="Q21" s="7" t="s">
        <v>28</v>
      </c>
      <c r="R21" s="8">
        <v>45173</v>
      </c>
      <c r="S21" s="8">
        <v>45199</v>
      </c>
      <c r="T21" s="7"/>
      <c r="U21" s="9">
        <f t="shared" si="2"/>
        <v>0</v>
      </c>
    </row>
    <row r="22" spans="1:21" x14ac:dyDescent="0.25">
      <c r="A22" s="2" t="s">
        <v>6353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6354</v>
      </c>
      <c r="J22" s="7">
        <v>0</v>
      </c>
      <c r="K22" s="7" t="s">
        <v>6355</v>
      </c>
      <c r="L22" s="7" t="s">
        <v>26</v>
      </c>
      <c r="M22" s="7">
        <v>321.43</v>
      </c>
      <c r="N22" s="7" t="s">
        <v>27</v>
      </c>
      <c r="O22" s="7">
        <f t="shared" si="0"/>
        <v>321.43</v>
      </c>
      <c r="P22" s="7">
        <f t="shared" si="1"/>
        <v>321.43</v>
      </c>
      <c r="Q22" s="7" t="s">
        <v>28</v>
      </c>
      <c r="R22" s="8">
        <v>46151</v>
      </c>
      <c r="S22" s="8">
        <v>401768</v>
      </c>
      <c r="T22" s="7">
        <v>500</v>
      </c>
      <c r="U22" s="9">
        <f t="shared" si="2"/>
        <v>1.6071500000000001</v>
      </c>
    </row>
    <row r="23" spans="1:21" x14ac:dyDescent="0.25">
      <c r="A23" s="2" t="s">
        <v>6356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6357</v>
      </c>
      <c r="J23" s="7">
        <v>0</v>
      </c>
      <c r="K23" s="7" t="s">
        <v>6358</v>
      </c>
      <c r="L23" s="7" t="s">
        <v>26</v>
      </c>
      <c r="M23" s="7">
        <v>339.56</v>
      </c>
      <c r="N23" s="7" t="s">
        <v>27</v>
      </c>
      <c r="O23" s="7">
        <f t="shared" si="0"/>
        <v>339.56</v>
      </c>
      <c r="P23" s="7">
        <f t="shared" si="1"/>
        <v>339.56</v>
      </c>
      <c r="Q23" s="7" t="s">
        <v>28</v>
      </c>
      <c r="R23" s="8">
        <v>46151</v>
      </c>
      <c r="S23" s="8">
        <v>401768</v>
      </c>
      <c r="T23" s="7"/>
      <c r="U23" s="9">
        <f t="shared" si="2"/>
        <v>0</v>
      </c>
    </row>
    <row r="24" spans="1:21" x14ac:dyDescent="0.25">
      <c r="A24" s="2" t="s">
        <v>6367</v>
      </c>
      <c r="B24" s="6">
        <v>44723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6368</v>
      </c>
      <c r="J24" s="7">
        <v>0</v>
      </c>
      <c r="K24" s="7" t="s">
        <v>6369</v>
      </c>
      <c r="L24" s="7" t="s">
        <v>26</v>
      </c>
      <c r="M24" s="7">
        <v>321.02</v>
      </c>
      <c r="N24" s="7" t="s">
        <v>27</v>
      </c>
      <c r="O24" s="7">
        <f t="shared" si="0"/>
        <v>321.02</v>
      </c>
      <c r="P24" s="7">
        <f t="shared" si="1"/>
        <v>321.02</v>
      </c>
      <c r="Q24" s="7" t="s">
        <v>28</v>
      </c>
      <c r="R24" s="8">
        <v>46151</v>
      </c>
      <c r="S24" s="8">
        <v>401768</v>
      </c>
      <c r="T24" s="7"/>
      <c r="U24" s="9">
        <f t="shared" si="2"/>
        <v>0</v>
      </c>
    </row>
    <row r="25" spans="1:21" x14ac:dyDescent="0.25">
      <c r="A25" s="2" t="s">
        <v>229</v>
      </c>
      <c r="B25" s="6">
        <v>45041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6609</v>
      </c>
      <c r="J25" s="7">
        <v>0</v>
      </c>
      <c r="K25" s="7" t="s">
        <v>6610</v>
      </c>
      <c r="L25" s="7" t="s">
        <v>26</v>
      </c>
      <c r="M25" s="7">
        <v>1616.44</v>
      </c>
      <c r="N25" s="7" t="s">
        <v>27</v>
      </c>
      <c r="O25" s="7">
        <f t="shared" si="0"/>
        <v>1616.44</v>
      </c>
      <c r="P25" s="7">
        <f t="shared" si="1"/>
        <v>1616.44</v>
      </c>
      <c r="Q25" s="7" t="s">
        <v>28</v>
      </c>
      <c r="R25" s="8">
        <v>46151</v>
      </c>
      <c r="S25" s="8">
        <v>401768</v>
      </c>
      <c r="T25" s="7">
        <v>300</v>
      </c>
      <c r="U25" s="9">
        <f t="shared" si="2"/>
        <v>4.8493199999999996</v>
      </c>
    </row>
    <row r="26" spans="1:21" x14ac:dyDescent="0.25">
      <c r="A26" s="2" t="s">
        <v>3822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6611</v>
      </c>
      <c r="J26" s="7">
        <v>0</v>
      </c>
      <c r="K26" s="7" t="s">
        <v>6612</v>
      </c>
      <c r="L26" s="7" t="s">
        <v>26</v>
      </c>
      <c r="M26" s="7">
        <v>760</v>
      </c>
      <c r="N26" s="7" t="s">
        <v>27</v>
      </c>
      <c r="O26" s="7">
        <f t="shared" si="0"/>
        <v>760</v>
      </c>
      <c r="P26" s="7">
        <f t="shared" si="1"/>
        <v>760</v>
      </c>
      <c r="Q26" s="7" t="s">
        <v>28</v>
      </c>
      <c r="R26" s="8">
        <v>45173</v>
      </c>
      <c r="S26" s="8">
        <v>45199</v>
      </c>
      <c r="T26" s="7"/>
      <c r="U26" s="9">
        <f t="shared" si="2"/>
        <v>0</v>
      </c>
    </row>
    <row r="27" spans="1:21" x14ac:dyDescent="0.25">
      <c r="A27" s="2" t="s">
        <v>6676</v>
      </c>
      <c r="B27" s="6">
        <v>45093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6677</v>
      </c>
      <c r="J27" s="7">
        <v>0</v>
      </c>
      <c r="K27" s="7" t="s">
        <v>6678</v>
      </c>
      <c r="L27" s="7" t="s">
        <v>26</v>
      </c>
      <c r="M27" s="7">
        <v>134.47</v>
      </c>
      <c r="N27" s="7" t="s">
        <v>27</v>
      </c>
      <c r="O27" s="7">
        <f t="shared" si="0"/>
        <v>134.47</v>
      </c>
      <c r="P27" s="7">
        <f t="shared" si="1"/>
        <v>134.47</v>
      </c>
      <c r="Q27" s="7" t="s">
        <v>28</v>
      </c>
      <c r="R27" s="8">
        <v>46151</v>
      </c>
      <c r="S27" s="8">
        <v>401768</v>
      </c>
      <c r="T27" s="7">
        <v>10504</v>
      </c>
      <c r="U27" s="9">
        <f t="shared" si="2"/>
        <v>14.1247288</v>
      </c>
    </row>
    <row r="28" spans="1:21" x14ac:dyDescent="0.25">
      <c r="A28" s="2" t="s">
        <v>6679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6680</v>
      </c>
      <c r="J28" s="7">
        <v>0</v>
      </c>
      <c r="K28" s="7" t="s">
        <v>6681</v>
      </c>
      <c r="L28" s="7" t="s">
        <v>26</v>
      </c>
      <c r="M28" s="7">
        <v>112.48</v>
      </c>
      <c r="N28" s="7" t="s">
        <v>27</v>
      </c>
      <c r="O28" s="7">
        <f t="shared" si="0"/>
        <v>112.48</v>
      </c>
      <c r="P28" s="7">
        <f t="shared" si="1"/>
        <v>112.48</v>
      </c>
      <c r="Q28" s="7" t="s">
        <v>28</v>
      </c>
      <c r="R28" s="8">
        <v>46151</v>
      </c>
      <c r="S28" s="8">
        <v>401768</v>
      </c>
      <c r="T28" s="7">
        <v>9223</v>
      </c>
      <c r="U28" s="9">
        <f t="shared" si="2"/>
        <v>10.374030400000001</v>
      </c>
    </row>
    <row r="29" spans="1:21" x14ac:dyDescent="0.25">
      <c r="A29" s="2" t="s">
        <v>6854</v>
      </c>
      <c r="B29" s="6">
        <v>45199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6884</v>
      </c>
      <c r="J29" s="7">
        <v>0</v>
      </c>
      <c r="K29" s="7" t="s">
        <v>6885</v>
      </c>
      <c r="L29" s="7" t="s">
        <v>26</v>
      </c>
      <c r="M29" s="7">
        <v>120</v>
      </c>
      <c r="N29" s="7" t="s">
        <v>27</v>
      </c>
      <c r="O29" s="7">
        <f t="shared" si="0"/>
        <v>120</v>
      </c>
      <c r="P29" s="7">
        <f t="shared" si="1"/>
        <v>120</v>
      </c>
      <c r="Q29" s="7" t="s">
        <v>28</v>
      </c>
      <c r="R29" s="8">
        <v>45199</v>
      </c>
      <c r="S29" s="8">
        <v>401768</v>
      </c>
      <c r="T29" s="7"/>
      <c r="U29" s="9">
        <f t="shared" si="2"/>
        <v>0</v>
      </c>
    </row>
    <row r="30" spans="1:21" x14ac:dyDescent="0.25">
      <c r="A30" s="2" t="s">
        <v>6893</v>
      </c>
      <c r="B30" s="6">
        <v>45315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7029</v>
      </c>
      <c r="J30" s="7">
        <v>0</v>
      </c>
      <c r="K30" s="7" t="s">
        <v>7030</v>
      </c>
      <c r="L30" s="7" t="s">
        <v>26</v>
      </c>
      <c r="M30" s="7">
        <v>452.72</v>
      </c>
      <c r="N30" s="7" t="s">
        <v>27</v>
      </c>
      <c r="O30" s="7">
        <f t="shared" si="0"/>
        <v>452.72</v>
      </c>
      <c r="P30" s="7">
        <f t="shared" si="1"/>
        <v>452.72</v>
      </c>
      <c r="Q30" s="7" t="s">
        <v>28</v>
      </c>
      <c r="R30" s="8">
        <v>46151</v>
      </c>
      <c r="S30" s="8">
        <v>401768</v>
      </c>
      <c r="T30" s="7"/>
      <c r="U30" s="9">
        <f t="shared" si="2"/>
        <v>0</v>
      </c>
    </row>
    <row r="31" spans="1:21" x14ac:dyDescent="0.25">
      <c r="A31" s="2" t="s">
        <v>6907</v>
      </c>
      <c r="B31" s="6">
        <v>45421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7116</v>
      </c>
      <c r="J31" s="7">
        <v>0</v>
      </c>
      <c r="K31" s="7" t="s">
        <v>7117</v>
      </c>
      <c r="L31" s="7" t="s">
        <v>26</v>
      </c>
      <c r="M31" s="7">
        <v>102.42</v>
      </c>
      <c r="N31" s="7" t="s">
        <v>27</v>
      </c>
      <c r="O31" s="7">
        <f t="shared" si="0"/>
        <v>102.42</v>
      </c>
      <c r="P31" s="7">
        <f t="shared" si="1"/>
        <v>102.42</v>
      </c>
      <c r="Q31" s="7" t="s">
        <v>28</v>
      </c>
      <c r="R31" s="8">
        <v>46151</v>
      </c>
      <c r="S31" s="8">
        <v>401768</v>
      </c>
      <c r="T31" s="7">
        <v>140</v>
      </c>
      <c r="U31" s="9">
        <f t="shared" si="2"/>
        <v>0.14338800000000002</v>
      </c>
    </row>
    <row r="32" spans="1:21" x14ac:dyDescent="0.25">
      <c r="A32" s="2" t="s">
        <v>6910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7118</v>
      </c>
      <c r="J32" s="7">
        <v>0</v>
      </c>
      <c r="K32" s="7" t="s">
        <v>7119</v>
      </c>
      <c r="L32" s="7" t="s">
        <v>26</v>
      </c>
      <c r="M32" s="7">
        <v>82.88</v>
      </c>
      <c r="N32" s="7" t="s">
        <v>27</v>
      </c>
      <c r="O32" s="7">
        <f t="shared" si="0"/>
        <v>82.88</v>
      </c>
      <c r="P32" s="7">
        <f t="shared" si="1"/>
        <v>82.88</v>
      </c>
      <c r="Q32" s="7" t="s">
        <v>28</v>
      </c>
      <c r="R32" s="8">
        <v>46151</v>
      </c>
      <c r="S32" s="8">
        <v>401768</v>
      </c>
      <c r="T32" s="7">
        <v>137</v>
      </c>
      <c r="U32" s="9">
        <f t="shared" si="2"/>
        <v>0.1135456</v>
      </c>
    </row>
    <row r="33" spans="1:21" x14ac:dyDescent="0.25">
      <c r="A33" s="2" t="s">
        <v>6940</v>
      </c>
      <c r="B33" s="6">
        <v>45432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7138</v>
      </c>
      <c r="J33" s="7">
        <v>0</v>
      </c>
      <c r="K33" s="7" t="s">
        <v>7139</v>
      </c>
      <c r="L33" s="7" t="s">
        <v>26</v>
      </c>
      <c r="M33" s="7">
        <v>343.76</v>
      </c>
      <c r="N33" s="7" t="s">
        <v>27</v>
      </c>
      <c r="O33" s="7">
        <f t="shared" si="0"/>
        <v>343.76</v>
      </c>
      <c r="P33" s="7">
        <f t="shared" si="1"/>
        <v>343.76</v>
      </c>
      <c r="Q33" s="7" t="s">
        <v>28</v>
      </c>
      <c r="R33" s="8">
        <v>46151</v>
      </c>
      <c r="S33" s="8">
        <v>401768</v>
      </c>
      <c r="T33" s="7"/>
      <c r="U33" s="9">
        <f t="shared" si="2"/>
        <v>0</v>
      </c>
    </row>
    <row r="34" spans="1:21" x14ac:dyDescent="0.25">
      <c r="A34" s="2" t="s">
        <v>6924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7140</v>
      </c>
      <c r="J34" s="7">
        <v>0</v>
      </c>
      <c r="K34" s="7" t="s">
        <v>7141</v>
      </c>
      <c r="L34" s="7" t="s">
        <v>26</v>
      </c>
      <c r="M34" s="7">
        <v>333.69</v>
      </c>
      <c r="N34" s="7" t="s">
        <v>27</v>
      </c>
      <c r="O34" s="7">
        <f t="shared" si="0"/>
        <v>333.69</v>
      </c>
      <c r="P34" s="7">
        <f t="shared" si="1"/>
        <v>333.69</v>
      </c>
      <c r="Q34" s="7" t="s">
        <v>28</v>
      </c>
      <c r="R34" s="8">
        <v>46151</v>
      </c>
      <c r="S34" s="8">
        <v>401768</v>
      </c>
      <c r="T34" s="7"/>
      <c r="U34" s="9">
        <f t="shared" si="2"/>
        <v>0</v>
      </c>
    </row>
    <row r="35" spans="1:21" x14ac:dyDescent="0.25">
      <c r="A35" s="2" t="s">
        <v>6932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7142</v>
      </c>
      <c r="J35" s="7">
        <v>0</v>
      </c>
      <c r="K35" s="7" t="s">
        <v>7143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9">
        <f t="shared" si="2"/>
        <v>0</v>
      </c>
    </row>
    <row r="36" spans="1:21" x14ac:dyDescent="0.25">
      <c r="A36" s="2" t="s">
        <v>6947</v>
      </c>
      <c r="B36" s="6">
        <v>45444</v>
      </c>
      <c r="C36" s="7" t="s">
        <v>20</v>
      </c>
      <c r="D36" s="7" t="s">
        <v>21</v>
      </c>
      <c r="E36" s="7" t="s">
        <v>28</v>
      </c>
      <c r="F36" s="7" t="s">
        <v>28</v>
      </c>
      <c r="G36" s="7" t="s">
        <v>127</v>
      </c>
      <c r="H36" s="7" t="s">
        <v>128</v>
      </c>
      <c r="I36" s="7" t="s">
        <v>129</v>
      </c>
      <c r="J36" s="7">
        <v>0</v>
      </c>
      <c r="K36" s="7" t="s">
        <v>130</v>
      </c>
      <c r="L36" s="7" t="s">
        <v>26</v>
      </c>
      <c r="M36" s="7">
        <v>238.93</v>
      </c>
      <c r="N36" s="7" t="s">
        <v>27</v>
      </c>
      <c r="O36" s="7">
        <f t="shared" si="0"/>
        <v>238.93</v>
      </c>
      <c r="P36" s="7">
        <f t="shared" si="1"/>
        <v>238.93</v>
      </c>
      <c r="Q36" s="7" t="s">
        <v>28</v>
      </c>
      <c r="R36" s="8">
        <v>45444</v>
      </c>
      <c r="S36" s="8">
        <v>401768</v>
      </c>
      <c r="T36" s="7"/>
      <c r="U36" s="9">
        <f t="shared" si="2"/>
        <v>0</v>
      </c>
    </row>
    <row r="37" spans="1:21" x14ac:dyDescent="0.25">
      <c r="A37" s="2" t="s">
        <v>6944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135</v>
      </c>
      <c r="J37" s="7">
        <v>0</v>
      </c>
      <c r="K37" s="7" t="s">
        <v>136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9">
        <f t="shared" si="2"/>
        <v>0</v>
      </c>
    </row>
    <row r="38" spans="1:21" x14ac:dyDescent="0.25">
      <c r="A38" s="2" t="s">
        <v>6941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5647</v>
      </c>
      <c r="J38" s="7">
        <v>0</v>
      </c>
      <c r="K38" s="7" t="s">
        <v>5648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9">
        <f t="shared" si="2"/>
        <v>0</v>
      </c>
    </row>
    <row r="39" spans="1:21" x14ac:dyDescent="0.25">
      <c r="A39" s="2" t="s">
        <v>6948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144</v>
      </c>
      <c r="J39" s="7">
        <v>0</v>
      </c>
      <c r="K39" s="7" t="s">
        <v>145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9">
        <f t="shared" si="2"/>
        <v>0</v>
      </c>
    </row>
    <row r="40" spans="1:21" x14ac:dyDescent="0.25">
      <c r="A40" s="2" t="s">
        <v>6949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5755</v>
      </c>
      <c r="J40" s="7">
        <v>0</v>
      </c>
      <c r="K40" s="7" t="s">
        <v>5756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9">
        <f t="shared" si="2"/>
        <v>0</v>
      </c>
    </row>
    <row r="41" spans="1:21" x14ac:dyDescent="0.25">
      <c r="A41" s="2" t="s">
        <v>6961</v>
      </c>
      <c r="B41" s="6">
        <v>45478</v>
      </c>
      <c r="C41" s="7" t="s">
        <v>20</v>
      </c>
      <c r="D41" s="7" t="s">
        <v>21</v>
      </c>
      <c r="E41" s="7" t="s">
        <v>20</v>
      </c>
      <c r="F41" s="7" t="s">
        <v>21</v>
      </c>
      <c r="G41" s="7" t="s">
        <v>127</v>
      </c>
      <c r="H41" s="7" t="s">
        <v>128</v>
      </c>
      <c r="I41" s="7" t="s">
        <v>135</v>
      </c>
      <c r="J41" s="7">
        <v>0</v>
      </c>
      <c r="K41" s="7" t="s">
        <v>136</v>
      </c>
      <c r="L41" s="7" t="s">
        <v>26</v>
      </c>
      <c r="M41" s="7">
        <v>315.98</v>
      </c>
      <c r="N41" s="7" t="s">
        <v>27</v>
      </c>
      <c r="O41" s="7">
        <f t="shared" si="0"/>
        <v>315.98</v>
      </c>
      <c r="P41" s="7">
        <f t="shared" si="1"/>
        <v>315.98</v>
      </c>
      <c r="Q41" s="7" t="s">
        <v>28</v>
      </c>
      <c r="R41" s="8">
        <v>46151</v>
      </c>
      <c r="S41" s="8">
        <v>401768</v>
      </c>
      <c r="T41" s="7"/>
      <c r="U41" s="9">
        <f t="shared" si="2"/>
        <v>0</v>
      </c>
    </row>
    <row r="42" spans="1:21" x14ac:dyDescent="0.25">
      <c r="A42" s="2" t="s">
        <v>7333</v>
      </c>
      <c r="B42" s="6">
        <v>46023</v>
      </c>
      <c r="C42" s="7" t="s">
        <v>20</v>
      </c>
      <c r="D42" s="7" t="s">
        <v>21</v>
      </c>
      <c r="E42" s="7" t="s">
        <v>28</v>
      </c>
      <c r="F42" s="7" t="s">
        <v>28</v>
      </c>
      <c r="G42" s="7" t="s">
        <v>127</v>
      </c>
      <c r="H42" s="7" t="s">
        <v>128</v>
      </c>
      <c r="I42" s="7" t="s">
        <v>7592</v>
      </c>
      <c r="J42" s="7">
        <v>0</v>
      </c>
      <c r="K42" s="7" t="s">
        <v>7593</v>
      </c>
      <c r="L42" s="7" t="s">
        <v>26</v>
      </c>
      <c r="M42" s="7">
        <v>295</v>
      </c>
      <c r="N42" s="7" t="s">
        <v>27</v>
      </c>
      <c r="O42" s="7">
        <f t="shared" si="0"/>
        <v>295</v>
      </c>
      <c r="P42" s="7">
        <f t="shared" si="1"/>
        <v>295</v>
      </c>
      <c r="Q42" s="7" t="s">
        <v>28</v>
      </c>
      <c r="R42" s="8">
        <v>46023</v>
      </c>
      <c r="S42" s="8">
        <v>401768</v>
      </c>
      <c r="T42" s="7">
        <v>1625</v>
      </c>
      <c r="U42" s="9">
        <f t="shared" si="2"/>
        <v>4.7937500000000002</v>
      </c>
    </row>
    <row r="43" spans="1:21" x14ac:dyDescent="0.25">
      <c r="A43" s="2" t="s">
        <v>7423</v>
      </c>
      <c r="B43" s="6">
        <v>46123</v>
      </c>
      <c r="C43" s="7" t="s">
        <v>20</v>
      </c>
      <c r="D43" s="7" t="s">
        <v>21</v>
      </c>
      <c r="E43" s="7" t="s">
        <v>20</v>
      </c>
      <c r="F43" s="7" t="s">
        <v>21</v>
      </c>
      <c r="G43" s="7" t="s">
        <v>127</v>
      </c>
      <c r="H43" s="7" t="s">
        <v>128</v>
      </c>
      <c r="I43" s="7" t="s">
        <v>7672</v>
      </c>
      <c r="J43" s="7">
        <v>0</v>
      </c>
      <c r="K43" s="7" t="s">
        <v>7593</v>
      </c>
      <c r="L43" s="7" t="s">
        <v>26</v>
      </c>
      <c r="M43" s="7">
        <v>371.16</v>
      </c>
      <c r="N43" s="7" t="s">
        <v>27</v>
      </c>
      <c r="O43" s="7">
        <f t="shared" si="0"/>
        <v>371.16</v>
      </c>
      <c r="P43" s="7">
        <f t="shared" si="1"/>
        <v>371.16</v>
      </c>
      <c r="Q43" s="7" t="s">
        <v>28</v>
      </c>
      <c r="R43" s="8">
        <v>46151</v>
      </c>
      <c r="S43" s="8">
        <v>401768</v>
      </c>
      <c r="T43" s="7"/>
      <c r="U43" s="9">
        <f t="shared" si="2"/>
        <v>0</v>
      </c>
    </row>
    <row r="44" spans="1:21" x14ac:dyDescent="0.25">
      <c r="A44" s="2" t="s">
        <v>155</v>
      </c>
      <c r="B44" s="6">
        <v>43959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156</v>
      </c>
      <c r="H44" s="7" t="s">
        <v>157</v>
      </c>
      <c r="I44" s="7" t="s">
        <v>158</v>
      </c>
      <c r="J44" s="7">
        <v>0</v>
      </c>
      <c r="K44" s="7" t="s">
        <v>159</v>
      </c>
      <c r="L44" s="7" t="s">
        <v>26</v>
      </c>
      <c r="M44" s="7">
        <v>6.13</v>
      </c>
      <c r="N44" s="7" t="s">
        <v>160</v>
      </c>
      <c r="O44" s="7">
        <v>110</v>
      </c>
      <c r="P44" s="7">
        <f t="shared" ref="P44:P66" si="3">O44*M44</f>
        <v>674.3</v>
      </c>
      <c r="Q44" s="7" t="s">
        <v>28</v>
      </c>
      <c r="R44" s="8">
        <v>43004</v>
      </c>
      <c r="S44" s="8">
        <v>401768</v>
      </c>
      <c r="T44" s="7"/>
      <c r="U44" s="9">
        <f t="shared" si="2"/>
        <v>0</v>
      </c>
    </row>
    <row r="45" spans="1:21" x14ac:dyDescent="0.25">
      <c r="A45" s="2" t="s">
        <v>161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162</v>
      </c>
      <c r="J45" s="7">
        <v>0</v>
      </c>
      <c r="K45" s="7" t="s">
        <v>163</v>
      </c>
      <c r="L45" s="7" t="s">
        <v>26</v>
      </c>
      <c r="M45" s="7">
        <v>2.93</v>
      </c>
      <c r="N45" s="7" t="s">
        <v>160</v>
      </c>
      <c r="O45" s="7">
        <v>110</v>
      </c>
      <c r="P45" s="7">
        <f t="shared" si="3"/>
        <v>322.3</v>
      </c>
      <c r="Q45" s="7" t="s">
        <v>28</v>
      </c>
      <c r="R45" s="8">
        <v>41422</v>
      </c>
      <c r="S45" s="8">
        <v>401768</v>
      </c>
      <c r="T45" s="7"/>
      <c r="U45" s="9">
        <f t="shared" si="2"/>
        <v>0</v>
      </c>
    </row>
    <row r="46" spans="1:21" x14ac:dyDescent="0.25">
      <c r="A46" s="2" t="s">
        <v>623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2262</v>
      </c>
      <c r="H46" s="7" t="s">
        <v>2263</v>
      </c>
      <c r="I46" s="7" t="s">
        <v>1730</v>
      </c>
      <c r="J46" s="7">
        <v>0</v>
      </c>
      <c r="K46" s="7" t="s">
        <v>1731</v>
      </c>
      <c r="L46" s="7" t="s">
        <v>26</v>
      </c>
      <c r="M46" s="7">
        <v>10</v>
      </c>
      <c r="N46" s="7" t="s">
        <v>619</v>
      </c>
      <c r="O46" s="7">
        <v>95</v>
      </c>
      <c r="P46" s="7">
        <f t="shared" si="3"/>
        <v>950</v>
      </c>
      <c r="Q46" s="7" t="s">
        <v>28</v>
      </c>
      <c r="R46" s="8">
        <v>43880</v>
      </c>
      <c r="S46" s="8">
        <v>401768</v>
      </c>
      <c r="T46" s="7"/>
      <c r="U46" s="9">
        <f t="shared" si="2"/>
        <v>0</v>
      </c>
    </row>
    <row r="47" spans="1:21" x14ac:dyDescent="0.25">
      <c r="A47" s="2" t="s">
        <v>2264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1733</v>
      </c>
      <c r="J47" s="7">
        <v>0</v>
      </c>
      <c r="K47" s="7" t="s">
        <v>1734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3"/>
        <v>950</v>
      </c>
      <c r="Q47" s="7" t="s">
        <v>28</v>
      </c>
      <c r="R47" s="8">
        <v>43880</v>
      </c>
      <c r="S47" s="8">
        <v>401768</v>
      </c>
      <c r="T47" s="7"/>
      <c r="U47" s="9">
        <f t="shared" si="2"/>
        <v>0</v>
      </c>
    </row>
    <row r="48" spans="1:21" x14ac:dyDescent="0.25">
      <c r="A48" s="2" t="s">
        <v>466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467</v>
      </c>
      <c r="H48" s="7" t="s">
        <v>468</v>
      </c>
      <c r="I48" s="7" t="s">
        <v>469</v>
      </c>
      <c r="J48" s="7">
        <v>0</v>
      </c>
      <c r="K48" s="7" t="s">
        <v>470</v>
      </c>
      <c r="L48" s="7" t="s">
        <v>26</v>
      </c>
      <c r="M48" s="7">
        <v>2.73</v>
      </c>
      <c r="N48" s="7" t="s">
        <v>160</v>
      </c>
      <c r="O48" s="7">
        <v>110</v>
      </c>
      <c r="P48" s="7">
        <f t="shared" si="3"/>
        <v>300.3</v>
      </c>
      <c r="Q48" s="7" t="s">
        <v>28</v>
      </c>
      <c r="R48" s="8">
        <v>41275</v>
      </c>
      <c r="S48" s="8">
        <v>401768</v>
      </c>
      <c r="T48" s="7"/>
      <c r="U48" s="9">
        <f t="shared" si="2"/>
        <v>0</v>
      </c>
    </row>
    <row r="49" spans="1:21" x14ac:dyDescent="0.25">
      <c r="A49" s="2" t="s">
        <v>471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472</v>
      </c>
      <c r="J49" s="7">
        <v>0</v>
      </c>
      <c r="K49" s="7" t="s">
        <v>473</v>
      </c>
      <c r="L49" s="7" t="s">
        <v>26</v>
      </c>
      <c r="M49" s="7">
        <v>2.83</v>
      </c>
      <c r="N49" s="7" t="s">
        <v>160</v>
      </c>
      <c r="O49" s="7">
        <v>110</v>
      </c>
      <c r="P49" s="7">
        <f t="shared" si="3"/>
        <v>311.3</v>
      </c>
      <c r="Q49" s="7" t="s">
        <v>28</v>
      </c>
      <c r="R49" s="8">
        <v>41275</v>
      </c>
      <c r="S49" s="8">
        <v>401768</v>
      </c>
      <c r="T49" s="7"/>
      <c r="U49" s="9">
        <f t="shared" si="2"/>
        <v>0</v>
      </c>
    </row>
    <row r="50" spans="1:21" x14ac:dyDescent="0.25">
      <c r="A50" s="2" t="s">
        <v>474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475</v>
      </c>
      <c r="J50" s="7">
        <v>0</v>
      </c>
      <c r="K50" s="7" t="s">
        <v>476</v>
      </c>
      <c r="L50" s="7" t="s">
        <v>26</v>
      </c>
      <c r="M50" s="7">
        <v>2.9</v>
      </c>
      <c r="N50" s="7" t="s">
        <v>160</v>
      </c>
      <c r="O50" s="7">
        <v>110</v>
      </c>
      <c r="P50" s="7">
        <f t="shared" si="3"/>
        <v>319</v>
      </c>
      <c r="Q50" s="7" t="s">
        <v>28</v>
      </c>
      <c r="R50" s="8">
        <v>41275</v>
      </c>
      <c r="S50" s="8">
        <v>401768</v>
      </c>
      <c r="T50" s="7"/>
      <c r="U50" s="9">
        <f t="shared" si="2"/>
        <v>0</v>
      </c>
    </row>
    <row r="51" spans="1:21" x14ac:dyDescent="0.25">
      <c r="A51" s="2" t="s">
        <v>477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478</v>
      </c>
      <c r="J51" s="7">
        <v>0</v>
      </c>
      <c r="K51" s="7" t="s">
        <v>479</v>
      </c>
      <c r="L51" s="7" t="s">
        <v>26</v>
      </c>
      <c r="M51" s="7">
        <v>2.99</v>
      </c>
      <c r="N51" s="7" t="s">
        <v>160</v>
      </c>
      <c r="O51" s="7">
        <v>110</v>
      </c>
      <c r="P51" s="7">
        <f t="shared" si="3"/>
        <v>328.90000000000003</v>
      </c>
      <c r="Q51" s="7" t="s">
        <v>28</v>
      </c>
      <c r="R51" s="8">
        <v>41275</v>
      </c>
      <c r="S51" s="8">
        <v>401768</v>
      </c>
      <c r="T51" s="7"/>
      <c r="U51" s="9">
        <f t="shared" si="2"/>
        <v>0</v>
      </c>
    </row>
    <row r="52" spans="1:21" x14ac:dyDescent="0.25">
      <c r="A52" s="2" t="s">
        <v>480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481</v>
      </c>
      <c r="J52" s="7">
        <v>0</v>
      </c>
      <c r="K52" s="7" t="s">
        <v>482</v>
      </c>
      <c r="L52" s="7" t="s">
        <v>26</v>
      </c>
      <c r="M52" s="7">
        <v>6.55</v>
      </c>
      <c r="N52" s="7" t="s">
        <v>160</v>
      </c>
      <c r="O52" s="7">
        <v>110</v>
      </c>
      <c r="P52" s="7">
        <f t="shared" si="3"/>
        <v>720.5</v>
      </c>
      <c r="Q52" s="7" t="s">
        <v>28</v>
      </c>
      <c r="R52" s="8">
        <v>42525</v>
      </c>
      <c r="S52" s="8">
        <v>401768</v>
      </c>
      <c r="T52" s="7"/>
      <c r="U52" s="9">
        <f t="shared" si="2"/>
        <v>0</v>
      </c>
    </row>
    <row r="53" spans="1:21" x14ac:dyDescent="0.25">
      <c r="A53" s="2" t="s">
        <v>483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484</v>
      </c>
      <c r="J53" s="7">
        <v>0</v>
      </c>
      <c r="K53" s="7" t="s">
        <v>485</v>
      </c>
      <c r="L53" s="7" t="s">
        <v>26</v>
      </c>
      <c r="M53" s="7">
        <v>0.32</v>
      </c>
      <c r="N53" s="7" t="s">
        <v>160</v>
      </c>
      <c r="O53" s="7">
        <v>110</v>
      </c>
      <c r="P53" s="7">
        <f t="shared" si="3"/>
        <v>35.200000000000003</v>
      </c>
      <c r="Q53" s="7" t="s">
        <v>28</v>
      </c>
      <c r="R53" s="8">
        <v>41275</v>
      </c>
      <c r="S53" s="8">
        <v>401768</v>
      </c>
      <c r="T53" s="7"/>
      <c r="U53" s="9">
        <f t="shared" si="2"/>
        <v>0</v>
      </c>
    </row>
    <row r="54" spans="1:21" x14ac:dyDescent="0.25">
      <c r="A54" s="2" t="s">
        <v>486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487</v>
      </c>
      <c r="J54" s="7">
        <v>0</v>
      </c>
      <c r="K54" s="7" t="s">
        <v>488</v>
      </c>
      <c r="L54" s="7" t="s">
        <v>26</v>
      </c>
      <c r="M54" s="7">
        <v>0.89</v>
      </c>
      <c r="N54" s="7" t="s">
        <v>160</v>
      </c>
      <c r="O54" s="7">
        <v>110</v>
      </c>
      <c r="P54" s="7">
        <f t="shared" si="3"/>
        <v>97.9</v>
      </c>
      <c r="Q54" s="7" t="s">
        <v>28</v>
      </c>
      <c r="R54" s="8">
        <v>41370</v>
      </c>
      <c r="S54" s="8">
        <v>401768</v>
      </c>
      <c r="T54" s="7"/>
      <c r="U54" s="9">
        <f t="shared" si="2"/>
        <v>0</v>
      </c>
    </row>
    <row r="55" spans="1:21" x14ac:dyDescent="0.25">
      <c r="A55" s="2" t="s">
        <v>489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490</v>
      </c>
      <c r="J55" s="7">
        <v>0</v>
      </c>
      <c r="K55" s="7" t="s">
        <v>491</v>
      </c>
      <c r="L55" s="7" t="s">
        <v>26</v>
      </c>
      <c r="M55" s="7">
        <v>10.6</v>
      </c>
      <c r="N55" s="7" t="s">
        <v>160</v>
      </c>
      <c r="O55" s="7">
        <v>110</v>
      </c>
      <c r="P55" s="7">
        <f t="shared" si="3"/>
        <v>1166</v>
      </c>
      <c r="Q55" s="7" t="s">
        <v>28</v>
      </c>
      <c r="R55" s="8">
        <v>41275</v>
      </c>
      <c r="S55" s="8">
        <v>401768</v>
      </c>
      <c r="T55" s="7"/>
      <c r="U55" s="9">
        <f t="shared" si="2"/>
        <v>0</v>
      </c>
    </row>
    <row r="56" spans="1:21" x14ac:dyDescent="0.25">
      <c r="A56" s="2" t="s">
        <v>492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493</v>
      </c>
      <c r="J56" s="7">
        <v>0</v>
      </c>
      <c r="K56" s="7" t="s">
        <v>494</v>
      </c>
      <c r="L56" s="7" t="s">
        <v>26</v>
      </c>
      <c r="M56" s="7">
        <v>4.4800000000000004</v>
      </c>
      <c r="N56" s="7" t="s">
        <v>160</v>
      </c>
      <c r="O56" s="7">
        <v>110</v>
      </c>
      <c r="P56" s="7">
        <f t="shared" si="3"/>
        <v>492.80000000000007</v>
      </c>
      <c r="Q56" s="7" t="s">
        <v>28</v>
      </c>
      <c r="R56" s="8">
        <v>41551</v>
      </c>
      <c r="S56" s="8">
        <v>401768</v>
      </c>
      <c r="T56" s="7"/>
      <c r="U56" s="9">
        <f t="shared" si="2"/>
        <v>0</v>
      </c>
    </row>
    <row r="57" spans="1:21" x14ac:dyDescent="0.25">
      <c r="A57" s="2" t="s">
        <v>495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496</v>
      </c>
      <c r="J57" s="7">
        <v>0</v>
      </c>
      <c r="K57" s="7" t="s">
        <v>497</v>
      </c>
      <c r="L57" s="7" t="s">
        <v>26</v>
      </c>
      <c r="M57" s="7">
        <v>0.87</v>
      </c>
      <c r="N57" s="7" t="s">
        <v>160</v>
      </c>
      <c r="O57" s="7">
        <v>110</v>
      </c>
      <c r="P57" s="7">
        <f t="shared" si="3"/>
        <v>95.7</v>
      </c>
      <c r="Q57" s="7" t="s">
        <v>28</v>
      </c>
      <c r="R57" s="8">
        <v>41550</v>
      </c>
      <c r="S57" s="8">
        <v>401768</v>
      </c>
      <c r="T57" s="7"/>
      <c r="U57" s="9">
        <f t="shared" si="2"/>
        <v>0</v>
      </c>
    </row>
    <row r="58" spans="1:21" x14ac:dyDescent="0.25">
      <c r="A58" s="2" t="s">
        <v>498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499</v>
      </c>
      <c r="J58" s="7">
        <v>0</v>
      </c>
      <c r="K58" s="7" t="s">
        <v>500</v>
      </c>
      <c r="L58" s="7" t="s">
        <v>26</v>
      </c>
      <c r="M58" s="7">
        <v>0.4</v>
      </c>
      <c r="N58" s="7" t="s">
        <v>160</v>
      </c>
      <c r="O58" s="7">
        <v>110</v>
      </c>
      <c r="P58" s="7">
        <f t="shared" si="3"/>
        <v>44</v>
      </c>
      <c r="Q58" s="7" t="s">
        <v>28</v>
      </c>
      <c r="R58" s="8">
        <v>44610</v>
      </c>
      <c r="S58" s="8">
        <v>401768</v>
      </c>
      <c r="T58" s="7">
        <v>11520</v>
      </c>
      <c r="U58" s="9">
        <f t="shared" si="2"/>
        <v>5.0688000000000004</v>
      </c>
    </row>
    <row r="59" spans="1:21" x14ac:dyDescent="0.25">
      <c r="A59" s="2" t="s">
        <v>501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502</v>
      </c>
      <c r="J59" s="7">
        <v>0</v>
      </c>
      <c r="K59" s="7" t="s">
        <v>503</v>
      </c>
      <c r="L59" s="7" t="s">
        <v>26</v>
      </c>
      <c r="M59" s="7">
        <v>0.92</v>
      </c>
      <c r="N59" s="7" t="s">
        <v>160</v>
      </c>
      <c r="O59" s="7">
        <v>110</v>
      </c>
      <c r="P59" s="7">
        <f t="shared" si="3"/>
        <v>101.2</v>
      </c>
      <c r="Q59" s="7" t="s">
        <v>28</v>
      </c>
      <c r="R59" s="8">
        <v>44497</v>
      </c>
      <c r="S59" s="8">
        <v>401768</v>
      </c>
      <c r="T59" s="7"/>
      <c r="U59" s="9">
        <f t="shared" si="2"/>
        <v>0</v>
      </c>
    </row>
    <row r="60" spans="1:21" x14ac:dyDescent="0.25">
      <c r="A60" s="2" t="s">
        <v>504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505</v>
      </c>
      <c r="J60" s="7">
        <v>0</v>
      </c>
      <c r="K60" s="7" t="s">
        <v>506</v>
      </c>
      <c r="L60" s="7" t="s">
        <v>26</v>
      </c>
      <c r="M60" s="7">
        <v>0.86</v>
      </c>
      <c r="N60" s="7" t="s">
        <v>160</v>
      </c>
      <c r="O60" s="7">
        <v>110</v>
      </c>
      <c r="P60" s="7">
        <f t="shared" si="3"/>
        <v>94.6</v>
      </c>
      <c r="Q60" s="7" t="s">
        <v>28</v>
      </c>
      <c r="R60" s="8">
        <v>41550</v>
      </c>
      <c r="S60" s="8">
        <v>401768</v>
      </c>
      <c r="T60" s="7"/>
      <c r="U60" s="9">
        <f t="shared" si="2"/>
        <v>0</v>
      </c>
    </row>
    <row r="61" spans="1:21" x14ac:dyDescent="0.25">
      <c r="A61" s="2" t="s">
        <v>507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508</v>
      </c>
      <c r="J61" s="7">
        <v>0</v>
      </c>
      <c r="K61" s="7" t="s">
        <v>509</v>
      </c>
      <c r="L61" s="7" t="s">
        <v>26</v>
      </c>
      <c r="M61" s="7">
        <v>0.4</v>
      </c>
      <c r="N61" s="7" t="s">
        <v>160</v>
      </c>
      <c r="O61" s="7">
        <v>110</v>
      </c>
      <c r="P61" s="7">
        <f t="shared" si="3"/>
        <v>44</v>
      </c>
      <c r="Q61" s="7" t="s">
        <v>28</v>
      </c>
      <c r="R61" s="8">
        <v>44610</v>
      </c>
      <c r="S61" s="8">
        <v>401768</v>
      </c>
      <c r="T61" s="7">
        <v>11520</v>
      </c>
      <c r="U61" s="9">
        <f t="shared" si="2"/>
        <v>5.0688000000000004</v>
      </c>
    </row>
    <row r="62" spans="1:21" x14ac:dyDescent="0.25">
      <c r="A62" s="2" t="s">
        <v>6929</v>
      </c>
      <c r="B62" s="6">
        <v>45525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7239</v>
      </c>
      <c r="J62" s="7">
        <v>0</v>
      </c>
      <c r="K62" s="7" t="s">
        <v>7240</v>
      </c>
      <c r="L62" s="7" t="s">
        <v>26</v>
      </c>
      <c r="M62" s="7">
        <v>0.57999999999999996</v>
      </c>
      <c r="N62" s="7" t="s">
        <v>160</v>
      </c>
      <c r="O62" s="7">
        <v>110</v>
      </c>
      <c r="P62" s="7">
        <f t="shared" si="3"/>
        <v>63.8</v>
      </c>
      <c r="Q62" s="7" t="s">
        <v>28</v>
      </c>
      <c r="R62" s="8">
        <v>45525</v>
      </c>
      <c r="S62" s="8">
        <v>401768</v>
      </c>
      <c r="T62" s="7"/>
      <c r="U62" s="9">
        <f t="shared" si="2"/>
        <v>0</v>
      </c>
    </row>
    <row r="63" spans="1:21" x14ac:dyDescent="0.25">
      <c r="A63" s="2" t="s">
        <v>6937</v>
      </c>
      <c r="B63" s="6">
        <v>45525</v>
      </c>
      <c r="C63" s="7" t="s">
        <v>20</v>
      </c>
      <c r="D63" s="7" t="s">
        <v>21</v>
      </c>
      <c r="E63" s="7" t="s">
        <v>28</v>
      </c>
      <c r="F63" s="7" t="s">
        <v>28</v>
      </c>
      <c r="G63" s="7" t="s">
        <v>467</v>
      </c>
      <c r="H63" s="7" t="s">
        <v>468</v>
      </c>
      <c r="I63" s="7" t="s">
        <v>7241</v>
      </c>
      <c r="J63" s="7">
        <v>0</v>
      </c>
      <c r="K63" s="7" t="s">
        <v>7240</v>
      </c>
      <c r="L63" s="7" t="s">
        <v>26</v>
      </c>
      <c r="M63" s="7">
        <v>0.8</v>
      </c>
      <c r="N63" s="7" t="s">
        <v>160</v>
      </c>
      <c r="O63" s="7">
        <v>110</v>
      </c>
      <c r="P63" s="7">
        <f t="shared" si="3"/>
        <v>88</v>
      </c>
      <c r="Q63" s="7" t="s">
        <v>28</v>
      </c>
      <c r="R63" s="8">
        <v>45525</v>
      </c>
      <c r="S63" s="8">
        <v>401768</v>
      </c>
      <c r="T63" s="7"/>
      <c r="U63" s="9">
        <f t="shared" si="2"/>
        <v>0</v>
      </c>
    </row>
    <row r="64" spans="1:21" x14ac:dyDescent="0.25">
      <c r="A64" s="2" t="s">
        <v>7058</v>
      </c>
      <c r="B64" s="6">
        <v>45566</v>
      </c>
      <c r="C64" s="7" t="s">
        <v>20</v>
      </c>
      <c r="D64" s="7" t="s">
        <v>21</v>
      </c>
      <c r="E64" s="7" t="s">
        <v>20</v>
      </c>
      <c r="F64" s="7" t="s">
        <v>21</v>
      </c>
      <c r="G64" s="7" t="s">
        <v>467</v>
      </c>
      <c r="H64" s="7" t="s">
        <v>468</v>
      </c>
      <c r="I64" s="7" t="s">
        <v>7297</v>
      </c>
      <c r="J64" s="7">
        <v>0</v>
      </c>
      <c r="K64" s="7" t="s">
        <v>7298</v>
      </c>
      <c r="L64" s="7" t="s">
        <v>26</v>
      </c>
      <c r="M64" s="7">
        <v>4.9000000000000004</v>
      </c>
      <c r="N64" s="7" t="s">
        <v>160</v>
      </c>
      <c r="O64" s="7">
        <v>110</v>
      </c>
      <c r="P64" s="7">
        <f t="shared" si="3"/>
        <v>539</v>
      </c>
      <c r="Q64" s="7" t="s">
        <v>28</v>
      </c>
      <c r="R64" s="8">
        <v>45566</v>
      </c>
      <c r="S64" s="8">
        <v>401768</v>
      </c>
      <c r="T64" s="7"/>
      <c r="U64" s="9">
        <f t="shared" si="2"/>
        <v>0</v>
      </c>
    </row>
    <row r="65" spans="1:21" x14ac:dyDescent="0.25">
      <c r="A65" s="2" t="s">
        <v>7047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7299</v>
      </c>
      <c r="J65" s="7">
        <v>0</v>
      </c>
      <c r="K65" s="7" t="s">
        <v>7300</v>
      </c>
      <c r="L65" s="7" t="s">
        <v>26</v>
      </c>
      <c r="M65" s="7">
        <v>0.57999999999999996</v>
      </c>
      <c r="N65" s="7" t="s">
        <v>160</v>
      </c>
      <c r="O65" s="7">
        <v>110</v>
      </c>
      <c r="P65" s="7">
        <f t="shared" si="3"/>
        <v>63.8</v>
      </c>
      <c r="Q65" s="7" t="s">
        <v>28</v>
      </c>
      <c r="R65" s="8">
        <v>45566</v>
      </c>
      <c r="S65" s="8">
        <v>401768</v>
      </c>
      <c r="T65" s="7"/>
      <c r="U65" s="9">
        <f t="shared" si="2"/>
        <v>0</v>
      </c>
    </row>
    <row r="66" spans="1:21" x14ac:dyDescent="0.25">
      <c r="A66" s="2" t="s">
        <v>7046</v>
      </c>
      <c r="B66" s="6">
        <v>45566</v>
      </c>
      <c r="C66" s="7" t="s">
        <v>20</v>
      </c>
      <c r="D66" s="7" t="s">
        <v>21</v>
      </c>
      <c r="E66" s="7" t="s">
        <v>28</v>
      </c>
      <c r="F66" s="7" t="s">
        <v>28</v>
      </c>
      <c r="G66" s="7" t="s">
        <v>467</v>
      </c>
      <c r="H66" s="7" t="s">
        <v>468</v>
      </c>
      <c r="I66" s="7" t="s">
        <v>7301</v>
      </c>
      <c r="J66" s="7">
        <v>0</v>
      </c>
      <c r="K66" s="7" t="s">
        <v>7302</v>
      </c>
      <c r="L66" s="7" t="s">
        <v>26</v>
      </c>
      <c r="M66" s="7">
        <v>0.8</v>
      </c>
      <c r="N66" s="7" t="s">
        <v>160</v>
      </c>
      <c r="O66" s="7">
        <v>110</v>
      </c>
      <c r="P66" s="7">
        <f t="shared" si="3"/>
        <v>88</v>
      </c>
      <c r="Q66" s="7" t="s">
        <v>28</v>
      </c>
      <c r="R66" s="8">
        <v>45566</v>
      </c>
      <c r="S66" s="8">
        <v>401768</v>
      </c>
      <c r="T66" s="7"/>
      <c r="U66" s="9">
        <f t="shared" si="2"/>
        <v>0</v>
      </c>
    </row>
    <row r="67" spans="1:21" x14ac:dyDescent="0.25">
      <c r="A67" s="2" t="s">
        <v>7084</v>
      </c>
      <c r="B67" s="6">
        <v>45642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7358</v>
      </c>
      <c r="J67" s="7">
        <v>0</v>
      </c>
      <c r="K67" s="7" t="s">
        <v>7359</v>
      </c>
      <c r="L67" s="7" t="s">
        <v>26</v>
      </c>
      <c r="M67" s="7">
        <v>4.9000000000000004</v>
      </c>
      <c r="N67" s="7" t="s">
        <v>160</v>
      </c>
      <c r="O67" s="7">
        <v>110</v>
      </c>
      <c r="P67" s="7">
        <f t="shared" ref="P67:P130" si="4">O67*M67</f>
        <v>539</v>
      </c>
      <c r="Q67" s="7" t="s">
        <v>28</v>
      </c>
      <c r="R67" s="8">
        <v>45642</v>
      </c>
      <c r="S67" s="8">
        <v>401768</v>
      </c>
      <c r="T67" s="7">
        <v>1782</v>
      </c>
      <c r="U67" s="9">
        <f t="shared" ref="U67:U130" si="5">T67*P67/100000</f>
        <v>9.6049799999999994</v>
      </c>
    </row>
    <row r="68" spans="1:21" x14ac:dyDescent="0.25">
      <c r="A68" s="2" t="s">
        <v>7087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7360</v>
      </c>
      <c r="J68" s="7">
        <v>0</v>
      </c>
      <c r="K68" s="7" t="s">
        <v>7361</v>
      </c>
      <c r="L68" s="7" t="s">
        <v>26</v>
      </c>
      <c r="M68" s="7">
        <v>4.9000000000000004</v>
      </c>
      <c r="N68" s="7" t="s">
        <v>160</v>
      </c>
      <c r="O68" s="7">
        <v>110</v>
      </c>
      <c r="P68" s="7">
        <f t="shared" si="4"/>
        <v>539</v>
      </c>
      <c r="Q68" s="7" t="s">
        <v>28</v>
      </c>
      <c r="R68" s="8">
        <v>45642</v>
      </c>
      <c r="S68" s="8">
        <v>401768</v>
      </c>
      <c r="T68" s="7">
        <v>1782</v>
      </c>
      <c r="U68" s="9">
        <f t="shared" si="5"/>
        <v>9.6049799999999994</v>
      </c>
    </row>
    <row r="69" spans="1:21" x14ac:dyDescent="0.25">
      <c r="A69" s="2" t="s">
        <v>7178</v>
      </c>
      <c r="B69" s="6">
        <v>45724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7430</v>
      </c>
      <c r="J69" s="7">
        <v>0</v>
      </c>
      <c r="K69" s="7" t="s">
        <v>7431</v>
      </c>
      <c r="L69" s="7" t="s">
        <v>26</v>
      </c>
      <c r="M69" s="7">
        <v>1.26</v>
      </c>
      <c r="N69" s="7" t="s">
        <v>160</v>
      </c>
      <c r="O69" s="7">
        <v>110</v>
      </c>
      <c r="P69" s="7">
        <f t="shared" si="4"/>
        <v>138.6</v>
      </c>
      <c r="Q69" s="7" t="s">
        <v>28</v>
      </c>
      <c r="R69" s="8">
        <v>45724</v>
      </c>
      <c r="S69" s="8">
        <v>401768</v>
      </c>
      <c r="T69" s="7">
        <v>2560</v>
      </c>
      <c r="U69" s="9">
        <f t="shared" si="5"/>
        <v>3.5481600000000002</v>
      </c>
    </row>
    <row r="70" spans="1:21" x14ac:dyDescent="0.25">
      <c r="A70" s="2" t="s">
        <v>6815</v>
      </c>
      <c r="B70" s="6">
        <v>45156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6816</v>
      </c>
      <c r="H70" s="7" t="s">
        <v>6817</v>
      </c>
      <c r="I70" s="7" t="s">
        <v>265</v>
      </c>
      <c r="J70" s="7">
        <v>0</v>
      </c>
      <c r="K70" s="7" t="s">
        <v>266</v>
      </c>
      <c r="L70" s="7" t="s">
        <v>26</v>
      </c>
      <c r="M70" s="7">
        <v>405</v>
      </c>
      <c r="N70" s="7" t="s">
        <v>27</v>
      </c>
      <c r="O70" s="7">
        <f t="shared" ref="O70:O97" si="6">M70</f>
        <v>405</v>
      </c>
      <c r="P70" s="7">
        <f t="shared" ref="P70:P97" si="7">O70</f>
        <v>405</v>
      </c>
      <c r="Q70" s="7" t="s">
        <v>28</v>
      </c>
      <c r="R70" s="8">
        <v>45156</v>
      </c>
      <c r="S70" s="8">
        <v>401768</v>
      </c>
      <c r="T70" s="7"/>
      <c r="U70" s="9">
        <f t="shared" si="5"/>
        <v>0</v>
      </c>
    </row>
    <row r="71" spans="1:21" x14ac:dyDescent="0.25">
      <c r="A71" s="2" t="s">
        <v>7043</v>
      </c>
      <c r="B71" s="6">
        <v>45546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7257</v>
      </c>
      <c r="J71" s="7">
        <v>0</v>
      </c>
      <c r="K71" s="7" t="s">
        <v>7258</v>
      </c>
      <c r="L71" s="7" t="s">
        <v>26</v>
      </c>
      <c r="M71" s="7">
        <v>30</v>
      </c>
      <c r="N71" s="7" t="s">
        <v>27</v>
      </c>
      <c r="O71" s="7">
        <f t="shared" si="6"/>
        <v>30</v>
      </c>
      <c r="P71" s="7">
        <f t="shared" si="7"/>
        <v>30</v>
      </c>
      <c r="Q71" s="7" t="s">
        <v>28</v>
      </c>
      <c r="R71" s="8">
        <v>45546</v>
      </c>
      <c r="S71" s="8">
        <v>401768</v>
      </c>
      <c r="T71" s="7"/>
      <c r="U71" s="9">
        <f t="shared" si="5"/>
        <v>0</v>
      </c>
    </row>
    <row r="72" spans="1:21" x14ac:dyDescent="0.25">
      <c r="A72" s="2" t="s">
        <v>7165</v>
      </c>
      <c r="B72" s="6">
        <v>45719</v>
      </c>
      <c r="C72" s="7" t="s">
        <v>20</v>
      </c>
      <c r="D72" s="7" t="s">
        <v>21</v>
      </c>
      <c r="E72" s="7" t="s">
        <v>20</v>
      </c>
      <c r="F72" s="7" t="s">
        <v>21</v>
      </c>
      <c r="G72" s="7" t="s">
        <v>6816</v>
      </c>
      <c r="H72" s="7" t="s">
        <v>6817</v>
      </c>
      <c r="I72" s="7" t="s">
        <v>7394</v>
      </c>
      <c r="J72" s="7">
        <v>0</v>
      </c>
      <c r="K72" s="7" t="s">
        <v>7395</v>
      </c>
      <c r="L72" s="7" t="s">
        <v>26</v>
      </c>
      <c r="M72" s="7">
        <v>40</v>
      </c>
      <c r="N72" s="7" t="s">
        <v>27</v>
      </c>
      <c r="O72" s="7">
        <f t="shared" si="6"/>
        <v>40</v>
      </c>
      <c r="P72" s="7">
        <f t="shared" si="7"/>
        <v>40</v>
      </c>
      <c r="Q72" s="7" t="s">
        <v>28</v>
      </c>
      <c r="R72" s="8">
        <v>45719</v>
      </c>
      <c r="S72" s="8">
        <v>401768</v>
      </c>
      <c r="T72" s="7"/>
      <c r="U72" s="9">
        <f t="shared" si="5"/>
        <v>0</v>
      </c>
    </row>
    <row r="73" spans="1:21" x14ac:dyDescent="0.25">
      <c r="A73" s="2" t="s">
        <v>7161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7398</v>
      </c>
      <c r="J73" s="7">
        <v>0</v>
      </c>
      <c r="K73" s="7" t="s">
        <v>7399</v>
      </c>
      <c r="L73" s="7" t="s">
        <v>26</v>
      </c>
      <c r="M73" s="7">
        <v>40</v>
      </c>
      <c r="N73" s="7" t="s">
        <v>27</v>
      </c>
      <c r="O73" s="7">
        <f t="shared" si="6"/>
        <v>40</v>
      </c>
      <c r="P73" s="7">
        <f t="shared" si="7"/>
        <v>40</v>
      </c>
      <c r="Q73" s="7" t="s">
        <v>28</v>
      </c>
      <c r="R73" s="8">
        <v>45719</v>
      </c>
      <c r="S73" s="8">
        <v>401768</v>
      </c>
      <c r="T73" s="7"/>
      <c r="U73" s="9">
        <f t="shared" si="5"/>
        <v>0</v>
      </c>
    </row>
    <row r="74" spans="1:21" x14ac:dyDescent="0.25">
      <c r="A74" s="2" t="s">
        <v>232</v>
      </c>
      <c r="B74" s="6">
        <v>43959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233</v>
      </c>
      <c r="H74" s="7" t="s">
        <v>234</v>
      </c>
      <c r="I74" s="7" t="s">
        <v>235</v>
      </c>
      <c r="J74" s="7">
        <v>0</v>
      </c>
      <c r="K74" s="7" t="s">
        <v>236</v>
      </c>
      <c r="L74" s="7" t="s">
        <v>26</v>
      </c>
      <c r="M74" s="7">
        <v>200.19</v>
      </c>
      <c r="N74" s="7" t="s">
        <v>27</v>
      </c>
      <c r="O74" s="7">
        <f t="shared" si="6"/>
        <v>200.19</v>
      </c>
      <c r="P74" s="7">
        <f t="shared" si="7"/>
        <v>200.19</v>
      </c>
      <c r="Q74" s="7" t="s">
        <v>28</v>
      </c>
      <c r="R74" s="8">
        <v>44474</v>
      </c>
      <c r="S74" s="8">
        <v>401768</v>
      </c>
      <c r="T74" s="7"/>
      <c r="U74" s="9">
        <f t="shared" si="5"/>
        <v>0</v>
      </c>
    </row>
    <row r="75" spans="1:21" x14ac:dyDescent="0.25">
      <c r="A75" s="2" t="s">
        <v>237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238</v>
      </c>
      <c r="J75" s="7">
        <v>0</v>
      </c>
      <c r="K75" s="7" t="s">
        <v>239</v>
      </c>
      <c r="L75" s="7" t="s">
        <v>26</v>
      </c>
      <c r="M75" s="7">
        <v>40.14</v>
      </c>
      <c r="N75" s="7" t="s">
        <v>27</v>
      </c>
      <c r="O75" s="7">
        <f t="shared" si="6"/>
        <v>40.14</v>
      </c>
      <c r="P75" s="7">
        <f t="shared" si="7"/>
        <v>40.14</v>
      </c>
      <c r="Q75" s="7" t="s">
        <v>28</v>
      </c>
      <c r="R75" s="8">
        <v>44474</v>
      </c>
      <c r="S75" s="8">
        <v>401768</v>
      </c>
      <c r="T75" s="7"/>
      <c r="U75" s="9">
        <f t="shared" si="5"/>
        <v>0</v>
      </c>
    </row>
    <row r="76" spans="1:21" x14ac:dyDescent="0.25">
      <c r="A76" s="2" t="s">
        <v>240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241</v>
      </c>
      <c r="J76" s="7">
        <v>0</v>
      </c>
      <c r="K76" s="7" t="s">
        <v>242</v>
      </c>
      <c r="L76" s="7" t="s">
        <v>26</v>
      </c>
      <c r="M76" s="7">
        <v>70.94</v>
      </c>
      <c r="N76" s="7" t="s">
        <v>27</v>
      </c>
      <c r="O76" s="7">
        <f t="shared" si="6"/>
        <v>70.94</v>
      </c>
      <c r="P76" s="7">
        <f t="shared" si="7"/>
        <v>70.94</v>
      </c>
      <c r="Q76" s="7" t="s">
        <v>28</v>
      </c>
      <c r="R76" s="8">
        <v>44474</v>
      </c>
      <c r="S76" s="8">
        <v>401768</v>
      </c>
      <c r="T76" s="7"/>
      <c r="U76" s="9">
        <f t="shared" si="5"/>
        <v>0</v>
      </c>
    </row>
    <row r="77" spans="1:21" x14ac:dyDescent="0.25">
      <c r="A77" s="2" t="s">
        <v>243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244</v>
      </c>
      <c r="J77" s="7">
        <v>0</v>
      </c>
      <c r="K77" s="7" t="s">
        <v>245</v>
      </c>
      <c r="L77" s="7" t="s">
        <v>26</v>
      </c>
      <c r="M77" s="7">
        <v>77.42</v>
      </c>
      <c r="N77" s="7" t="s">
        <v>27</v>
      </c>
      <c r="O77" s="7">
        <f t="shared" si="6"/>
        <v>77.42</v>
      </c>
      <c r="P77" s="7">
        <f t="shared" si="7"/>
        <v>77.42</v>
      </c>
      <c r="Q77" s="7" t="s">
        <v>28</v>
      </c>
      <c r="R77" s="8">
        <v>44777</v>
      </c>
      <c r="S77" s="8">
        <v>401768</v>
      </c>
      <c r="T77" s="7"/>
      <c r="U77" s="9">
        <f t="shared" si="5"/>
        <v>0</v>
      </c>
    </row>
    <row r="78" spans="1:21" x14ac:dyDescent="0.25">
      <c r="A78" s="2" t="s">
        <v>246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247</v>
      </c>
      <c r="J78" s="7">
        <v>0</v>
      </c>
      <c r="K78" s="7" t="s">
        <v>248</v>
      </c>
      <c r="L78" s="7" t="s">
        <v>26</v>
      </c>
      <c r="M78" s="7">
        <v>71.900000000000006</v>
      </c>
      <c r="N78" s="7" t="s">
        <v>27</v>
      </c>
      <c r="O78" s="7">
        <f t="shared" si="6"/>
        <v>71.900000000000006</v>
      </c>
      <c r="P78" s="7">
        <f t="shared" si="7"/>
        <v>71.900000000000006</v>
      </c>
      <c r="Q78" s="7" t="s">
        <v>28</v>
      </c>
      <c r="R78" s="8">
        <v>44474</v>
      </c>
      <c r="S78" s="8">
        <v>401768</v>
      </c>
      <c r="T78" s="7"/>
      <c r="U78" s="9">
        <f t="shared" si="5"/>
        <v>0</v>
      </c>
    </row>
    <row r="79" spans="1:21" x14ac:dyDescent="0.25">
      <c r="A79" s="2" t="s">
        <v>249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250</v>
      </c>
      <c r="J79" s="7">
        <v>0</v>
      </c>
      <c r="K79" s="7" t="s">
        <v>251</v>
      </c>
      <c r="L79" s="7" t="s">
        <v>26</v>
      </c>
      <c r="M79" s="7">
        <v>78.260000000000005</v>
      </c>
      <c r="N79" s="7" t="s">
        <v>27</v>
      </c>
      <c r="O79" s="7">
        <f t="shared" si="6"/>
        <v>78.260000000000005</v>
      </c>
      <c r="P79" s="7">
        <f t="shared" si="7"/>
        <v>78.260000000000005</v>
      </c>
      <c r="Q79" s="7" t="s">
        <v>28</v>
      </c>
      <c r="R79" s="8">
        <v>44474</v>
      </c>
      <c r="S79" s="8">
        <v>401768</v>
      </c>
      <c r="T79" s="7"/>
      <c r="U79" s="9">
        <f t="shared" si="5"/>
        <v>0</v>
      </c>
    </row>
    <row r="80" spans="1:21" x14ac:dyDescent="0.25">
      <c r="A80" s="2" t="s">
        <v>252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253</v>
      </c>
      <c r="J80" s="7">
        <v>0</v>
      </c>
      <c r="K80" s="7" t="s">
        <v>254</v>
      </c>
      <c r="L80" s="7" t="s">
        <v>26</v>
      </c>
      <c r="M80" s="7">
        <v>79.260000000000005</v>
      </c>
      <c r="N80" s="7" t="s">
        <v>27</v>
      </c>
      <c r="O80" s="7">
        <f t="shared" si="6"/>
        <v>79.260000000000005</v>
      </c>
      <c r="P80" s="7">
        <f t="shared" si="7"/>
        <v>79.260000000000005</v>
      </c>
      <c r="Q80" s="7" t="s">
        <v>28</v>
      </c>
      <c r="R80" s="8">
        <v>44474</v>
      </c>
      <c r="S80" s="8">
        <v>401768</v>
      </c>
      <c r="T80" s="7"/>
      <c r="U80" s="9">
        <f t="shared" si="5"/>
        <v>0</v>
      </c>
    </row>
    <row r="81" spans="1:21" x14ac:dyDescent="0.25">
      <c r="A81" s="2" t="s">
        <v>255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256</v>
      </c>
      <c r="J81" s="7">
        <v>0</v>
      </c>
      <c r="K81" s="7" t="s">
        <v>257</v>
      </c>
      <c r="L81" s="7" t="s">
        <v>26</v>
      </c>
      <c r="M81" s="7">
        <v>21.94</v>
      </c>
      <c r="N81" s="7" t="s">
        <v>27</v>
      </c>
      <c r="O81" s="7">
        <f t="shared" si="6"/>
        <v>21.94</v>
      </c>
      <c r="P81" s="7">
        <f t="shared" si="7"/>
        <v>21.94</v>
      </c>
      <c r="Q81" s="7" t="s">
        <v>28</v>
      </c>
      <c r="R81" s="8">
        <v>44474</v>
      </c>
      <c r="S81" s="8">
        <v>401768</v>
      </c>
      <c r="T81" s="7"/>
      <c r="U81" s="9">
        <f t="shared" si="5"/>
        <v>0</v>
      </c>
    </row>
    <row r="82" spans="1:21" x14ac:dyDescent="0.25">
      <c r="A82" s="2" t="s">
        <v>258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259</v>
      </c>
      <c r="J82" s="7">
        <v>0</v>
      </c>
      <c r="K82" s="7" t="s">
        <v>260</v>
      </c>
      <c r="L82" s="7" t="s">
        <v>26</v>
      </c>
      <c r="M82" s="7">
        <v>70.45</v>
      </c>
      <c r="N82" s="7" t="s">
        <v>27</v>
      </c>
      <c r="O82" s="7">
        <f t="shared" si="6"/>
        <v>70.45</v>
      </c>
      <c r="P82" s="7">
        <f t="shared" si="7"/>
        <v>70.45</v>
      </c>
      <c r="Q82" s="7" t="s">
        <v>28</v>
      </c>
      <c r="R82" s="8">
        <v>44474</v>
      </c>
      <c r="S82" s="8">
        <v>401768</v>
      </c>
      <c r="T82" s="7"/>
      <c r="U82" s="9">
        <f t="shared" si="5"/>
        <v>0</v>
      </c>
    </row>
    <row r="83" spans="1:21" x14ac:dyDescent="0.25">
      <c r="A83" s="2" t="s">
        <v>261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262</v>
      </c>
      <c r="J83" s="7">
        <v>0</v>
      </c>
      <c r="K83" s="7" t="s">
        <v>263</v>
      </c>
      <c r="L83" s="7" t="s">
        <v>26</v>
      </c>
      <c r="M83" s="7">
        <v>72.58</v>
      </c>
      <c r="N83" s="7" t="s">
        <v>27</v>
      </c>
      <c r="O83" s="7">
        <f t="shared" si="6"/>
        <v>72.58</v>
      </c>
      <c r="P83" s="7">
        <f t="shared" si="7"/>
        <v>72.58</v>
      </c>
      <c r="Q83" s="7" t="s">
        <v>28</v>
      </c>
      <c r="R83" s="8">
        <v>44474</v>
      </c>
      <c r="S83" s="8">
        <v>401768</v>
      </c>
      <c r="T83" s="7"/>
      <c r="U83" s="9">
        <f t="shared" si="5"/>
        <v>0</v>
      </c>
    </row>
    <row r="84" spans="1:21" x14ac:dyDescent="0.25">
      <c r="A84" s="2" t="s">
        <v>264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265</v>
      </c>
      <c r="J84" s="7">
        <v>0</v>
      </c>
      <c r="K84" s="7" t="s">
        <v>266</v>
      </c>
      <c r="L84" s="7" t="s">
        <v>26</v>
      </c>
      <c r="M84" s="7">
        <v>405</v>
      </c>
      <c r="N84" s="7" t="s">
        <v>27</v>
      </c>
      <c r="O84" s="7">
        <f t="shared" si="6"/>
        <v>405</v>
      </c>
      <c r="P84" s="7">
        <f t="shared" si="7"/>
        <v>405</v>
      </c>
      <c r="Q84" s="7" t="s">
        <v>28</v>
      </c>
      <c r="R84" s="8">
        <v>45104</v>
      </c>
      <c r="S84" s="8">
        <v>401768</v>
      </c>
      <c r="T84" s="7"/>
      <c r="U84" s="9">
        <f t="shared" si="5"/>
        <v>0</v>
      </c>
    </row>
    <row r="85" spans="1:21" x14ac:dyDescent="0.25">
      <c r="A85" s="2" t="s">
        <v>267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268</v>
      </c>
      <c r="J85" s="7">
        <v>0</v>
      </c>
      <c r="K85" s="7" t="s">
        <v>269</v>
      </c>
      <c r="L85" s="7" t="s">
        <v>26</v>
      </c>
      <c r="M85" s="7">
        <v>68.56</v>
      </c>
      <c r="N85" s="7" t="s">
        <v>27</v>
      </c>
      <c r="O85" s="7">
        <f t="shared" si="6"/>
        <v>68.56</v>
      </c>
      <c r="P85" s="7">
        <f t="shared" si="7"/>
        <v>68.56</v>
      </c>
      <c r="Q85" s="7" t="s">
        <v>28</v>
      </c>
      <c r="R85" s="8">
        <v>44474</v>
      </c>
      <c r="S85" s="8">
        <v>401768</v>
      </c>
      <c r="T85" s="7"/>
      <c r="U85" s="9">
        <f t="shared" si="5"/>
        <v>0</v>
      </c>
    </row>
    <row r="86" spans="1:21" x14ac:dyDescent="0.25">
      <c r="A86" s="2" t="s">
        <v>270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271</v>
      </c>
      <c r="J86" s="7">
        <v>0</v>
      </c>
      <c r="K86" s="7" t="s">
        <v>272</v>
      </c>
      <c r="L86" s="7" t="s">
        <v>26</v>
      </c>
      <c r="M86" s="7">
        <v>306.39999999999998</v>
      </c>
      <c r="N86" s="7" t="s">
        <v>27</v>
      </c>
      <c r="O86" s="7">
        <f t="shared" si="6"/>
        <v>306.39999999999998</v>
      </c>
      <c r="P86" s="7">
        <f t="shared" si="7"/>
        <v>306.39999999999998</v>
      </c>
      <c r="Q86" s="7" t="s">
        <v>28</v>
      </c>
      <c r="R86" s="8">
        <v>44474</v>
      </c>
      <c r="S86" s="8">
        <v>401768</v>
      </c>
      <c r="T86" s="7"/>
      <c r="U86" s="9">
        <f t="shared" si="5"/>
        <v>0</v>
      </c>
    </row>
    <row r="87" spans="1:21" x14ac:dyDescent="0.25">
      <c r="A87" s="2" t="s">
        <v>273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274</v>
      </c>
      <c r="J87" s="7">
        <v>0</v>
      </c>
      <c r="K87" s="7" t="s">
        <v>275</v>
      </c>
      <c r="L87" s="7" t="s">
        <v>26</v>
      </c>
      <c r="M87" s="7">
        <v>60.16</v>
      </c>
      <c r="N87" s="7" t="s">
        <v>27</v>
      </c>
      <c r="O87" s="7">
        <f t="shared" si="6"/>
        <v>60.16</v>
      </c>
      <c r="P87" s="7">
        <f t="shared" si="7"/>
        <v>60.16</v>
      </c>
      <c r="Q87" s="7" t="s">
        <v>28</v>
      </c>
      <c r="R87" s="8">
        <v>44474</v>
      </c>
      <c r="S87" s="8">
        <v>401768</v>
      </c>
      <c r="T87" s="7"/>
      <c r="U87" s="9">
        <f t="shared" si="5"/>
        <v>0</v>
      </c>
    </row>
    <row r="88" spans="1:21" x14ac:dyDescent="0.25">
      <c r="A88" s="2" t="s">
        <v>276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277</v>
      </c>
      <c r="J88" s="7">
        <v>0</v>
      </c>
      <c r="K88" s="7" t="s">
        <v>278</v>
      </c>
      <c r="L88" s="7" t="s">
        <v>26</v>
      </c>
      <c r="M88" s="7">
        <v>60.16</v>
      </c>
      <c r="N88" s="7" t="s">
        <v>27</v>
      </c>
      <c r="O88" s="7">
        <f t="shared" si="6"/>
        <v>60.16</v>
      </c>
      <c r="P88" s="7">
        <f t="shared" si="7"/>
        <v>60.16</v>
      </c>
      <c r="Q88" s="7" t="s">
        <v>28</v>
      </c>
      <c r="R88" s="8">
        <v>44474</v>
      </c>
      <c r="S88" s="8">
        <v>401768</v>
      </c>
      <c r="T88" s="7"/>
      <c r="U88" s="9">
        <f t="shared" si="5"/>
        <v>0</v>
      </c>
    </row>
    <row r="89" spans="1:21" x14ac:dyDescent="0.25">
      <c r="A89" s="2" t="s">
        <v>279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280</v>
      </c>
      <c r="J89" s="7">
        <v>0</v>
      </c>
      <c r="K89" s="7" t="s">
        <v>281</v>
      </c>
      <c r="L89" s="7" t="s">
        <v>26</v>
      </c>
      <c r="M89" s="7">
        <v>84.55</v>
      </c>
      <c r="N89" s="7" t="s">
        <v>27</v>
      </c>
      <c r="O89" s="7">
        <f t="shared" si="6"/>
        <v>84.55</v>
      </c>
      <c r="P89" s="7">
        <f t="shared" si="7"/>
        <v>84.55</v>
      </c>
      <c r="Q89" s="7" t="s">
        <v>28</v>
      </c>
      <c r="R89" s="8">
        <v>44474</v>
      </c>
      <c r="S89" s="8">
        <v>401768</v>
      </c>
      <c r="T89" s="7"/>
      <c r="U89" s="9">
        <f t="shared" si="5"/>
        <v>0</v>
      </c>
    </row>
    <row r="90" spans="1:21" x14ac:dyDescent="0.25">
      <c r="A90" s="2" t="s">
        <v>282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283</v>
      </c>
      <c r="J90" s="7">
        <v>0</v>
      </c>
      <c r="K90" s="7" t="s">
        <v>284</v>
      </c>
      <c r="L90" s="7" t="s">
        <v>26</v>
      </c>
      <c r="M90" s="7">
        <v>300</v>
      </c>
      <c r="N90" s="7" t="s">
        <v>27</v>
      </c>
      <c r="O90" s="7">
        <f t="shared" si="6"/>
        <v>300</v>
      </c>
      <c r="P90" s="7">
        <f t="shared" si="7"/>
        <v>300</v>
      </c>
      <c r="Q90" s="7" t="s">
        <v>28</v>
      </c>
      <c r="R90" s="8">
        <v>43645</v>
      </c>
      <c r="S90" s="8">
        <v>401768</v>
      </c>
      <c r="T90" s="7"/>
      <c r="U90" s="9">
        <f t="shared" si="5"/>
        <v>0</v>
      </c>
    </row>
    <row r="91" spans="1:21" x14ac:dyDescent="0.25">
      <c r="A91" s="2" t="s">
        <v>285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286</v>
      </c>
      <c r="J91" s="7">
        <v>0</v>
      </c>
      <c r="K91" s="7" t="s">
        <v>287</v>
      </c>
      <c r="L91" s="7" t="s">
        <v>26</v>
      </c>
      <c r="M91" s="7">
        <v>74.25</v>
      </c>
      <c r="N91" s="7" t="s">
        <v>27</v>
      </c>
      <c r="O91" s="7">
        <f t="shared" si="6"/>
        <v>74.25</v>
      </c>
      <c r="P91" s="7">
        <f t="shared" si="7"/>
        <v>74.25</v>
      </c>
      <c r="Q91" s="7" t="s">
        <v>28</v>
      </c>
      <c r="R91" s="8">
        <v>44474</v>
      </c>
      <c r="S91" s="8">
        <v>401768</v>
      </c>
      <c r="T91" s="7"/>
      <c r="U91" s="9">
        <f t="shared" si="5"/>
        <v>0</v>
      </c>
    </row>
    <row r="92" spans="1:21" x14ac:dyDescent="0.25">
      <c r="A92" s="2" t="s">
        <v>288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289</v>
      </c>
      <c r="J92" s="7">
        <v>0</v>
      </c>
      <c r="K92" s="7" t="s">
        <v>290</v>
      </c>
      <c r="L92" s="7" t="s">
        <v>26</v>
      </c>
      <c r="M92" s="7">
        <v>60.21</v>
      </c>
      <c r="N92" s="7" t="s">
        <v>27</v>
      </c>
      <c r="O92" s="7">
        <f t="shared" si="6"/>
        <v>60.21</v>
      </c>
      <c r="P92" s="7">
        <f t="shared" si="7"/>
        <v>60.21</v>
      </c>
      <c r="Q92" s="7" t="s">
        <v>28</v>
      </c>
      <c r="R92" s="8">
        <v>44474</v>
      </c>
      <c r="S92" s="8">
        <v>401768</v>
      </c>
      <c r="T92" s="7"/>
      <c r="U92" s="9">
        <f t="shared" si="5"/>
        <v>0</v>
      </c>
    </row>
    <row r="93" spans="1:21" x14ac:dyDescent="0.25">
      <c r="A93" s="2" t="s">
        <v>4974</v>
      </c>
      <c r="B93" s="6">
        <v>44011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5659</v>
      </c>
      <c r="J93" s="7">
        <v>0</v>
      </c>
      <c r="K93" s="7" t="s">
        <v>5660</v>
      </c>
      <c r="L93" s="7" t="s">
        <v>49</v>
      </c>
      <c r="M93" s="7">
        <v>1700000</v>
      </c>
      <c r="N93" s="7" t="s">
        <v>27</v>
      </c>
      <c r="O93" s="7">
        <f t="shared" si="6"/>
        <v>1700000</v>
      </c>
      <c r="P93" s="7">
        <f t="shared" si="7"/>
        <v>1700000</v>
      </c>
      <c r="Q93" s="7" t="s">
        <v>28</v>
      </c>
      <c r="R93" s="8">
        <v>44011</v>
      </c>
      <c r="S93" s="8">
        <v>401768</v>
      </c>
      <c r="T93" s="7"/>
      <c r="U93" s="9">
        <f t="shared" si="5"/>
        <v>0</v>
      </c>
    </row>
    <row r="94" spans="1:21" x14ac:dyDescent="0.25">
      <c r="A94" s="2" t="s">
        <v>3099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5662</v>
      </c>
      <c r="J94" s="7">
        <v>0</v>
      </c>
      <c r="K94" s="7" t="s">
        <v>5663</v>
      </c>
      <c r="L94" s="7" t="s">
        <v>49</v>
      </c>
      <c r="M94" s="7">
        <v>900000</v>
      </c>
      <c r="N94" s="7" t="s">
        <v>27</v>
      </c>
      <c r="O94" s="7">
        <f t="shared" si="6"/>
        <v>900000</v>
      </c>
      <c r="P94" s="7">
        <f t="shared" si="7"/>
        <v>900000</v>
      </c>
      <c r="Q94" s="7" t="s">
        <v>28</v>
      </c>
      <c r="R94" s="8">
        <v>44011</v>
      </c>
      <c r="S94" s="8">
        <v>401768</v>
      </c>
      <c r="T94" s="7"/>
      <c r="U94" s="9">
        <f t="shared" si="5"/>
        <v>0</v>
      </c>
    </row>
    <row r="95" spans="1:21" x14ac:dyDescent="0.25">
      <c r="A95" s="2" t="s">
        <v>3083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5664</v>
      </c>
      <c r="J95" s="7">
        <v>0</v>
      </c>
      <c r="K95" s="7" t="s">
        <v>5665</v>
      </c>
      <c r="L95" s="7" t="s">
        <v>49</v>
      </c>
      <c r="M95" s="7">
        <v>900000</v>
      </c>
      <c r="N95" s="7" t="s">
        <v>27</v>
      </c>
      <c r="O95" s="7">
        <f t="shared" si="6"/>
        <v>900000</v>
      </c>
      <c r="P95" s="7">
        <f t="shared" si="7"/>
        <v>900000</v>
      </c>
      <c r="Q95" s="7" t="s">
        <v>28</v>
      </c>
      <c r="R95" s="8">
        <v>44011</v>
      </c>
      <c r="S95" s="8">
        <v>401768</v>
      </c>
      <c r="T95" s="7"/>
      <c r="U95" s="9">
        <f t="shared" si="5"/>
        <v>0</v>
      </c>
    </row>
    <row r="96" spans="1:21" x14ac:dyDescent="0.25">
      <c r="A96" s="2" t="s">
        <v>215</v>
      </c>
      <c r="B96" s="6">
        <v>44306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5990</v>
      </c>
      <c r="J96" s="7">
        <v>0</v>
      </c>
      <c r="K96" s="7" t="s">
        <v>5991</v>
      </c>
      <c r="L96" s="7" t="s">
        <v>26</v>
      </c>
      <c r="M96" s="7">
        <v>18672</v>
      </c>
      <c r="N96" s="7" t="s">
        <v>27</v>
      </c>
      <c r="O96" s="7">
        <f t="shared" si="6"/>
        <v>18672</v>
      </c>
      <c r="P96" s="7">
        <f t="shared" si="7"/>
        <v>18672</v>
      </c>
      <c r="Q96" s="7" t="s">
        <v>28</v>
      </c>
      <c r="R96" s="8">
        <v>44929</v>
      </c>
      <c r="S96" s="8">
        <v>401768</v>
      </c>
      <c r="T96" s="7"/>
      <c r="U96" s="9">
        <f t="shared" si="5"/>
        <v>0</v>
      </c>
    </row>
    <row r="97" spans="1:21" x14ac:dyDescent="0.25">
      <c r="A97" s="2" t="s">
        <v>6520</v>
      </c>
      <c r="B97" s="6">
        <v>44930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6442</v>
      </c>
      <c r="J97" s="7">
        <v>0</v>
      </c>
      <c r="K97" s="7" t="s">
        <v>6443</v>
      </c>
      <c r="L97" s="7" t="s">
        <v>26</v>
      </c>
      <c r="M97" s="7">
        <v>18672</v>
      </c>
      <c r="N97" s="7" t="s">
        <v>27</v>
      </c>
      <c r="O97" s="7">
        <f t="shared" si="6"/>
        <v>18672</v>
      </c>
      <c r="P97" s="7">
        <f t="shared" si="7"/>
        <v>18672</v>
      </c>
      <c r="Q97" s="7" t="s">
        <v>28</v>
      </c>
      <c r="R97" s="8">
        <v>44930</v>
      </c>
      <c r="S97" s="8">
        <v>401768</v>
      </c>
      <c r="T97" s="7"/>
      <c r="U97" s="9">
        <f t="shared" si="5"/>
        <v>0</v>
      </c>
    </row>
    <row r="98" spans="1:21" x14ac:dyDescent="0.25">
      <c r="A98" s="2" t="s">
        <v>6936</v>
      </c>
      <c r="B98" s="6">
        <v>45434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7147</v>
      </c>
      <c r="H98" s="7" t="s">
        <v>7148</v>
      </c>
      <c r="I98" s="7" t="s">
        <v>7070</v>
      </c>
      <c r="J98" s="7">
        <v>0</v>
      </c>
      <c r="K98" s="7" t="s">
        <v>7016</v>
      </c>
      <c r="L98" s="7" t="s">
        <v>26</v>
      </c>
      <c r="M98" s="7">
        <v>6</v>
      </c>
      <c r="N98" s="7" t="s">
        <v>160</v>
      </c>
      <c r="O98" s="7">
        <v>110</v>
      </c>
      <c r="P98" s="7">
        <f t="shared" si="4"/>
        <v>660</v>
      </c>
      <c r="Q98" s="7" t="s">
        <v>28</v>
      </c>
      <c r="R98" s="8">
        <v>45434</v>
      </c>
      <c r="S98" s="8">
        <v>401768</v>
      </c>
      <c r="T98" s="7"/>
      <c r="U98" s="9">
        <f t="shared" si="5"/>
        <v>0</v>
      </c>
    </row>
    <row r="99" spans="1:21" x14ac:dyDescent="0.25">
      <c r="A99" s="2" t="s">
        <v>6975</v>
      </c>
      <c r="B99" s="6">
        <v>45493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7202</v>
      </c>
      <c r="J99" s="7">
        <v>0</v>
      </c>
      <c r="K99" s="7" t="s">
        <v>7203</v>
      </c>
      <c r="L99" s="7" t="s">
        <v>26</v>
      </c>
      <c r="M99" s="7">
        <v>0.5</v>
      </c>
      <c r="N99" s="7" t="s">
        <v>160</v>
      </c>
      <c r="O99" s="7">
        <v>110</v>
      </c>
      <c r="P99" s="7">
        <f t="shared" si="4"/>
        <v>55</v>
      </c>
      <c r="Q99" s="7" t="s">
        <v>28</v>
      </c>
      <c r="R99" s="8">
        <v>45493</v>
      </c>
      <c r="S99" s="8">
        <v>401768</v>
      </c>
      <c r="T99" s="7"/>
      <c r="U99" s="9">
        <f t="shared" si="5"/>
        <v>0</v>
      </c>
    </row>
    <row r="100" spans="1:21" x14ac:dyDescent="0.25">
      <c r="A100" s="2" t="s">
        <v>6979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7204</v>
      </c>
      <c r="J100" s="7">
        <v>0</v>
      </c>
      <c r="K100" s="7" t="s">
        <v>7205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4"/>
        <v>55</v>
      </c>
      <c r="Q100" s="7" t="s">
        <v>28</v>
      </c>
      <c r="R100" s="8">
        <v>45493</v>
      </c>
      <c r="S100" s="8">
        <v>401768</v>
      </c>
      <c r="T100" s="7"/>
      <c r="U100" s="9">
        <f t="shared" si="5"/>
        <v>0</v>
      </c>
    </row>
    <row r="101" spans="1:21" x14ac:dyDescent="0.25">
      <c r="A101" s="2" t="s">
        <v>7129</v>
      </c>
      <c r="B101" s="6">
        <v>45716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7386</v>
      </c>
      <c r="J101" s="7">
        <v>0</v>
      </c>
      <c r="K101" s="7" t="s">
        <v>7387</v>
      </c>
      <c r="L101" s="7" t="s">
        <v>26</v>
      </c>
      <c r="M101" s="7">
        <v>6</v>
      </c>
      <c r="N101" s="7" t="s">
        <v>160</v>
      </c>
      <c r="O101" s="7">
        <v>110</v>
      </c>
      <c r="P101" s="7">
        <f t="shared" si="4"/>
        <v>660</v>
      </c>
      <c r="Q101" s="7" t="s">
        <v>28</v>
      </c>
      <c r="R101" s="8">
        <v>45716</v>
      </c>
      <c r="S101" s="8">
        <v>401768</v>
      </c>
      <c r="T101" s="7"/>
      <c r="U101" s="9">
        <f t="shared" si="5"/>
        <v>0</v>
      </c>
    </row>
    <row r="102" spans="1:21" x14ac:dyDescent="0.25">
      <c r="A102" s="2" t="s">
        <v>7132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7398</v>
      </c>
      <c r="J102" s="7">
        <v>0</v>
      </c>
      <c r="K102" s="7" t="s">
        <v>7399</v>
      </c>
      <c r="L102" s="7" t="s">
        <v>26</v>
      </c>
      <c r="M102" s="7">
        <v>6</v>
      </c>
      <c r="N102" s="7" t="s">
        <v>7426</v>
      </c>
      <c r="O102" s="7">
        <v>0</v>
      </c>
      <c r="P102" s="7">
        <f t="shared" si="4"/>
        <v>0</v>
      </c>
      <c r="Q102" s="7" t="s">
        <v>28</v>
      </c>
      <c r="R102" s="8">
        <v>45718</v>
      </c>
      <c r="S102" s="8">
        <v>45718</v>
      </c>
      <c r="T102" s="7"/>
      <c r="U102" s="9">
        <f t="shared" si="5"/>
        <v>0</v>
      </c>
    </row>
    <row r="103" spans="1:21" x14ac:dyDescent="0.25">
      <c r="A103" s="2" t="s">
        <v>7144</v>
      </c>
      <c r="B103" s="6">
        <v>45719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7394</v>
      </c>
      <c r="J103" s="7">
        <v>0</v>
      </c>
      <c r="K103" s="7" t="s">
        <v>7395</v>
      </c>
      <c r="L103" s="7" t="s">
        <v>26</v>
      </c>
      <c r="M103" s="7">
        <v>6</v>
      </c>
      <c r="N103" s="7" t="s">
        <v>160</v>
      </c>
      <c r="O103" s="7">
        <v>110</v>
      </c>
      <c r="P103" s="7">
        <f t="shared" si="4"/>
        <v>660</v>
      </c>
      <c r="Q103" s="7" t="s">
        <v>28</v>
      </c>
      <c r="R103" s="8">
        <v>45775</v>
      </c>
      <c r="S103" s="8">
        <v>401768</v>
      </c>
      <c r="T103" s="7"/>
      <c r="U103" s="9">
        <f t="shared" si="5"/>
        <v>0</v>
      </c>
    </row>
    <row r="104" spans="1:21" x14ac:dyDescent="0.25">
      <c r="A104" s="2" t="s">
        <v>7149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7398</v>
      </c>
      <c r="J104" s="7">
        <v>0</v>
      </c>
      <c r="K104" s="7" t="s">
        <v>7399</v>
      </c>
      <c r="L104" s="7" t="s">
        <v>26</v>
      </c>
      <c r="M104" s="7">
        <v>0.5</v>
      </c>
      <c r="N104" s="7" t="s">
        <v>160</v>
      </c>
      <c r="O104" s="7">
        <v>110</v>
      </c>
      <c r="P104" s="7">
        <f t="shared" si="4"/>
        <v>55</v>
      </c>
      <c r="Q104" s="7" t="s">
        <v>28</v>
      </c>
      <c r="R104" s="8">
        <v>45719</v>
      </c>
      <c r="S104" s="8">
        <v>401768</v>
      </c>
      <c r="T104" s="7"/>
      <c r="U104" s="9">
        <f t="shared" si="5"/>
        <v>0</v>
      </c>
    </row>
    <row r="105" spans="1:21" x14ac:dyDescent="0.25">
      <c r="A105" s="2" t="s">
        <v>7417</v>
      </c>
      <c r="B105" s="6">
        <v>46107</v>
      </c>
      <c r="C105" s="7" t="s">
        <v>20</v>
      </c>
      <c r="D105" s="7" t="s">
        <v>21</v>
      </c>
      <c r="E105" s="7" t="s">
        <v>28</v>
      </c>
      <c r="F105" s="7" t="s">
        <v>28</v>
      </c>
      <c r="G105" s="7" t="s">
        <v>7147</v>
      </c>
      <c r="H105" s="7" t="s">
        <v>7148</v>
      </c>
      <c r="I105" s="7" t="s">
        <v>7396</v>
      </c>
      <c r="J105" s="7">
        <v>0</v>
      </c>
      <c r="K105" s="7" t="s">
        <v>7397</v>
      </c>
      <c r="L105" s="7" t="s">
        <v>26</v>
      </c>
      <c r="M105" s="7">
        <v>6.53</v>
      </c>
      <c r="N105" s="7" t="s">
        <v>160</v>
      </c>
      <c r="O105" s="7">
        <v>110</v>
      </c>
      <c r="P105" s="7">
        <f t="shared" si="4"/>
        <v>718.30000000000007</v>
      </c>
      <c r="Q105" s="7" t="s">
        <v>28</v>
      </c>
      <c r="R105" s="8">
        <v>46107</v>
      </c>
      <c r="S105" s="8">
        <v>401768</v>
      </c>
      <c r="T105" s="7"/>
      <c r="U105" s="9">
        <f t="shared" si="5"/>
        <v>0</v>
      </c>
    </row>
    <row r="106" spans="1:21" x14ac:dyDescent="0.25">
      <c r="A106" s="2" t="s">
        <v>6240</v>
      </c>
      <c r="B106" s="6">
        <v>44629</v>
      </c>
      <c r="C106" s="7" t="s">
        <v>20</v>
      </c>
      <c r="D106" s="7" t="s">
        <v>21</v>
      </c>
      <c r="E106" s="7" t="s">
        <v>20</v>
      </c>
      <c r="F106" s="7" t="s">
        <v>21</v>
      </c>
      <c r="G106" s="7" t="s">
        <v>6241</v>
      </c>
      <c r="H106" s="7" t="s">
        <v>6242</v>
      </c>
      <c r="I106" s="7" t="s">
        <v>6243</v>
      </c>
      <c r="J106" s="7">
        <v>0</v>
      </c>
      <c r="K106" s="7" t="s">
        <v>6244</v>
      </c>
      <c r="L106" s="7" t="s">
        <v>26</v>
      </c>
      <c r="M106" s="7">
        <v>5</v>
      </c>
      <c r="N106" s="7" t="s">
        <v>27</v>
      </c>
      <c r="O106" s="7">
        <f>M106</f>
        <v>5</v>
      </c>
      <c r="P106" s="7">
        <f>O106</f>
        <v>5</v>
      </c>
      <c r="Q106" s="7" t="s">
        <v>28</v>
      </c>
      <c r="R106" s="8">
        <v>44630</v>
      </c>
      <c r="S106" s="8">
        <v>401768</v>
      </c>
      <c r="T106" s="7"/>
      <c r="U106" s="9">
        <f t="shared" si="5"/>
        <v>0</v>
      </c>
    </row>
    <row r="107" spans="1:21" x14ac:dyDescent="0.25">
      <c r="A107" s="2" t="s">
        <v>811</v>
      </c>
      <c r="B107" s="6">
        <v>43959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801</v>
      </c>
      <c r="H107" s="7" t="s">
        <v>802</v>
      </c>
      <c r="I107" s="7" t="s">
        <v>812</v>
      </c>
      <c r="J107" s="7">
        <v>0</v>
      </c>
      <c r="K107" s="7" t="s">
        <v>813</v>
      </c>
      <c r="L107" s="7" t="s">
        <v>26</v>
      </c>
      <c r="M107" s="7">
        <v>5.96</v>
      </c>
      <c r="N107" s="7" t="s">
        <v>619</v>
      </c>
      <c r="O107" s="7">
        <v>95</v>
      </c>
      <c r="P107" s="7">
        <f t="shared" si="4"/>
        <v>566.20000000000005</v>
      </c>
      <c r="Q107" s="7" t="s">
        <v>28</v>
      </c>
      <c r="R107" s="8">
        <v>46153</v>
      </c>
      <c r="S107" s="8">
        <v>401768</v>
      </c>
      <c r="T107" s="7"/>
      <c r="U107" s="9">
        <f t="shared" si="5"/>
        <v>0</v>
      </c>
    </row>
    <row r="108" spans="1:21" x14ac:dyDescent="0.25">
      <c r="A108" s="2" t="s">
        <v>814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815</v>
      </c>
      <c r="J108" s="7">
        <v>0</v>
      </c>
      <c r="K108" s="7" t="s">
        <v>816</v>
      </c>
      <c r="L108" s="7" t="s">
        <v>26</v>
      </c>
      <c r="M108" s="7">
        <v>0.66</v>
      </c>
      <c r="N108" s="7" t="s">
        <v>619</v>
      </c>
      <c r="O108" s="7">
        <v>95</v>
      </c>
      <c r="P108" s="7">
        <f t="shared" si="4"/>
        <v>62.7</v>
      </c>
      <c r="Q108" s="7" t="s">
        <v>28</v>
      </c>
      <c r="R108" s="8">
        <v>46153</v>
      </c>
      <c r="S108" s="8">
        <v>401768</v>
      </c>
      <c r="T108" s="7"/>
      <c r="U108" s="9">
        <f t="shared" si="5"/>
        <v>0</v>
      </c>
    </row>
    <row r="109" spans="1:21" x14ac:dyDescent="0.25">
      <c r="A109" s="2" t="s">
        <v>817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818</v>
      </c>
      <c r="J109" s="7">
        <v>0</v>
      </c>
      <c r="K109" s="7" t="s">
        <v>819</v>
      </c>
      <c r="L109" s="7" t="s">
        <v>26</v>
      </c>
      <c r="M109" s="7">
        <v>0.89</v>
      </c>
      <c r="N109" s="7" t="s">
        <v>619</v>
      </c>
      <c r="O109" s="7">
        <v>95</v>
      </c>
      <c r="P109" s="7">
        <f t="shared" si="4"/>
        <v>84.55</v>
      </c>
      <c r="Q109" s="7" t="s">
        <v>28</v>
      </c>
      <c r="R109" s="8">
        <v>44734</v>
      </c>
      <c r="S109" s="8">
        <v>401768</v>
      </c>
      <c r="T109" s="7"/>
      <c r="U109" s="9">
        <f t="shared" si="5"/>
        <v>0</v>
      </c>
    </row>
    <row r="110" spans="1:21" x14ac:dyDescent="0.25">
      <c r="A110" s="2" t="s">
        <v>820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821</v>
      </c>
      <c r="J110" s="7">
        <v>0</v>
      </c>
      <c r="K110" s="7" t="s">
        <v>822</v>
      </c>
      <c r="L110" s="7" t="s">
        <v>26</v>
      </c>
      <c r="M110" s="7">
        <v>0.69</v>
      </c>
      <c r="N110" s="7" t="s">
        <v>619</v>
      </c>
      <c r="O110" s="7">
        <v>95</v>
      </c>
      <c r="P110" s="7">
        <f t="shared" si="4"/>
        <v>65.55</v>
      </c>
      <c r="Q110" s="7" t="s">
        <v>28</v>
      </c>
      <c r="R110" s="8">
        <v>46153</v>
      </c>
      <c r="S110" s="8">
        <v>401768</v>
      </c>
      <c r="T110" s="7"/>
      <c r="U110" s="9">
        <f t="shared" si="5"/>
        <v>0</v>
      </c>
    </row>
    <row r="111" spans="1:21" x14ac:dyDescent="0.25">
      <c r="A111" s="2" t="s">
        <v>823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824</v>
      </c>
      <c r="J111" s="7">
        <v>0</v>
      </c>
      <c r="K111" s="7" t="s">
        <v>825</v>
      </c>
      <c r="L111" s="7" t="s">
        <v>26</v>
      </c>
      <c r="M111" s="7">
        <v>5.75</v>
      </c>
      <c r="N111" s="7" t="s">
        <v>619</v>
      </c>
      <c r="O111" s="7">
        <v>95</v>
      </c>
      <c r="P111" s="7">
        <f t="shared" si="4"/>
        <v>546.25</v>
      </c>
      <c r="Q111" s="7" t="s">
        <v>28</v>
      </c>
      <c r="R111" s="8">
        <v>43427</v>
      </c>
      <c r="S111" s="8">
        <v>401768</v>
      </c>
      <c r="T111" s="7"/>
      <c r="U111" s="9">
        <f t="shared" si="5"/>
        <v>0</v>
      </c>
    </row>
    <row r="112" spans="1:21" x14ac:dyDescent="0.25">
      <c r="A112" s="2" t="s">
        <v>826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827</v>
      </c>
      <c r="J112" s="7">
        <v>0</v>
      </c>
      <c r="K112" s="7" t="s">
        <v>828</v>
      </c>
      <c r="L112" s="7" t="s">
        <v>26</v>
      </c>
      <c r="M112" s="7">
        <v>7.55</v>
      </c>
      <c r="N112" s="7" t="s">
        <v>619</v>
      </c>
      <c r="O112" s="7">
        <v>95</v>
      </c>
      <c r="P112" s="7">
        <f t="shared" si="4"/>
        <v>717.25</v>
      </c>
      <c r="Q112" s="7" t="s">
        <v>28</v>
      </c>
      <c r="R112" s="8">
        <v>43319</v>
      </c>
      <c r="S112" s="8">
        <v>401768</v>
      </c>
      <c r="T112" s="7"/>
      <c r="U112" s="9">
        <f t="shared" si="5"/>
        <v>0</v>
      </c>
    </row>
    <row r="113" spans="1:21" x14ac:dyDescent="0.25">
      <c r="A113" s="2" t="s">
        <v>829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830</v>
      </c>
      <c r="J113" s="7">
        <v>0</v>
      </c>
      <c r="K113" s="7" t="s">
        <v>831</v>
      </c>
      <c r="L113" s="7" t="s">
        <v>26</v>
      </c>
      <c r="M113" s="7">
        <v>9.9600000000000009</v>
      </c>
      <c r="N113" s="7" t="s">
        <v>619</v>
      </c>
      <c r="O113" s="7">
        <v>95</v>
      </c>
      <c r="P113" s="7">
        <f t="shared" si="4"/>
        <v>946.2</v>
      </c>
      <c r="Q113" s="7" t="s">
        <v>28</v>
      </c>
      <c r="R113" s="8">
        <v>46153</v>
      </c>
      <c r="S113" s="8">
        <v>401768</v>
      </c>
      <c r="T113" s="7"/>
      <c r="U113" s="9">
        <f t="shared" si="5"/>
        <v>0</v>
      </c>
    </row>
    <row r="114" spans="1:21" x14ac:dyDescent="0.25">
      <c r="A114" s="2" t="s">
        <v>835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836</v>
      </c>
      <c r="J114" s="7">
        <v>0</v>
      </c>
      <c r="K114" s="7" t="s">
        <v>837</v>
      </c>
      <c r="L114" s="7" t="s">
        <v>26</v>
      </c>
      <c r="M114" s="7">
        <v>16.75722</v>
      </c>
      <c r="N114" s="7" t="s">
        <v>619</v>
      </c>
      <c r="O114" s="7">
        <v>95</v>
      </c>
      <c r="P114" s="7">
        <f t="shared" si="4"/>
        <v>1591.9358999999999</v>
      </c>
      <c r="Q114" s="7" t="s">
        <v>28</v>
      </c>
      <c r="R114" s="8">
        <v>43237</v>
      </c>
      <c r="S114" s="8">
        <v>401768</v>
      </c>
      <c r="T114" s="7"/>
      <c r="U114" s="9">
        <f t="shared" si="5"/>
        <v>0</v>
      </c>
    </row>
    <row r="115" spans="1:21" x14ac:dyDescent="0.25">
      <c r="A115" s="2" t="s">
        <v>838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839</v>
      </c>
      <c r="J115" s="7">
        <v>0</v>
      </c>
      <c r="K115" s="7" t="s">
        <v>840</v>
      </c>
      <c r="L115" s="7" t="s">
        <v>26</v>
      </c>
      <c r="M115" s="7">
        <v>6.92</v>
      </c>
      <c r="N115" s="7" t="s">
        <v>619</v>
      </c>
      <c r="O115" s="7">
        <v>95</v>
      </c>
      <c r="P115" s="7">
        <f t="shared" si="4"/>
        <v>657.4</v>
      </c>
      <c r="Q115" s="7" t="s">
        <v>28</v>
      </c>
      <c r="R115" s="8">
        <v>46153</v>
      </c>
      <c r="S115" s="8">
        <v>401768</v>
      </c>
      <c r="T115" s="7"/>
      <c r="U115" s="9">
        <f t="shared" si="5"/>
        <v>0</v>
      </c>
    </row>
    <row r="116" spans="1:21" x14ac:dyDescent="0.25">
      <c r="A116" s="2" t="s">
        <v>841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842</v>
      </c>
      <c r="J116" s="7">
        <v>0</v>
      </c>
      <c r="K116" s="7" t="s">
        <v>843</v>
      </c>
      <c r="L116" s="7" t="s">
        <v>26</v>
      </c>
      <c r="M116" s="7">
        <v>5.74</v>
      </c>
      <c r="N116" s="7" t="s">
        <v>619</v>
      </c>
      <c r="O116" s="7">
        <v>95</v>
      </c>
      <c r="P116" s="7">
        <f t="shared" si="4"/>
        <v>545.30000000000007</v>
      </c>
      <c r="Q116" s="7" t="s">
        <v>28</v>
      </c>
      <c r="R116" s="8">
        <v>46153</v>
      </c>
      <c r="S116" s="8">
        <v>401768</v>
      </c>
      <c r="T116" s="7"/>
      <c r="U116" s="9">
        <f t="shared" si="5"/>
        <v>0</v>
      </c>
    </row>
    <row r="117" spans="1:21" x14ac:dyDescent="0.25">
      <c r="A117" s="2" t="s">
        <v>844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845</v>
      </c>
      <c r="J117" s="7">
        <v>0</v>
      </c>
      <c r="K117" s="7" t="s">
        <v>846</v>
      </c>
      <c r="L117" s="7" t="s">
        <v>26</v>
      </c>
      <c r="M117" s="7">
        <v>2.4900000000000002</v>
      </c>
      <c r="N117" s="7" t="s">
        <v>619</v>
      </c>
      <c r="O117" s="7">
        <v>95</v>
      </c>
      <c r="P117" s="7">
        <f t="shared" si="4"/>
        <v>236.55</v>
      </c>
      <c r="Q117" s="7" t="s">
        <v>28</v>
      </c>
      <c r="R117" s="8">
        <v>45254</v>
      </c>
      <c r="S117" s="8">
        <v>401768</v>
      </c>
      <c r="T117" s="7"/>
      <c r="U117" s="9">
        <f t="shared" si="5"/>
        <v>0</v>
      </c>
    </row>
    <row r="118" spans="1:21" x14ac:dyDescent="0.25">
      <c r="A118" s="2" t="s">
        <v>847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848</v>
      </c>
      <c r="J118" s="7">
        <v>0</v>
      </c>
      <c r="K118" s="7" t="s">
        <v>849</v>
      </c>
      <c r="L118" s="7" t="s">
        <v>26</v>
      </c>
      <c r="M118" s="7">
        <v>20.75</v>
      </c>
      <c r="N118" s="7" t="s">
        <v>619</v>
      </c>
      <c r="O118" s="7">
        <v>95</v>
      </c>
      <c r="P118" s="7">
        <f t="shared" si="4"/>
        <v>1971.25</v>
      </c>
      <c r="Q118" s="7" t="s">
        <v>28</v>
      </c>
      <c r="R118" s="8">
        <v>46153</v>
      </c>
      <c r="S118" s="8">
        <v>401768</v>
      </c>
      <c r="T118" s="7"/>
      <c r="U118" s="9">
        <f t="shared" si="5"/>
        <v>0</v>
      </c>
    </row>
    <row r="119" spans="1:21" x14ac:dyDescent="0.25">
      <c r="A119" s="2" t="s">
        <v>363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850</v>
      </c>
      <c r="J119" s="7">
        <v>0</v>
      </c>
      <c r="K119" s="7" t="s">
        <v>851</v>
      </c>
      <c r="L119" s="7" t="s">
        <v>26</v>
      </c>
      <c r="M119" s="7">
        <v>23.05</v>
      </c>
      <c r="N119" s="7" t="s">
        <v>619</v>
      </c>
      <c r="O119" s="7">
        <v>95</v>
      </c>
      <c r="P119" s="7">
        <f t="shared" si="4"/>
        <v>2189.75</v>
      </c>
      <c r="Q119" s="7" t="s">
        <v>28</v>
      </c>
      <c r="R119" s="8">
        <v>46153</v>
      </c>
      <c r="S119" s="8">
        <v>401768</v>
      </c>
      <c r="T119" s="7"/>
      <c r="U119" s="9">
        <f t="shared" si="5"/>
        <v>0</v>
      </c>
    </row>
    <row r="120" spans="1:21" x14ac:dyDescent="0.25">
      <c r="A120" s="2" t="s">
        <v>852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853</v>
      </c>
      <c r="J120" s="7">
        <v>0</v>
      </c>
      <c r="K120" s="7" t="s">
        <v>854</v>
      </c>
      <c r="L120" s="7" t="s">
        <v>26</v>
      </c>
      <c r="M120" s="7">
        <v>2.4</v>
      </c>
      <c r="N120" s="7" t="s">
        <v>619</v>
      </c>
      <c r="O120" s="7">
        <v>95</v>
      </c>
      <c r="P120" s="7">
        <f t="shared" si="4"/>
        <v>228</v>
      </c>
      <c r="Q120" s="7" t="s">
        <v>28</v>
      </c>
      <c r="R120" s="8">
        <v>43512</v>
      </c>
      <c r="S120" s="8">
        <v>401768</v>
      </c>
      <c r="T120" s="7"/>
      <c r="U120" s="9">
        <f t="shared" si="5"/>
        <v>0</v>
      </c>
    </row>
    <row r="121" spans="1:21" x14ac:dyDescent="0.25">
      <c r="A121" s="2" t="s">
        <v>855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856</v>
      </c>
      <c r="J121" s="7">
        <v>0</v>
      </c>
      <c r="K121" s="7" t="s">
        <v>857</v>
      </c>
      <c r="L121" s="7" t="s">
        <v>26</v>
      </c>
      <c r="M121" s="7">
        <v>31.98</v>
      </c>
      <c r="N121" s="7" t="s">
        <v>619</v>
      </c>
      <c r="O121" s="7">
        <v>95</v>
      </c>
      <c r="P121" s="7">
        <f t="shared" si="4"/>
        <v>3038.1</v>
      </c>
      <c r="Q121" s="7" t="s">
        <v>28</v>
      </c>
      <c r="R121" s="8">
        <v>46153</v>
      </c>
      <c r="S121" s="8">
        <v>401768</v>
      </c>
      <c r="T121" s="7"/>
      <c r="U121" s="9">
        <f t="shared" si="5"/>
        <v>0</v>
      </c>
    </row>
    <row r="122" spans="1:21" x14ac:dyDescent="0.25">
      <c r="A122" s="2" t="s">
        <v>858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859</v>
      </c>
      <c r="J122" s="7">
        <v>0</v>
      </c>
      <c r="K122" s="7" t="s">
        <v>860</v>
      </c>
      <c r="L122" s="7" t="s">
        <v>26</v>
      </c>
      <c r="M122" s="7">
        <v>22.64</v>
      </c>
      <c r="N122" s="7" t="s">
        <v>619</v>
      </c>
      <c r="O122" s="7">
        <v>95</v>
      </c>
      <c r="P122" s="7">
        <f t="shared" si="4"/>
        <v>2150.8000000000002</v>
      </c>
      <c r="Q122" s="7" t="s">
        <v>28</v>
      </c>
      <c r="R122" s="8">
        <v>43230</v>
      </c>
      <c r="S122" s="8">
        <v>401768</v>
      </c>
      <c r="T122" s="7"/>
      <c r="U122" s="9">
        <f t="shared" si="5"/>
        <v>0</v>
      </c>
    </row>
    <row r="123" spans="1:21" x14ac:dyDescent="0.25">
      <c r="A123" s="2" t="s">
        <v>861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862</v>
      </c>
      <c r="J123" s="7">
        <v>0</v>
      </c>
      <c r="K123" s="7" t="s">
        <v>863</v>
      </c>
      <c r="L123" s="7" t="s">
        <v>26</v>
      </c>
      <c r="M123" s="7">
        <v>6.92</v>
      </c>
      <c r="N123" s="7" t="s">
        <v>619</v>
      </c>
      <c r="O123" s="7">
        <v>95</v>
      </c>
      <c r="P123" s="7">
        <f t="shared" si="4"/>
        <v>657.4</v>
      </c>
      <c r="Q123" s="7" t="s">
        <v>28</v>
      </c>
      <c r="R123" s="8">
        <v>46153</v>
      </c>
      <c r="S123" s="8">
        <v>401768</v>
      </c>
      <c r="T123" s="7"/>
      <c r="U123" s="9">
        <f t="shared" si="5"/>
        <v>0</v>
      </c>
    </row>
    <row r="124" spans="1:21" x14ac:dyDescent="0.25">
      <c r="A124" s="2" t="s">
        <v>864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865</v>
      </c>
      <c r="J124" s="7">
        <v>0</v>
      </c>
      <c r="K124" s="7" t="s">
        <v>866</v>
      </c>
      <c r="L124" s="7" t="s">
        <v>26</v>
      </c>
      <c r="M124" s="7">
        <v>5.26</v>
      </c>
      <c r="N124" s="7" t="s">
        <v>619</v>
      </c>
      <c r="O124" s="7">
        <v>95</v>
      </c>
      <c r="P124" s="7">
        <f t="shared" si="4"/>
        <v>499.7</v>
      </c>
      <c r="Q124" s="7" t="s">
        <v>28</v>
      </c>
      <c r="R124" s="8">
        <v>46153</v>
      </c>
      <c r="S124" s="8">
        <v>401768</v>
      </c>
      <c r="T124" s="7"/>
      <c r="U124" s="9">
        <f t="shared" si="5"/>
        <v>0</v>
      </c>
    </row>
    <row r="125" spans="1:21" x14ac:dyDescent="0.25">
      <c r="A125" s="2" t="s">
        <v>5646</v>
      </c>
      <c r="B125" s="6">
        <v>43990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5420</v>
      </c>
      <c r="J125" s="7">
        <v>0</v>
      </c>
      <c r="K125" s="7" t="s">
        <v>5421</v>
      </c>
      <c r="L125" s="7" t="s">
        <v>26</v>
      </c>
      <c r="M125" s="7">
        <v>8.9</v>
      </c>
      <c r="N125" s="7" t="s">
        <v>619</v>
      </c>
      <c r="O125" s="7">
        <v>95</v>
      </c>
      <c r="P125" s="7">
        <f t="shared" si="4"/>
        <v>845.5</v>
      </c>
      <c r="Q125" s="7" t="s">
        <v>28</v>
      </c>
      <c r="R125" s="8">
        <v>46153</v>
      </c>
      <c r="S125" s="8">
        <v>401768</v>
      </c>
      <c r="T125" s="7"/>
      <c r="U125" s="9">
        <f t="shared" si="5"/>
        <v>0</v>
      </c>
    </row>
    <row r="126" spans="1:21" x14ac:dyDescent="0.25">
      <c r="A126" s="2" t="s">
        <v>6013</v>
      </c>
      <c r="B126" s="6">
        <v>44345</v>
      </c>
      <c r="C126" s="7" t="s">
        <v>20</v>
      </c>
      <c r="D126" s="7" t="s">
        <v>21</v>
      </c>
      <c r="E126" s="7" t="s">
        <v>28</v>
      </c>
      <c r="F126" s="7" t="s">
        <v>28</v>
      </c>
      <c r="G126" s="7" t="s">
        <v>801</v>
      </c>
      <c r="H126" s="7" t="s">
        <v>802</v>
      </c>
      <c r="I126" s="7" t="s">
        <v>6014</v>
      </c>
      <c r="J126" s="7">
        <v>0</v>
      </c>
      <c r="K126" s="7" t="s">
        <v>6015</v>
      </c>
      <c r="L126" s="7" t="s">
        <v>49</v>
      </c>
      <c r="M126" s="7">
        <v>48000</v>
      </c>
      <c r="N126" s="7" t="s">
        <v>619</v>
      </c>
      <c r="O126" s="7">
        <v>95</v>
      </c>
      <c r="P126" s="7">
        <f t="shared" si="4"/>
        <v>4560000</v>
      </c>
      <c r="Q126" s="7" t="s">
        <v>28</v>
      </c>
      <c r="R126" s="8">
        <v>44345</v>
      </c>
      <c r="S126" s="8">
        <v>401768</v>
      </c>
      <c r="T126" s="7"/>
      <c r="U126" s="9">
        <f t="shared" si="5"/>
        <v>0</v>
      </c>
    </row>
    <row r="127" spans="1:21" x14ac:dyDescent="0.25">
      <c r="A127" s="2" t="s">
        <v>6523</v>
      </c>
      <c r="B127" s="6">
        <v>44936</v>
      </c>
      <c r="C127" s="7" t="s">
        <v>20</v>
      </c>
      <c r="D127" s="7" t="s">
        <v>21</v>
      </c>
      <c r="E127" s="7" t="s">
        <v>20</v>
      </c>
      <c r="F127" s="7" t="s">
        <v>21</v>
      </c>
      <c r="G127" s="7" t="s">
        <v>801</v>
      </c>
      <c r="H127" s="7" t="s">
        <v>802</v>
      </c>
      <c r="I127" s="7" t="s">
        <v>6524</v>
      </c>
      <c r="J127" s="7">
        <v>0</v>
      </c>
      <c r="K127" s="7" t="s">
        <v>6525</v>
      </c>
      <c r="L127" s="7" t="s">
        <v>26</v>
      </c>
      <c r="M127" s="7">
        <v>2.78</v>
      </c>
      <c r="N127" s="7" t="s">
        <v>619</v>
      </c>
      <c r="O127" s="7">
        <v>95</v>
      </c>
      <c r="P127" s="7">
        <f t="shared" si="4"/>
        <v>264.09999999999997</v>
      </c>
      <c r="Q127" s="7" t="s">
        <v>28</v>
      </c>
      <c r="R127" s="8">
        <v>44936</v>
      </c>
      <c r="S127" s="8">
        <v>401768</v>
      </c>
      <c r="T127" s="7"/>
      <c r="U127" s="9">
        <f t="shared" si="5"/>
        <v>0</v>
      </c>
    </row>
    <row r="128" spans="1:21" x14ac:dyDescent="0.25">
      <c r="A128" s="2" t="s">
        <v>7223</v>
      </c>
      <c r="B128" s="6">
        <v>45777</v>
      </c>
      <c r="C128" s="7" t="s">
        <v>20</v>
      </c>
      <c r="D128" s="7" t="s">
        <v>21</v>
      </c>
      <c r="E128" s="7" t="s">
        <v>28</v>
      </c>
      <c r="F128" s="7" t="s">
        <v>28</v>
      </c>
      <c r="G128" s="7" t="s">
        <v>801</v>
      </c>
      <c r="H128" s="7" t="s">
        <v>802</v>
      </c>
      <c r="I128" s="7" t="s">
        <v>5522</v>
      </c>
      <c r="J128" s="7">
        <v>0</v>
      </c>
      <c r="K128" s="7" t="s">
        <v>5523</v>
      </c>
      <c r="L128" s="7" t="s">
        <v>26</v>
      </c>
      <c r="M128" s="7">
        <v>5.3</v>
      </c>
      <c r="N128" s="7" t="s">
        <v>619</v>
      </c>
      <c r="O128" s="7">
        <v>95</v>
      </c>
      <c r="P128" s="7">
        <f t="shared" si="4"/>
        <v>503.5</v>
      </c>
      <c r="Q128" s="7" t="s">
        <v>28</v>
      </c>
      <c r="R128" s="8">
        <v>45777</v>
      </c>
      <c r="S128" s="8">
        <v>401768</v>
      </c>
      <c r="T128" s="7"/>
      <c r="U128" s="9">
        <f t="shared" si="5"/>
        <v>0</v>
      </c>
    </row>
    <row r="129" spans="1:21" x14ac:dyDescent="0.25">
      <c r="A129" s="2" t="s">
        <v>7337</v>
      </c>
      <c r="B129" s="6">
        <v>46057</v>
      </c>
      <c r="C129" s="7" t="s">
        <v>20</v>
      </c>
      <c r="D129" s="7" t="s">
        <v>21</v>
      </c>
      <c r="E129" s="7" t="s">
        <v>20</v>
      </c>
      <c r="F129" s="7" t="s">
        <v>21</v>
      </c>
      <c r="G129" s="7" t="s">
        <v>801</v>
      </c>
      <c r="H129" s="7" t="s">
        <v>802</v>
      </c>
      <c r="I129" s="7" t="s">
        <v>7603</v>
      </c>
      <c r="J129" s="7">
        <v>0</v>
      </c>
      <c r="K129" s="7" t="s">
        <v>7604</v>
      </c>
      <c r="L129" s="7" t="s">
        <v>26</v>
      </c>
      <c r="M129" s="7">
        <v>8.2200000000000006</v>
      </c>
      <c r="N129" s="7" t="s">
        <v>619</v>
      </c>
      <c r="O129" s="7">
        <v>95</v>
      </c>
      <c r="P129" s="7">
        <f t="shared" si="4"/>
        <v>780.90000000000009</v>
      </c>
      <c r="Q129" s="7" t="s">
        <v>28</v>
      </c>
      <c r="R129" s="8">
        <v>46153</v>
      </c>
      <c r="S129" s="8">
        <v>401768</v>
      </c>
      <c r="T129" s="7"/>
      <c r="U129" s="9">
        <f t="shared" si="5"/>
        <v>0</v>
      </c>
    </row>
    <row r="130" spans="1:21" x14ac:dyDescent="0.25">
      <c r="A130" s="2" t="s">
        <v>7350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7605</v>
      </c>
      <c r="J130" s="7">
        <v>0</v>
      </c>
      <c r="K130" s="7" t="s">
        <v>7606</v>
      </c>
      <c r="L130" s="7" t="s">
        <v>26</v>
      </c>
      <c r="M130" s="7">
        <v>5.97</v>
      </c>
      <c r="N130" s="7" t="s">
        <v>619</v>
      </c>
      <c r="O130" s="7">
        <v>95</v>
      </c>
      <c r="P130" s="7">
        <f t="shared" si="4"/>
        <v>567.15</v>
      </c>
      <c r="Q130" s="7" t="s">
        <v>28</v>
      </c>
      <c r="R130" s="8">
        <v>46153</v>
      </c>
      <c r="S130" s="8">
        <v>401768</v>
      </c>
      <c r="T130" s="7"/>
      <c r="U130" s="9">
        <f t="shared" si="5"/>
        <v>0</v>
      </c>
    </row>
    <row r="131" spans="1:21" x14ac:dyDescent="0.25">
      <c r="A131" s="2" t="s">
        <v>5173</v>
      </c>
      <c r="B131" s="6">
        <v>44895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6468</v>
      </c>
      <c r="H131" s="7" t="s">
        <v>6469</v>
      </c>
      <c r="I131" s="7" t="s">
        <v>6503</v>
      </c>
      <c r="J131" s="7">
        <v>0</v>
      </c>
      <c r="K131" s="7" t="s">
        <v>6504</v>
      </c>
      <c r="L131" s="7" t="s">
        <v>26</v>
      </c>
      <c r="M131" s="7">
        <v>1178</v>
      </c>
      <c r="N131" s="7" t="s">
        <v>27</v>
      </c>
      <c r="O131" s="7">
        <f>M131</f>
        <v>1178</v>
      </c>
      <c r="P131" s="7">
        <f>O131</f>
        <v>1178</v>
      </c>
      <c r="Q131" s="7" t="s">
        <v>28</v>
      </c>
      <c r="R131" s="8">
        <v>46161</v>
      </c>
      <c r="S131" s="8">
        <v>401768</v>
      </c>
      <c r="T131" s="7">
        <v>1000</v>
      </c>
      <c r="U131" s="9">
        <f t="shared" ref="U131:U194" si="8">T131*P131/100000</f>
        <v>11.78</v>
      </c>
    </row>
    <row r="132" spans="1:21" x14ac:dyDescent="0.25">
      <c r="A132" s="2" t="s">
        <v>783</v>
      </c>
      <c r="B132" s="6">
        <v>43959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784</v>
      </c>
      <c r="H132" s="7" t="s">
        <v>785</v>
      </c>
      <c r="I132" s="7" t="s">
        <v>786</v>
      </c>
      <c r="J132" s="7">
        <v>0</v>
      </c>
      <c r="K132" s="7" t="s">
        <v>787</v>
      </c>
      <c r="L132" s="7" t="s">
        <v>26</v>
      </c>
      <c r="M132" s="7">
        <v>4.71</v>
      </c>
      <c r="N132" s="7" t="s">
        <v>619</v>
      </c>
      <c r="O132" s="7">
        <v>95</v>
      </c>
      <c r="P132" s="7">
        <f t="shared" ref="P132:P190" si="9">O132*M132</f>
        <v>447.45</v>
      </c>
      <c r="Q132" s="7" t="s">
        <v>28</v>
      </c>
      <c r="R132" s="8">
        <v>44076</v>
      </c>
      <c r="S132" s="8">
        <v>401768</v>
      </c>
      <c r="T132" s="7"/>
      <c r="U132" s="9">
        <f t="shared" si="8"/>
        <v>0</v>
      </c>
    </row>
    <row r="133" spans="1:21" x14ac:dyDescent="0.25">
      <c r="A133" s="2" t="s">
        <v>2889</v>
      </c>
      <c r="B133" s="6">
        <v>44522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953</v>
      </c>
      <c r="H133" s="7" t="s">
        <v>954</v>
      </c>
      <c r="I133" s="7" t="s">
        <v>6142</v>
      </c>
      <c r="J133" s="7">
        <v>0</v>
      </c>
      <c r="K133" s="7" t="s">
        <v>6143</v>
      </c>
      <c r="L133" s="7" t="s">
        <v>26</v>
      </c>
      <c r="M133" s="7">
        <v>61.37</v>
      </c>
      <c r="N133" s="7" t="s">
        <v>27</v>
      </c>
      <c r="O133" s="7">
        <f t="shared" ref="O133:O164" si="10">M133</f>
        <v>61.37</v>
      </c>
      <c r="P133" s="7">
        <f t="shared" ref="P133:P164" si="11">O133</f>
        <v>61.37</v>
      </c>
      <c r="Q133" s="7" t="s">
        <v>28</v>
      </c>
      <c r="R133" s="8">
        <v>46151</v>
      </c>
      <c r="S133" s="8">
        <v>401768</v>
      </c>
      <c r="T133" s="7">
        <v>123</v>
      </c>
      <c r="U133" s="9">
        <f t="shared" si="8"/>
        <v>7.5485099999999999E-2</v>
      </c>
    </row>
    <row r="134" spans="1:21" x14ac:dyDescent="0.25">
      <c r="A134" s="2" t="s">
        <v>2877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6144</v>
      </c>
      <c r="J134" s="7">
        <v>0</v>
      </c>
      <c r="K134" s="7" t="s">
        <v>6145</v>
      </c>
      <c r="L134" s="7" t="s">
        <v>26</v>
      </c>
      <c r="M134" s="7">
        <v>62.37</v>
      </c>
      <c r="N134" s="7" t="s">
        <v>27</v>
      </c>
      <c r="O134" s="7">
        <f t="shared" si="10"/>
        <v>62.37</v>
      </c>
      <c r="P134" s="7">
        <f t="shared" si="11"/>
        <v>62.37</v>
      </c>
      <c r="Q134" s="7" t="s">
        <v>28</v>
      </c>
      <c r="R134" s="8">
        <v>46151</v>
      </c>
      <c r="S134" s="8">
        <v>401768</v>
      </c>
      <c r="T134" s="7">
        <v>123</v>
      </c>
      <c r="U134" s="9">
        <f t="shared" si="8"/>
        <v>7.6715099999999994E-2</v>
      </c>
    </row>
    <row r="135" spans="1:21" x14ac:dyDescent="0.25">
      <c r="A135" s="2" t="s">
        <v>2825</v>
      </c>
      <c r="B135" s="6">
        <v>44531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6155</v>
      </c>
      <c r="J135" s="7">
        <v>0</v>
      </c>
      <c r="K135" s="7" t="s">
        <v>6156</v>
      </c>
      <c r="L135" s="7" t="s">
        <v>26</v>
      </c>
      <c r="M135" s="7">
        <v>160.08000000000001</v>
      </c>
      <c r="N135" s="7" t="s">
        <v>27</v>
      </c>
      <c r="O135" s="7">
        <f t="shared" si="10"/>
        <v>160.08000000000001</v>
      </c>
      <c r="P135" s="7">
        <f t="shared" si="11"/>
        <v>160.08000000000001</v>
      </c>
      <c r="Q135" s="7" t="s">
        <v>28</v>
      </c>
      <c r="R135" s="8">
        <v>46151</v>
      </c>
      <c r="S135" s="8">
        <v>401768</v>
      </c>
      <c r="T135" s="7">
        <v>44682</v>
      </c>
      <c r="U135" s="9">
        <f t="shared" si="8"/>
        <v>71.526945600000005</v>
      </c>
    </row>
    <row r="136" spans="1:21" x14ac:dyDescent="0.25">
      <c r="A136" s="2" t="s">
        <v>6314</v>
      </c>
      <c r="B136" s="6">
        <v>44676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6315</v>
      </c>
      <c r="J136" s="7">
        <v>0</v>
      </c>
      <c r="K136" s="7" t="s">
        <v>6316</v>
      </c>
      <c r="L136" s="7" t="s">
        <v>26</v>
      </c>
      <c r="M136" s="7">
        <v>146.66999999999999</v>
      </c>
      <c r="N136" s="7" t="s">
        <v>27</v>
      </c>
      <c r="O136" s="7">
        <f t="shared" si="10"/>
        <v>146.66999999999999</v>
      </c>
      <c r="P136" s="7">
        <f t="shared" si="11"/>
        <v>146.66999999999999</v>
      </c>
      <c r="Q136" s="7" t="s">
        <v>28</v>
      </c>
      <c r="R136" s="8">
        <v>46151</v>
      </c>
      <c r="S136" s="8">
        <v>401768</v>
      </c>
      <c r="T136" s="7">
        <v>6515</v>
      </c>
      <c r="U136" s="9">
        <f t="shared" si="8"/>
        <v>9.5555504999999989</v>
      </c>
    </row>
    <row r="137" spans="1:21" x14ac:dyDescent="0.25">
      <c r="A137" s="2" t="s">
        <v>6317</v>
      </c>
      <c r="B137" s="6">
        <v>44678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6318</v>
      </c>
      <c r="J137" s="7">
        <v>0</v>
      </c>
      <c r="K137" s="7" t="s">
        <v>6319</v>
      </c>
      <c r="L137" s="7" t="s">
        <v>49</v>
      </c>
      <c r="M137" s="7">
        <v>1100000</v>
      </c>
      <c r="N137" s="7" t="s">
        <v>27</v>
      </c>
      <c r="O137" s="7">
        <f t="shared" si="10"/>
        <v>1100000</v>
      </c>
      <c r="P137" s="7">
        <f t="shared" si="11"/>
        <v>1100000</v>
      </c>
      <c r="Q137" s="7" t="s">
        <v>28</v>
      </c>
      <c r="R137" s="8">
        <v>44678</v>
      </c>
      <c r="S137" s="8">
        <v>401768</v>
      </c>
      <c r="T137" s="7"/>
      <c r="U137" s="9">
        <f t="shared" si="8"/>
        <v>0</v>
      </c>
    </row>
    <row r="138" spans="1:21" x14ac:dyDescent="0.25">
      <c r="A138" s="2" t="s">
        <v>6521</v>
      </c>
      <c r="B138" s="6">
        <v>44930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6442</v>
      </c>
      <c r="J138" s="7">
        <v>0</v>
      </c>
      <c r="K138" s="7" t="s">
        <v>6443</v>
      </c>
      <c r="L138" s="7" t="s">
        <v>26</v>
      </c>
      <c r="M138" s="7">
        <v>46502.2</v>
      </c>
      <c r="N138" s="7" t="s">
        <v>27</v>
      </c>
      <c r="O138" s="7">
        <f t="shared" si="10"/>
        <v>46502.2</v>
      </c>
      <c r="P138" s="7">
        <f t="shared" si="11"/>
        <v>46502.2</v>
      </c>
      <c r="Q138" s="7" t="s">
        <v>28</v>
      </c>
      <c r="R138" s="8">
        <v>45019</v>
      </c>
      <c r="S138" s="8">
        <v>401768</v>
      </c>
      <c r="T138" s="7"/>
      <c r="U138" s="9">
        <f t="shared" si="8"/>
        <v>0</v>
      </c>
    </row>
    <row r="139" spans="1:21" x14ac:dyDescent="0.25">
      <c r="A139" s="2" t="s">
        <v>6543</v>
      </c>
      <c r="B139" s="6">
        <v>44992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6544</v>
      </c>
      <c r="J139" s="7">
        <v>0</v>
      </c>
      <c r="K139" s="7" t="s">
        <v>6545</v>
      </c>
      <c r="L139" s="7" t="s">
        <v>26</v>
      </c>
      <c r="M139" s="7">
        <v>146.66999999999999</v>
      </c>
      <c r="N139" s="7" t="s">
        <v>27</v>
      </c>
      <c r="O139" s="7">
        <f t="shared" si="10"/>
        <v>146.66999999999999</v>
      </c>
      <c r="P139" s="7">
        <f t="shared" si="11"/>
        <v>146.66999999999999</v>
      </c>
      <c r="Q139" s="7" t="s">
        <v>28</v>
      </c>
      <c r="R139" s="8">
        <v>46151</v>
      </c>
      <c r="S139" s="8">
        <v>401768</v>
      </c>
      <c r="T139" s="7">
        <v>26583</v>
      </c>
      <c r="U139" s="9">
        <f t="shared" si="8"/>
        <v>38.989286100000001</v>
      </c>
    </row>
    <row r="140" spans="1:21" x14ac:dyDescent="0.25">
      <c r="A140" s="2" t="s">
        <v>6641</v>
      </c>
      <c r="B140" s="6">
        <v>45058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6642</v>
      </c>
      <c r="J140" s="7">
        <v>0</v>
      </c>
      <c r="K140" s="7" t="s">
        <v>6643</v>
      </c>
      <c r="L140" s="7" t="s">
        <v>26</v>
      </c>
      <c r="M140" s="7">
        <v>67</v>
      </c>
      <c r="N140" s="7" t="s">
        <v>27</v>
      </c>
      <c r="O140" s="7">
        <f t="shared" si="10"/>
        <v>67</v>
      </c>
      <c r="P140" s="7">
        <f t="shared" si="11"/>
        <v>67</v>
      </c>
      <c r="Q140" s="7" t="s">
        <v>28</v>
      </c>
      <c r="R140" s="8">
        <v>46151</v>
      </c>
      <c r="S140" s="8">
        <v>401768</v>
      </c>
      <c r="T140" s="7">
        <v>17790</v>
      </c>
      <c r="U140" s="9">
        <f t="shared" si="8"/>
        <v>11.9193</v>
      </c>
    </row>
    <row r="141" spans="1:21" x14ac:dyDescent="0.25">
      <c r="A141" s="2" t="s">
        <v>6644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6645</v>
      </c>
      <c r="J141" s="7">
        <v>0</v>
      </c>
      <c r="K141" s="7" t="s">
        <v>6646</v>
      </c>
      <c r="L141" s="7" t="s">
        <v>26</v>
      </c>
      <c r="M141" s="7">
        <v>66.98</v>
      </c>
      <c r="N141" s="7" t="s">
        <v>27</v>
      </c>
      <c r="O141" s="7">
        <f t="shared" si="10"/>
        <v>66.98</v>
      </c>
      <c r="P141" s="7">
        <f t="shared" si="11"/>
        <v>66.98</v>
      </c>
      <c r="Q141" s="7" t="s">
        <v>28</v>
      </c>
      <c r="R141" s="8">
        <v>46151</v>
      </c>
      <c r="S141" s="8">
        <v>401768</v>
      </c>
      <c r="T141" s="7">
        <v>17790</v>
      </c>
      <c r="U141" s="9">
        <f t="shared" si="8"/>
        <v>11.915742000000002</v>
      </c>
    </row>
    <row r="142" spans="1:21" x14ac:dyDescent="0.25">
      <c r="A142" s="2" t="s">
        <v>6647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6648</v>
      </c>
      <c r="J142" s="7">
        <v>0</v>
      </c>
      <c r="K142" s="7" t="s">
        <v>6649</v>
      </c>
      <c r="L142" s="7" t="s">
        <v>26</v>
      </c>
      <c r="M142" s="7">
        <v>65.34</v>
      </c>
      <c r="N142" s="7" t="s">
        <v>27</v>
      </c>
      <c r="O142" s="7">
        <f t="shared" si="10"/>
        <v>65.34</v>
      </c>
      <c r="P142" s="7">
        <f t="shared" si="11"/>
        <v>65.34</v>
      </c>
      <c r="Q142" s="7" t="s">
        <v>28</v>
      </c>
      <c r="R142" s="8">
        <v>46151</v>
      </c>
      <c r="S142" s="8">
        <v>401768</v>
      </c>
      <c r="T142" s="7">
        <v>11433</v>
      </c>
      <c r="U142" s="9">
        <f t="shared" si="8"/>
        <v>7.4703222000000009</v>
      </c>
    </row>
    <row r="143" spans="1:21" x14ac:dyDescent="0.25">
      <c r="A143" s="2" t="s">
        <v>43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6650</v>
      </c>
      <c r="J143" s="7">
        <v>0</v>
      </c>
      <c r="K143" s="7" t="s">
        <v>6651</v>
      </c>
      <c r="L143" s="7" t="s">
        <v>26</v>
      </c>
      <c r="M143" s="7">
        <v>64.84</v>
      </c>
      <c r="N143" s="7" t="s">
        <v>27</v>
      </c>
      <c r="O143" s="7">
        <f t="shared" si="10"/>
        <v>64.84</v>
      </c>
      <c r="P143" s="7">
        <f t="shared" si="11"/>
        <v>64.84</v>
      </c>
      <c r="Q143" s="7" t="s">
        <v>28</v>
      </c>
      <c r="R143" s="8">
        <v>46151</v>
      </c>
      <c r="S143" s="8">
        <v>401768</v>
      </c>
      <c r="T143" s="7">
        <v>11433</v>
      </c>
      <c r="U143" s="9">
        <f t="shared" si="8"/>
        <v>7.4131572000000006</v>
      </c>
    </row>
    <row r="144" spans="1:21" x14ac:dyDescent="0.25">
      <c r="A144" s="2" t="s">
        <v>2229</v>
      </c>
      <c r="B144" s="6">
        <v>45100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6701</v>
      </c>
      <c r="J144" s="7">
        <v>0</v>
      </c>
      <c r="K144" s="7" t="s">
        <v>6702</v>
      </c>
      <c r="L144" s="7" t="s">
        <v>26</v>
      </c>
      <c r="M144" s="7">
        <v>60.97</v>
      </c>
      <c r="N144" s="7" t="s">
        <v>27</v>
      </c>
      <c r="O144" s="7">
        <f t="shared" si="10"/>
        <v>60.97</v>
      </c>
      <c r="P144" s="7">
        <f t="shared" si="11"/>
        <v>60.97</v>
      </c>
      <c r="Q144" s="7" t="s">
        <v>28</v>
      </c>
      <c r="R144" s="8">
        <v>46151</v>
      </c>
      <c r="S144" s="8">
        <v>401768</v>
      </c>
      <c r="T144" s="7"/>
      <c r="U144" s="9">
        <f t="shared" si="8"/>
        <v>0</v>
      </c>
    </row>
    <row r="145" spans="1:21" x14ac:dyDescent="0.25">
      <c r="A145" s="2" t="s">
        <v>6703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6704</v>
      </c>
      <c r="J145" s="7">
        <v>0</v>
      </c>
      <c r="K145" s="7" t="s">
        <v>6705</v>
      </c>
      <c r="L145" s="7" t="s">
        <v>26</v>
      </c>
      <c r="M145" s="7">
        <v>62.38</v>
      </c>
      <c r="N145" s="7" t="s">
        <v>27</v>
      </c>
      <c r="O145" s="7">
        <f t="shared" si="10"/>
        <v>62.38</v>
      </c>
      <c r="P145" s="7">
        <f t="shared" si="11"/>
        <v>62.38</v>
      </c>
      <c r="Q145" s="7" t="s">
        <v>28</v>
      </c>
      <c r="R145" s="8">
        <v>46151</v>
      </c>
      <c r="S145" s="8">
        <v>401768</v>
      </c>
      <c r="T145" s="7"/>
      <c r="U145" s="9">
        <f t="shared" si="8"/>
        <v>0</v>
      </c>
    </row>
    <row r="146" spans="1:21" x14ac:dyDescent="0.25">
      <c r="A146" s="2" t="s">
        <v>6706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6707</v>
      </c>
      <c r="J146" s="7">
        <v>0</v>
      </c>
      <c r="K146" s="7" t="s">
        <v>6708</v>
      </c>
      <c r="L146" s="7" t="s">
        <v>26</v>
      </c>
      <c r="M146" s="7">
        <v>76</v>
      </c>
      <c r="N146" s="7" t="s">
        <v>27</v>
      </c>
      <c r="O146" s="7">
        <f t="shared" si="10"/>
        <v>76</v>
      </c>
      <c r="P146" s="7">
        <f t="shared" si="11"/>
        <v>76</v>
      </c>
      <c r="Q146" s="7" t="s">
        <v>28</v>
      </c>
      <c r="R146" s="8">
        <v>46151</v>
      </c>
      <c r="S146" s="8">
        <v>401768</v>
      </c>
      <c r="T146" s="7">
        <v>25276</v>
      </c>
      <c r="U146" s="9">
        <f t="shared" si="8"/>
        <v>19.209759999999999</v>
      </c>
    </row>
    <row r="147" spans="1:21" x14ac:dyDescent="0.25">
      <c r="A147" s="2" t="s">
        <v>1129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6709</v>
      </c>
      <c r="J147" s="7">
        <v>0</v>
      </c>
      <c r="K147" s="7" t="s">
        <v>6710</v>
      </c>
      <c r="L147" s="7" t="s">
        <v>26</v>
      </c>
      <c r="M147" s="7">
        <v>75.88</v>
      </c>
      <c r="N147" s="7" t="s">
        <v>27</v>
      </c>
      <c r="O147" s="7">
        <f t="shared" si="10"/>
        <v>75.88</v>
      </c>
      <c r="P147" s="7">
        <f t="shared" si="11"/>
        <v>75.88</v>
      </c>
      <c r="Q147" s="7" t="s">
        <v>28</v>
      </c>
      <c r="R147" s="8">
        <v>46151</v>
      </c>
      <c r="S147" s="8">
        <v>401768</v>
      </c>
      <c r="T147" s="7">
        <v>25276</v>
      </c>
      <c r="U147" s="9">
        <f t="shared" si="8"/>
        <v>19.1794288</v>
      </c>
    </row>
    <row r="148" spans="1:21" x14ac:dyDescent="0.25">
      <c r="A148" s="2" t="s">
        <v>1119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6711</v>
      </c>
      <c r="J148" s="7">
        <v>0</v>
      </c>
      <c r="K148" s="7" t="s">
        <v>6712</v>
      </c>
      <c r="L148" s="7" t="s">
        <v>26</v>
      </c>
      <c r="M148" s="7">
        <v>175</v>
      </c>
      <c r="N148" s="7" t="s">
        <v>27</v>
      </c>
      <c r="O148" s="7">
        <f t="shared" si="10"/>
        <v>175</v>
      </c>
      <c r="P148" s="7">
        <f t="shared" si="11"/>
        <v>175</v>
      </c>
      <c r="Q148" s="7" t="s">
        <v>28</v>
      </c>
      <c r="R148" s="8">
        <v>45100</v>
      </c>
      <c r="S148" s="8">
        <v>401768</v>
      </c>
      <c r="T148" s="7"/>
      <c r="U148" s="9">
        <f t="shared" si="8"/>
        <v>0</v>
      </c>
    </row>
    <row r="149" spans="1:21" x14ac:dyDescent="0.25">
      <c r="A149" s="2" t="s">
        <v>6820</v>
      </c>
      <c r="B149" s="6">
        <v>45163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6821</v>
      </c>
      <c r="J149" s="7">
        <v>0</v>
      </c>
      <c r="K149" s="7" t="s">
        <v>6822</v>
      </c>
      <c r="L149" s="7" t="s">
        <v>26</v>
      </c>
      <c r="M149" s="7">
        <v>106.75</v>
      </c>
      <c r="N149" s="7" t="s">
        <v>27</v>
      </c>
      <c r="O149" s="7">
        <f t="shared" si="10"/>
        <v>106.75</v>
      </c>
      <c r="P149" s="7">
        <f t="shared" si="11"/>
        <v>106.75</v>
      </c>
      <c r="Q149" s="7" t="s">
        <v>28</v>
      </c>
      <c r="R149" s="8">
        <v>45185</v>
      </c>
      <c r="S149" s="8">
        <v>401768</v>
      </c>
      <c r="T149" s="7">
        <v>5688</v>
      </c>
      <c r="U149" s="9">
        <f t="shared" si="8"/>
        <v>6.0719399999999997</v>
      </c>
    </row>
    <row r="150" spans="1:21" x14ac:dyDescent="0.25">
      <c r="A150" s="2" t="s">
        <v>6823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6824</v>
      </c>
      <c r="J150" s="7">
        <v>0</v>
      </c>
      <c r="K150" s="7" t="s">
        <v>6825</v>
      </c>
      <c r="L150" s="7" t="s">
        <v>26</v>
      </c>
      <c r="M150" s="7">
        <v>106.75</v>
      </c>
      <c r="N150" s="7" t="s">
        <v>27</v>
      </c>
      <c r="O150" s="7">
        <f t="shared" si="10"/>
        <v>106.75</v>
      </c>
      <c r="P150" s="7">
        <f t="shared" si="11"/>
        <v>106.75</v>
      </c>
      <c r="Q150" s="7" t="s">
        <v>28</v>
      </c>
      <c r="R150" s="8">
        <v>45185</v>
      </c>
      <c r="S150" s="8">
        <v>401768</v>
      </c>
      <c r="T150" s="7"/>
      <c r="U150" s="9">
        <f t="shared" si="8"/>
        <v>0</v>
      </c>
    </row>
    <row r="151" spans="1:21" x14ac:dyDescent="0.25">
      <c r="A151" s="2" t="s">
        <v>6860</v>
      </c>
      <c r="B151" s="6">
        <v>45292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7001</v>
      </c>
      <c r="J151" s="7">
        <v>0</v>
      </c>
      <c r="K151" s="7" t="s">
        <v>7002</v>
      </c>
      <c r="L151" s="7" t="s">
        <v>26</v>
      </c>
      <c r="M151" s="7">
        <v>52</v>
      </c>
      <c r="N151" s="7" t="s">
        <v>27</v>
      </c>
      <c r="O151" s="7">
        <f t="shared" si="10"/>
        <v>52</v>
      </c>
      <c r="P151" s="7">
        <f t="shared" si="11"/>
        <v>52</v>
      </c>
      <c r="Q151" s="7" t="s">
        <v>28</v>
      </c>
      <c r="R151" s="8">
        <v>45292</v>
      </c>
      <c r="S151" s="8">
        <v>401768</v>
      </c>
      <c r="T151" s="7"/>
      <c r="U151" s="9">
        <f t="shared" si="8"/>
        <v>0</v>
      </c>
    </row>
    <row r="152" spans="1:21" x14ac:dyDescent="0.25">
      <c r="A152" s="2" t="s">
        <v>6862</v>
      </c>
      <c r="B152" s="6">
        <v>45313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7017</v>
      </c>
      <c r="J152" s="7">
        <v>0</v>
      </c>
      <c r="K152" s="7" t="s">
        <v>7018</v>
      </c>
      <c r="L152" s="7" t="s">
        <v>26</v>
      </c>
      <c r="M152" s="7">
        <v>150.91</v>
      </c>
      <c r="N152" s="7" t="s">
        <v>27</v>
      </c>
      <c r="O152" s="7">
        <f t="shared" si="10"/>
        <v>150.91</v>
      </c>
      <c r="P152" s="7">
        <f t="shared" si="11"/>
        <v>150.91</v>
      </c>
      <c r="Q152" s="7" t="s">
        <v>28</v>
      </c>
      <c r="R152" s="8">
        <v>46151</v>
      </c>
      <c r="S152" s="8">
        <v>401768</v>
      </c>
      <c r="T152" s="7"/>
      <c r="U152" s="9">
        <f t="shared" si="8"/>
        <v>0</v>
      </c>
    </row>
    <row r="153" spans="1:21" x14ac:dyDescent="0.25">
      <c r="A153" s="2" t="s">
        <v>6879</v>
      </c>
      <c r="B153" s="6">
        <v>45314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7024</v>
      </c>
      <c r="J153" s="7">
        <v>0</v>
      </c>
      <c r="K153" s="7" t="s">
        <v>7025</v>
      </c>
      <c r="L153" s="7" t="s">
        <v>26</v>
      </c>
      <c r="M153" s="7">
        <v>150.91</v>
      </c>
      <c r="N153" s="7" t="s">
        <v>27</v>
      </c>
      <c r="O153" s="7">
        <f t="shared" si="10"/>
        <v>150.91</v>
      </c>
      <c r="P153" s="7">
        <f t="shared" si="11"/>
        <v>150.91</v>
      </c>
      <c r="Q153" s="7" t="s">
        <v>28</v>
      </c>
      <c r="R153" s="8">
        <v>46151</v>
      </c>
      <c r="S153" s="8">
        <v>401768</v>
      </c>
      <c r="T153" s="7"/>
      <c r="U153" s="9">
        <f t="shared" si="8"/>
        <v>0</v>
      </c>
    </row>
    <row r="154" spans="1:21" x14ac:dyDescent="0.25">
      <c r="A154" s="2" t="s">
        <v>6896</v>
      </c>
      <c r="B154" s="6">
        <v>45338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7037</v>
      </c>
      <c r="J154" s="7">
        <v>0</v>
      </c>
      <c r="K154" s="7" t="s">
        <v>7038</v>
      </c>
      <c r="L154" s="7" t="s">
        <v>26</v>
      </c>
      <c r="M154" s="7">
        <v>185.09</v>
      </c>
      <c r="N154" s="7" t="s">
        <v>27</v>
      </c>
      <c r="O154" s="7">
        <f t="shared" si="10"/>
        <v>185.09</v>
      </c>
      <c r="P154" s="7">
        <f t="shared" si="11"/>
        <v>185.09</v>
      </c>
      <c r="Q154" s="7" t="s">
        <v>28</v>
      </c>
      <c r="R154" s="8">
        <v>45952</v>
      </c>
      <c r="S154" s="8">
        <v>401768</v>
      </c>
      <c r="T154" s="7"/>
      <c r="U154" s="9">
        <f t="shared" si="8"/>
        <v>0</v>
      </c>
    </row>
    <row r="155" spans="1:21" x14ac:dyDescent="0.25">
      <c r="A155" s="2" t="s">
        <v>6952</v>
      </c>
      <c r="B155" s="6">
        <v>45464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7170</v>
      </c>
      <c r="J155" s="7">
        <v>0</v>
      </c>
      <c r="K155" s="7" t="s">
        <v>7171</v>
      </c>
      <c r="L155" s="7" t="s">
        <v>26</v>
      </c>
      <c r="M155" s="7">
        <v>66.959999999999994</v>
      </c>
      <c r="N155" s="7" t="s">
        <v>27</v>
      </c>
      <c r="O155" s="7">
        <f t="shared" si="10"/>
        <v>66.959999999999994</v>
      </c>
      <c r="P155" s="7">
        <f t="shared" si="11"/>
        <v>66.959999999999994</v>
      </c>
      <c r="Q155" s="7" t="s">
        <v>28</v>
      </c>
      <c r="R155" s="8">
        <v>46151</v>
      </c>
      <c r="S155" s="8">
        <v>401768</v>
      </c>
      <c r="T155" s="7">
        <v>1156</v>
      </c>
      <c r="U155" s="9">
        <f t="shared" si="8"/>
        <v>0.7740575999999999</v>
      </c>
    </row>
    <row r="156" spans="1:21" x14ac:dyDescent="0.25">
      <c r="A156" s="2" t="s">
        <v>6955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7172</v>
      </c>
      <c r="J156" s="7">
        <v>0</v>
      </c>
      <c r="K156" s="7" t="s">
        <v>7173</v>
      </c>
      <c r="L156" s="7" t="s">
        <v>26</v>
      </c>
      <c r="M156" s="7">
        <v>66.44</v>
      </c>
      <c r="N156" s="7" t="s">
        <v>27</v>
      </c>
      <c r="O156" s="7">
        <f t="shared" si="10"/>
        <v>66.44</v>
      </c>
      <c r="P156" s="7">
        <f t="shared" si="11"/>
        <v>66.44</v>
      </c>
      <c r="Q156" s="7" t="s">
        <v>28</v>
      </c>
      <c r="R156" s="8">
        <v>46151</v>
      </c>
      <c r="S156" s="8">
        <v>401768</v>
      </c>
      <c r="T156" s="7">
        <v>1156</v>
      </c>
      <c r="U156" s="9">
        <f t="shared" si="8"/>
        <v>0.76804640000000002</v>
      </c>
    </row>
    <row r="157" spans="1:21" x14ac:dyDescent="0.25">
      <c r="A157" s="2" t="s">
        <v>7031</v>
      </c>
      <c r="B157" s="6">
        <v>45541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7259</v>
      </c>
      <c r="J157" s="7">
        <v>0</v>
      </c>
      <c r="K157" s="7" t="s">
        <v>7260</v>
      </c>
      <c r="L157" s="7" t="s">
        <v>26</v>
      </c>
      <c r="M157" s="7">
        <v>64.25</v>
      </c>
      <c r="N157" s="7" t="s">
        <v>27</v>
      </c>
      <c r="O157" s="7">
        <f t="shared" si="10"/>
        <v>64.25</v>
      </c>
      <c r="P157" s="7">
        <f t="shared" si="11"/>
        <v>64.25</v>
      </c>
      <c r="Q157" s="7" t="s">
        <v>28</v>
      </c>
      <c r="R157" s="8">
        <v>46151</v>
      </c>
      <c r="S157" s="8">
        <v>401768</v>
      </c>
      <c r="T157" s="7">
        <v>375</v>
      </c>
      <c r="U157" s="9">
        <f t="shared" si="8"/>
        <v>0.2409375</v>
      </c>
    </row>
    <row r="158" spans="1:21" x14ac:dyDescent="0.25">
      <c r="A158" s="2" t="s">
        <v>7040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7261</v>
      </c>
      <c r="J158" s="7">
        <v>0</v>
      </c>
      <c r="K158" s="7" t="s">
        <v>7262</v>
      </c>
      <c r="L158" s="7" t="s">
        <v>26</v>
      </c>
      <c r="M158" s="7">
        <v>65.25</v>
      </c>
      <c r="N158" s="7" t="s">
        <v>27</v>
      </c>
      <c r="O158" s="7">
        <f t="shared" si="10"/>
        <v>65.25</v>
      </c>
      <c r="P158" s="7">
        <f t="shared" si="11"/>
        <v>65.25</v>
      </c>
      <c r="Q158" s="7" t="s">
        <v>28</v>
      </c>
      <c r="R158" s="8">
        <v>46151</v>
      </c>
      <c r="S158" s="8">
        <v>401768</v>
      </c>
      <c r="T158" s="7">
        <v>375</v>
      </c>
      <c r="U158" s="9">
        <f t="shared" si="8"/>
        <v>0.2446875</v>
      </c>
    </row>
    <row r="159" spans="1:21" x14ac:dyDescent="0.25">
      <c r="A159" s="2" t="s">
        <v>7026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7263</v>
      </c>
      <c r="J159" s="7">
        <v>0</v>
      </c>
      <c r="K159" s="7" t="s">
        <v>7260</v>
      </c>
      <c r="L159" s="7" t="s">
        <v>26</v>
      </c>
      <c r="M159" s="7">
        <v>49</v>
      </c>
      <c r="N159" s="7" t="s">
        <v>27</v>
      </c>
      <c r="O159" s="7">
        <f t="shared" si="10"/>
        <v>49</v>
      </c>
      <c r="P159" s="7">
        <f t="shared" si="11"/>
        <v>49</v>
      </c>
      <c r="Q159" s="7" t="s">
        <v>28</v>
      </c>
      <c r="R159" s="8">
        <v>45541</v>
      </c>
      <c r="S159" s="8">
        <v>401768</v>
      </c>
      <c r="T159" s="7"/>
      <c r="U159" s="9">
        <f t="shared" si="8"/>
        <v>0</v>
      </c>
    </row>
    <row r="160" spans="1:21" x14ac:dyDescent="0.25">
      <c r="A160" s="2" t="s">
        <v>7034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7264</v>
      </c>
      <c r="J160" s="7">
        <v>0</v>
      </c>
      <c r="K160" s="7" t="s">
        <v>7262</v>
      </c>
      <c r="L160" s="7" t="s">
        <v>26</v>
      </c>
      <c r="M160" s="7">
        <v>49</v>
      </c>
      <c r="N160" s="7" t="s">
        <v>27</v>
      </c>
      <c r="O160" s="7">
        <f t="shared" si="10"/>
        <v>49</v>
      </c>
      <c r="P160" s="7">
        <f t="shared" si="11"/>
        <v>49</v>
      </c>
      <c r="Q160" s="7" t="s">
        <v>28</v>
      </c>
      <c r="R160" s="8">
        <v>45541</v>
      </c>
      <c r="S160" s="8">
        <v>401768</v>
      </c>
      <c r="T160" s="7"/>
      <c r="U160" s="9">
        <f t="shared" si="8"/>
        <v>0</v>
      </c>
    </row>
    <row r="161" spans="1:21" x14ac:dyDescent="0.25">
      <c r="A161" s="2" t="s">
        <v>7096</v>
      </c>
      <c r="B161" s="6">
        <v>45653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7374</v>
      </c>
      <c r="J161" s="7">
        <v>0</v>
      </c>
      <c r="K161" s="7" t="s">
        <v>7375</v>
      </c>
      <c r="L161" s="7" t="s">
        <v>26</v>
      </c>
      <c r="M161" s="7">
        <v>20</v>
      </c>
      <c r="N161" s="7" t="s">
        <v>27</v>
      </c>
      <c r="O161" s="7">
        <f t="shared" si="10"/>
        <v>20</v>
      </c>
      <c r="P161" s="7">
        <f t="shared" si="11"/>
        <v>20</v>
      </c>
      <c r="Q161" s="7" t="s">
        <v>28</v>
      </c>
      <c r="R161" s="8">
        <v>45653</v>
      </c>
      <c r="S161" s="8">
        <v>401768</v>
      </c>
      <c r="T161" s="7"/>
      <c r="U161" s="9">
        <f t="shared" si="8"/>
        <v>0</v>
      </c>
    </row>
    <row r="162" spans="1:21" x14ac:dyDescent="0.25">
      <c r="A162" s="2" t="s">
        <v>7099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7376</v>
      </c>
      <c r="J162" s="7">
        <v>0</v>
      </c>
      <c r="K162" s="7" t="s">
        <v>7377</v>
      </c>
      <c r="L162" s="7" t="s">
        <v>26</v>
      </c>
      <c r="M162" s="7">
        <v>20</v>
      </c>
      <c r="N162" s="7" t="s">
        <v>27</v>
      </c>
      <c r="O162" s="7">
        <f t="shared" si="10"/>
        <v>20</v>
      </c>
      <c r="P162" s="7">
        <f t="shared" si="11"/>
        <v>20</v>
      </c>
      <c r="Q162" s="7" t="s">
        <v>28</v>
      </c>
      <c r="R162" s="8">
        <v>45653</v>
      </c>
      <c r="S162" s="8">
        <v>401768</v>
      </c>
      <c r="T162" s="7"/>
      <c r="U162" s="9">
        <f t="shared" si="8"/>
        <v>0</v>
      </c>
    </row>
    <row r="163" spans="1:21" x14ac:dyDescent="0.25">
      <c r="A163" s="2" t="s">
        <v>7126</v>
      </c>
      <c r="B163" s="6">
        <v>45706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7418</v>
      </c>
      <c r="J163" s="7">
        <v>0</v>
      </c>
      <c r="K163" s="7" t="s">
        <v>7419</v>
      </c>
      <c r="L163" s="7" t="s">
        <v>26</v>
      </c>
      <c r="M163" s="7">
        <v>147.46</v>
      </c>
      <c r="N163" s="7" t="s">
        <v>27</v>
      </c>
      <c r="O163" s="7">
        <f t="shared" si="10"/>
        <v>147.46</v>
      </c>
      <c r="P163" s="7">
        <f t="shared" si="11"/>
        <v>147.46</v>
      </c>
      <c r="Q163" s="7" t="s">
        <v>28</v>
      </c>
      <c r="R163" s="8">
        <v>46121</v>
      </c>
      <c r="S163" s="8">
        <v>401768</v>
      </c>
      <c r="T163" s="7"/>
      <c r="U163" s="9">
        <f t="shared" si="8"/>
        <v>0</v>
      </c>
    </row>
    <row r="164" spans="1:21" x14ac:dyDescent="0.25">
      <c r="A164" s="2" t="s">
        <v>7294</v>
      </c>
      <c r="B164" s="6">
        <v>45959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7565</v>
      </c>
      <c r="J164" s="7">
        <v>0</v>
      </c>
      <c r="K164" s="7" t="s">
        <v>7566</v>
      </c>
      <c r="L164" s="7" t="s">
        <v>26</v>
      </c>
      <c r="M164" s="7">
        <v>216.47</v>
      </c>
      <c r="N164" s="7" t="s">
        <v>27</v>
      </c>
      <c r="O164" s="7">
        <f t="shared" si="10"/>
        <v>216.47</v>
      </c>
      <c r="P164" s="7">
        <f t="shared" si="11"/>
        <v>216.47</v>
      </c>
      <c r="Q164" s="7" t="s">
        <v>28</v>
      </c>
      <c r="R164" s="8">
        <v>46151</v>
      </c>
      <c r="S164" s="8">
        <v>401768</v>
      </c>
      <c r="T164" s="7">
        <f>312*25</f>
        <v>7800</v>
      </c>
      <c r="U164" s="9">
        <f t="shared" si="8"/>
        <v>16.88466</v>
      </c>
    </row>
    <row r="165" spans="1:21" x14ac:dyDescent="0.25">
      <c r="A165" s="2" t="s">
        <v>3246</v>
      </c>
      <c r="B165" s="6">
        <v>43959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3234</v>
      </c>
      <c r="H165" s="7" t="s">
        <v>3235</v>
      </c>
      <c r="I165" s="7" t="s">
        <v>3247</v>
      </c>
      <c r="J165" s="7">
        <v>0</v>
      </c>
      <c r="K165" s="7" t="s">
        <v>3248</v>
      </c>
      <c r="L165" s="7" t="s">
        <v>26</v>
      </c>
      <c r="M165" s="7">
        <v>29</v>
      </c>
      <c r="N165" s="7" t="s">
        <v>619</v>
      </c>
      <c r="O165" s="7">
        <v>95</v>
      </c>
      <c r="P165" s="7">
        <f t="shared" si="9"/>
        <v>2755</v>
      </c>
      <c r="Q165" s="7" t="s">
        <v>28</v>
      </c>
      <c r="R165" s="8">
        <v>45131</v>
      </c>
      <c r="S165" s="8">
        <v>401768</v>
      </c>
      <c r="T165" s="7"/>
      <c r="U165" s="9">
        <f t="shared" si="8"/>
        <v>0</v>
      </c>
    </row>
    <row r="166" spans="1:21" x14ac:dyDescent="0.25">
      <c r="A166" s="2" t="s">
        <v>3249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3250</v>
      </c>
      <c r="J166" s="7">
        <v>0</v>
      </c>
      <c r="K166" s="7" t="s">
        <v>3251</v>
      </c>
      <c r="L166" s="7" t="s">
        <v>26</v>
      </c>
      <c r="M166" s="7">
        <v>26</v>
      </c>
      <c r="N166" s="7" t="s">
        <v>619</v>
      </c>
      <c r="O166" s="7">
        <v>95</v>
      </c>
      <c r="P166" s="7">
        <f t="shared" si="9"/>
        <v>2470</v>
      </c>
      <c r="Q166" s="7" t="s">
        <v>28</v>
      </c>
      <c r="R166" s="8">
        <v>45131</v>
      </c>
      <c r="S166" s="8">
        <v>401768</v>
      </c>
      <c r="T166" s="7"/>
      <c r="U166" s="9">
        <f t="shared" si="8"/>
        <v>0</v>
      </c>
    </row>
    <row r="167" spans="1:21" x14ac:dyDescent="0.25">
      <c r="A167" s="2" t="s">
        <v>1194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1192</v>
      </c>
      <c r="H167" s="7" t="s">
        <v>1193</v>
      </c>
      <c r="I167" s="7" t="s">
        <v>1195</v>
      </c>
      <c r="J167" s="7">
        <v>0</v>
      </c>
      <c r="K167" s="7" t="s">
        <v>1196</v>
      </c>
      <c r="L167" s="7" t="s">
        <v>26</v>
      </c>
      <c r="M167" s="7">
        <v>141.9</v>
      </c>
      <c r="N167" s="7" t="s">
        <v>27</v>
      </c>
      <c r="O167" s="7">
        <f t="shared" ref="O167:O168" si="12">M167</f>
        <v>141.9</v>
      </c>
      <c r="P167" s="7">
        <f t="shared" ref="P167:P168" si="13">O167</f>
        <v>141.9</v>
      </c>
      <c r="Q167" s="7" t="s">
        <v>28</v>
      </c>
      <c r="R167" s="8">
        <v>43061</v>
      </c>
      <c r="S167" s="8">
        <v>401768</v>
      </c>
      <c r="T167" s="7"/>
      <c r="U167" s="9">
        <f t="shared" si="8"/>
        <v>0</v>
      </c>
    </row>
    <row r="168" spans="1:21" x14ac:dyDescent="0.25">
      <c r="A168" s="2" t="s">
        <v>1197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1198</v>
      </c>
      <c r="J168" s="7">
        <v>0</v>
      </c>
      <c r="K168" s="7" t="s">
        <v>1199</v>
      </c>
      <c r="L168" s="7" t="s">
        <v>26</v>
      </c>
      <c r="M168" s="7">
        <v>14.5</v>
      </c>
      <c r="N168" s="7" t="s">
        <v>27</v>
      </c>
      <c r="O168" s="7">
        <f t="shared" si="12"/>
        <v>14.5</v>
      </c>
      <c r="P168" s="7">
        <f t="shared" si="13"/>
        <v>14.5</v>
      </c>
      <c r="Q168" s="7" t="s">
        <v>28</v>
      </c>
      <c r="R168" s="8">
        <v>42633</v>
      </c>
      <c r="S168" s="8">
        <v>401768</v>
      </c>
      <c r="T168" s="7"/>
      <c r="U168" s="9">
        <f t="shared" si="8"/>
        <v>0</v>
      </c>
    </row>
    <row r="169" spans="1:21" x14ac:dyDescent="0.25">
      <c r="A169" s="2" t="s">
        <v>1006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1007</v>
      </c>
      <c r="H169" s="7" t="s">
        <v>1008</v>
      </c>
      <c r="I169" s="7" t="s">
        <v>1009</v>
      </c>
      <c r="J169" s="7">
        <v>0</v>
      </c>
      <c r="K169" s="7" t="s">
        <v>1010</v>
      </c>
      <c r="L169" s="7" t="s">
        <v>26</v>
      </c>
      <c r="M169" s="7">
        <v>0.9</v>
      </c>
      <c r="N169" s="7" t="s">
        <v>160</v>
      </c>
      <c r="O169" s="7">
        <v>110</v>
      </c>
      <c r="P169" s="7">
        <f t="shared" si="9"/>
        <v>99</v>
      </c>
      <c r="Q169" s="7" t="s">
        <v>28</v>
      </c>
      <c r="R169" s="8">
        <v>44469</v>
      </c>
      <c r="S169" s="8">
        <v>401768</v>
      </c>
      <c r="T169" s="7"/>
      <c r="U169" s="9">
        <f t="shared" si="8"/>
        <v>0</v>
      </c>
    </row>
    <row r="170" spans="1:21" x14ac:dyDescent="0.25">
      <c r="A170" s="2" t="s">
        <v>1011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1012</v>
      </c>
      <c r="J170" s="7">
        <v>0</v>
      </c>
      <c r="K170" s="7" t="s">
        <v>1013</v>
      </c>
      <c r="L170" s="7" t="s">
        <v>26</v>
      </c>
      <c r="M170" s="7">
        <v>1.79</v>
      </c>
      <c r="N170" s="7" t="s">
        <v>160</v>
      </c>
      <c r="O170" s="7">
        <v>110</v>
      </c>
      <c r="P170" s="7">
        <f t="shared" si="9"/>
        <v>196.9</v>
      </c>
      <c r="Q170" s="7" t="s">
        <v>28</v>
      </c>
      <c r="R170" s="8">
        <v>44469</v>
      </c>
      <c r="S170" s="8">
        <v>401768</v>
      </c>
      <c r="T170" s="7"/>
      <c r="U170" s="9">
        <f t="shared" si="8"/>
        <v>0</v>
      </c>
    </row>
    <row r="171" spans="1:21" x14ac:dyDescent="0.25">
      <c r="A171" s="2" t="s">
        <v>1014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1015</v>
      </c>
      <c r="J171" s="7">
        <v>0</v>
      </c>
      <c r="K171" s="7" t="s">
        <v>1016</v>
      </c>
      <c r="L171" s="7" t="s">
        <v>26</v>
      </c>
      <c r="M171" s="7">
        <v>1.18</v>
      </c>
      <c r="N171" s="7" t="s">
        <v>160</v>
      </c>
      <c r="O171" s="7">
        <v>110</v>
      </c>
      <c r="P171" s="7">
        <f t="shared" si="9"/>
        <v>129.79999999999998</v>
      </c>
      <c r="Q171" s="7" t="s">
        <v>28</v>
      </c>
      <c r="R171" s="8">
        <v>41275</v>
      </c>
      <c r="S171" s="8">
        <v>401768</v>
      </c>
      <c r="T171" s="7"/>
      <c r="U171" s="9">
        <f t="shared" si="8"/>
        <v>0</v>
      </c>
    </row>
    <row r="172" spans="1:21" x14ac:dyDescent="0.25">
      <c r="A172" s="2" t="s">
        <v>1017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1018</v>
      </c>
      <c r="J172" s="7">
        <v>0</v>
      </c>
      <c r="K172" s="7" t="s">
        <v>1019</v>
      </c>
      <c r="L172" s="7" t="s">
        <v>26</v>
      </c>
      <c r="M172" s="7">
        <v>3.36</v>
      </c>
      <c r="N172" s="7" t="s">
        <v>160</v>
      </c>
      <c r="O172" s="7">
        <v>110</v>
      </c>
      <c r="P172" s="7">
        <f t="shared" si="9"/>
        <v>369.59999999999997</v>
      </c>
      <c r="Q172" s="7" t="s">
        <v>28</v>
      </c>
      <c r="R172" s="8">
        <v>44469</v>
      </c>
      <c r="S172" s="8">
        <v>401768</v>
      </c>
      <c r="T172" s="7"/>
      <c r="U172" s="9">
        <f t="shared" si="8"/>
        <v>0</v>
      </c>
    </row>
    <row r="173" spans="1:21" x14ac:dyDescent="0.25">
      <c r="A173" s="2" t="s">
        <v>1020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1021</v>
      </c>
      <c r="J173" s="7">
        <v>0</v>
      </c>
      <c r="K173" s="7" t="s">
        <v>1022</v>
      </c>
      <c r="L173" s="7" t="s">
        <v>26</v>
      </c>
      <c r="M173" s="7">
        <v>3</v>
      </c>
      <c r="N173" s="7" t="s">
        <v>160</v>
      </c>
      <c r="O173" s="7">
        <v>110</v>
      </c>
      <c r="P173" s="7">
        <f t="shared" si="9"/>
        <v>330</v>
      </c>
      <c r="Q173" s="7" t="s">
        <v>28</v>
      </c>
      <c r="R173" s="8">
        <v>45728</v>
      </c>
      <c r="S173" s="8">
        <v>401768</v>
      </c>
      <c r="T173" s="7">
        <v>500</v>
      </c>
      <c r="U173" s="9">
        <f t="shared" si="8"/>
        <v>1.65</v>
      </c>
    </row>
    <row r="174" spans="1:21" x14ac:dyDescent="0.25">
      <c r="A174" s="2" t="s">
        <v>1023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1024</v>
      </c>
      <c r="J174" s="7">
        <v>0</v>
      </c>
      <c r="K174" s="7" t="s">
        <v>1025</v>
      </c>
      <c r="L174" s="7" t="s">
        <v>26</v>
      </c>
      <c r="M174" s="7">
        <v>1.96</v>
      </c>
      <c r="N174" s="7" t="s">
        <v>160</v>
      </c>
      <c r="O174" s="7">
        <v>110</v>
      </c>
      <c r="P174" s="7">
        <f t="shared" si="9"/>
        <v>215.6</v>
      </c>
      <c r="Q174" s="7" t="s">
        <v>28</v>
      </c>
      <c r="R174" s="8">
        <v>44469</v>
      </c>
      <c r="S174" s="8">
        <v>401768</v>
      </c>
      <c r="T174" s="7"/>
      <c r="U174" s="9">
        <f t="shared" si="8"/>
        <v>0</v>
      </c>
    </row>
    <row r="175" spans="1:21" x14ac:dyDescent="0.25">
      <c r="A175" s="2" t="s">
        <v>1026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1027</v>
      </c>
      <c r="J175" s="7">
        <v>0</v>
      </c>
      <c r="K175" s="7" t="s">
        <v>1028</v>
      </c>
      <c r="L175" s="7" t="s">
        <v>26</v>
      </c>
      <c r="M175" s="7">
        <v>1.71</v>
      </c>
      <c r="N175" s="7" t="s">
        <v>160</v>
      </c>
      <c r="O175" s="7">
        <v>110</v>
      </c>
      <c r="P175" s="7">
        <f t="shared" si="9"/>
        <v>188.1</v>
      </c>
      <c r="Q175" s="7" t="s">
        <v>28</v>
      </c>
      <c r="R175" s="8">
        <v>43069</v>
      </c>
      <c r="S175" s="8">
        <v>401768</v>
      </c>
      <c r="T175" s="7"/>
      <c r="U175" s="9">
        <f t="shared" si="8"/>
        <v>0</v>
      </c>
    </row>
    <row r="176" spans="1:21" x14ac:dyDescent="0.25">
      <c r="A176" s="2" t="s">
        <v>1029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1030</v>
      </c>
      <c r="J176" s="7">
        <v>0</v>
      </c>
      <c r="K176" s="7" t="s">
        <v>1031</v>
      </c>
      <c r="L176" s="7" t="s">
        <v>49</v>
      </c>
      <c r="M176" s="7">
        <v>139492</v>
      </c>
      <c r="N176" s="7" t="s">
        <v>160</v>
      </c>
      <c r="O176" s="7">
        <v>110</v>
      </c>
      <c r="P176" s="7">
        <f t="shared" si="9"/>
        <v>15344120</v>
      </c>
      <c r="Q176" s="7" t="s">
        <v>28</v>
      </c>
      <c r="R176" s="8">
        <v>43434</v>
      </c>
      <c r="S176" s="8">
        <v>401768</v>
      </c>
      <c r="T176" s="7"/>
      <c r="U176" s="9">
        <f t="shared" si="8"/>
        <v>0</v>
      </c>
    </row>
    <row r="177" spans="1:21" x14ac:dyDescent="0.25">
      <c r="A177" s="2" t="s">
        <v>1080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1081</v>
      </c>
      <c r="H177" s="7" t="s">
        <v>1082</v>
      </c>
      <c r="I177" s="7" t="s">
        <v>1063</v>
      </c>
      <c r="J177" s="7">
        <v>0</v>
      </c>
      <c r="K177" s="7" t="s">
        <v>1064</v>
      </c>
      <c r="L177" s="7" t="s">
        <v>26</v>
      </c>
      <c r="M177" s="7">
        <v>646.70000000000005</v>
      </c>
      <c r="N177" s="7" t="s">
        <v>27</v>
      </c>
      <c r="O177" s="7">
        <f t="shared" ref="O177:O184" si="14">M177</f>
        <v>646.70000000000005</v>
      </c>
      <c r="P177" s="7">
        <f t="shared" ref="P177:P184" si="15">O177</f>
        <v>646.70000000000005</v>
      </c>
      <c r="Q177" s="7" t="s">
        <v>28</v>
      </c>
      <c r="R177" s="8">
        <v>41829</v>
      </c>
      <c r="S177" s="8">
        <v>401768</v>
      </c>
      <c r="T177" s="7"/>
      <c r="U177" s="9">
        <f t="shared" si="8"/>
        <v>0</v>
      </c>
    </row>
    <row r="178" spans="1:21" x14ac:dyDescent="0.25">
      <c r="A178" s="2" t="s">
        <v>1083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1066</v>
      </c>
      <c r="J178" s="7">
        <v>0</v>
      </c>
      <c r="K178" s="7" t="s">
        <v>1067</v>
      </c>
      <c r="L178" s="7" t="s">
        <v>26</v>
      </c>
      <c r="M178" s="7">
        <v>555.9</v>
      </c>
      <c r="N178" s="7" t="s">
        <v>27</v>
      </c>
      <c r="O178" s="7">
        <f t="shared" si="14"/>
        <v>555.9</v>
      </c>
      <c r="P178" s="7">
        <f t="shared" si="15"/>
        <v>555.9</v>
      </c>
      <c r="Q178" s="7" t="s">
        <v>28</v>
      </c>
      <c r="R178" s="8">
        <v>41829</v>
      </c>
      <c r="S178" s="8">
        <v>401768</v>
      </c>
      <c r="T178" s="7"/>
      <c r="U178" s="9">
        <f t="shared" si="8"/>
        <v>0</v>
      </c>
    </row>
    <row r="179" spans="1:21" x14ac:dyDescent="0.25">
      <c r="A179" s="2" t="s">
        <v>1084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1069</v>
      </c>
      <c r="J179" s="7">
        <v>0</v>
      </c>
      <c r="K179" s="7" t="s">
        <v>1070</v>
      </c>
      <c r="L179" s="7" t="s">
        <v>26</v>
      </c>
      <c r="M179" s="7">
        <v>555.9</v>
      </c>
      <c r="N179" s="7" t="s">
        <v>27</v>
      </c>
      <c r="O179" s="7">
        <f t="shared" si="14"/>
        <v>555.9</v>
      </c>
      <c r="P179" s="7">
        <f t="shared" si="15"/>
        <v>555.9</v>
      </c>
      <c r="Q179" s="7" t="s">
        <v>28</v>
      </c>
      <c r="R179" s="8">
        <v>41829</v>
      </c>
      <c r="S179" s="8">
        <v>401768</v>
      </c>
      <c r="T179" s="7"/>
      <c r="U179" s="9">
        <f t="shared" si="8"/>
        <v>0</v>
      </c>
    </row>
    <row r="180" spans="1:21" x14ac:dyDescent="0.25">
      <c r="A180" s="2" t="s">
        <v>1085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1072</v>
      </c>
      <c r="J180" s="7">
        <v>0</v>
      </c>
      <c r="K180" s="7" t="s">
        <v>1073</v>
      </c>
      <c r="L180" s="7" t="s">
        <v>26</v>
      </c>
      <c r="M180" s="7">
        <v>646.70000000000005</v>
      </c>
      <c r="N180" s="7" t="s">
        <v>27</v>
      </c>
      <c r="O180" s="7">
        <f t="shared" si="14"/>
        <v>646.70000000000005</v>
      </c>
      <c r="P180" s="7">
        <f t="shared" si="15"/>
        <v>646.70000000000005</v>
      </c>
      <c r="Q180" s="7" t="s">
        <v>28</v>
      </c>
      <c r="R180" s="8">
        <v>41829</v>
      </c>
      <c r="S180" s="8">
        <v>401768</v>
      </c>
      <c r="T180" s="7"/>
      <c r="U180" s="9">
        <f t="shared" si="8"/>
        <v>0</v>
      </c>
    </row>
    <row r="181" spans="1:21" x14ac:dyDescent="0.25">
      <c r="A181" s="2" t="s">
        <v>1086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1087</v>
      </c>
      <c r="J181" s="7">
        <v>0</v>
      </c>
      <c r="K181" s="7" t="s">
        <v>1088</v>
      </c>
      <c r="L181" s="7" t="s">
        <v>49</v>
      </c>
      <c r="M181" s="7">
        <v>1085118</v>
      </c>
      <c r="N181" s="7" t="s">
        <v>27</v>
      </c>
      <c r="O181" s="7">
        <f t="shared" si="14"/>
        <v>1085118</v>
      </c>
      <c r="P181" s="7">
        <f t="shared" si="15"/>
        <v>1085118</v>
      </c>
      <c r="Q181" s="7" t="s">
        <v>28</v>
      </c>
      <c r="R181" s="8">
        <v>42469</v>
      </c>
      <c r="S181" s="8">
        <v>401768</v>
      </c>
      <c r="T181" s="7"/>
      <c r="U181" s="9">
        <f t="shared" si="8"/>
        <v>0</v>
      </c>
    </row>
    <row r="182" spans="1:21" x14ac:dyDescent="0.25">
      <c r="A182" s="2" t="s">
        <v>1089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1090</v>
      </c>
      <c r="J182" s="7">
        <v>0</v>
      </c>
      <c r="K182" s="7" t="s">
        <v>1091</v>
      </c>
      <c r="L182" s="7" t="s">
        <v>49</v>
      </c>
      <c r="M182" s="7">
        <v>1085118</v>
      </c>
      <c r="N182" s="7" t="s">
        <v>27</v>
      </c>
      <c r="O182" s="7">
        <f t="shared" si="14"/>
        <v>1085118</v>
      </c>
      <c r="P182" s="7">
        <f t="shared" si="15"/>
        <v>1085118</v>
      </c>
      <c r="Q182" s="7" t="s">
        <v>28</v>
      </c>
      <c r="R182" s="8">
        <v>42469</v>
      </c>
      <c r="S182" s="8">
        <v>401768</v>
      </c>
      <c r="T182" s="7"/>
      <c r="U182" s="9">
        <f t="shared" si="8"/>
        <v>0</v>
      </c>
    </row>
    <row r="183" spans="1:21" x14ac:dyDescent="0.25">
      <c r="A183" s="2" t="s">
        <v>1092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1093</v>
      </c>
      <c r="J183" s="7">
        <v>0</v>
      </c>
      <c r="K183" s="7" t="s">
        <v>1094</v>
      </c>
      <c r="L183" s="7" t="s">
        <v>49</v>
      </c>
      <c r="M183" s="7">
        <v>1220752</v>
      </c>
      <c r="N183" s="7" t="s">
        <v>27</v>
      </c>
      <c r="O183" s="7">
        <f t="shared" si="14"/>
        <v>1220752</v>
      </c>
      <c r="P183" s="7">
        <f t="shared" si="15"/>
        <v>1220752</v>
      </c>
      <c r="Q183" s="7" t="s">
        <v>28</v>
      </c>
      <c r="R183" s="8">
        <v>42469</v>
      </c>
      <c r="S183" s="8">
        <v>401768</v>
      </c>
      <c r="T183" s="7"/>
      <c r="U183" s="9">
        <f t="shared" si="8"/>
        <v>0</v>
      </c>
    </row>
    <row r="184" spans="1:21" x14ac:dyDescent="0.25">
      <c r="A184" s="2" t="s">
        <v>1095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1096</v>
      </c>
      <c r="J184" s="7">
        <v>0</v>
      </c>
      <c r="K184" s="7" t="s">
        <v>1097</v>
      </c>
      <c r="L184" s="7" t="s">
        <v>49</v>
      </c>
      <c r="M184" s="7">
        <v>59663</v>
      </c>
      <c r="N184" s="7" t="s">
        <v>27</v>
      </c>
      <c r="O184" s="7">
        <f t="shared" si="14"/>
        <v>59663</v>
      </c>
      <c r="P184" s="7">
        <f t="shared" si="15"/>
        <v>59663</v>
      </c>
      <c r="Q184" s="7" t="s">
        <v>28</v>
      </c>
      <c r="R184" s="8">
        <v>42469</v>
      </c>
      <c r="S184" s="8">
        <v>401768</v>
      </c>
      <c r="T184" s="7"/>
      <c r="U184" s="9">
        <f t="shared" si="8"/>
        <v>0</v>
      </c>
    </row>
    <row r="185" spans="1:21" x14ac:dyDescent="0.25">
      <c r="A185" s="2" t="s">
        <v>1060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1061</v>
      </c>
      <c r="H185" s="7" t="s">
        <v>1062</v>
      </c>
      <c r="I185" s="7" t="s">
        <v>1063</v>
      </c>
      <c r="J185" s="7">
        <v>0</v>
      </c>
      <c r="K185" s="7" t="s">
        <v>1064</v>
      </c>
      <c r="L185" s="7" t="s">
        <v>26</v>
      </c>
      <c r="M185" s="7">
        <v>7.62</v>
      </c>
      <c r="N185" s="7" t="s">
        <v>160</v>
      </c>
      <c r="O185" s="7">
        <v>110</v>
      </c>
      <c r="P185" s="7">
        <f t="shared" si="9"/>
        <v>838.2</v>
      </c>
      <c r="Q185" s="7" t="s">
        <v>28</v>
      </c>
      <c r="R185" s="8">
        <v>41453</v>
      </c>
      <c r="S185" s="8">
        <v>401768</v>
      </c>
      <c r="T185" s="7"/>
      <c r="U185" s="9">
        <f t="shared" si="8"/>
        <v>0</v>
      </c>
    </row>
    <row r="186" spans="1:21" x14ac:dyDescent="0.25">
      <c r="A186" s="2" t="s">
        <v>1065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1066</v>
      </c>
      <c r="J186" s="7">
        <v>0</v>
      </c>
      <c r="K186" s="7" t="s">
        <v>1067</v>
      </c>
      <c r="L186" s="7" t="s">
        <v>26</v>
      </c>
      <c r="M186" s="7">
        <v>8.6300000000000008</v>
      </c>
      <c r="N186" s="7" t="s">
        <v>160</v>
      </c>
      <c r="O186" s="7">
        <v>110</v>
      </c>
      <c r="P186" s="7">
        <f t="shared" si="9"/>
        <v>949.30000000000007</v>
      </c>
      <c r="Q186" s="7" t="s">
        <v>28</v>
      </c>
      <c r="R186" s="8">
        <v>41772</v>
      </c>
      <c r="S186" s="8">
        <v>401768</v>
      </c>
      <c r="T186" s="7"/>
      <c r="U186" s="9">
        <f t="shared" si="8"/>
        <v>0</v>
      </c>
    </row>
    <row r="187" spans="1:21" x14ac:dyDescent="0.25">
      <c r="A187" s="2" t="s">
        <v>1068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1069</v>
      </c>
      <c r="J187" s="7">
        <v>0</v>
      </c>
      <c r="K187" s="7" t="s">
        <v>1070</v>
      </c>
      <c r="L187" s="7" t="s">
        <v>26</v>
      </c>
      <c r="M187" s="7">
        <v>6.55</v>
      </c>
      <c r="N187" s="7" t="s">
        <v>160</v>
      </c>
      <c r="O187" s="7">
        <v>110</v>
      </c>
      <c r="P187" s="7">
        <f t="shared" si="9"/>
        <v>720.5</v>
      </c>
      <c r="Q187" s="7" t="s">
        <v>28</v>
      </c>
      <c r="R187" s="8">
        <v>41518</v>
      </c>
      <c r="S187" s="8">
        <v>401768</v>
      </c>
      <c r="T187" s="7"/>
      <c r="U187" s="9">
        <f t="shared" si="8"/>
        <v>0</v>
      </c>
    </row>
    <row r="188" spans="1:21" x14ac:dyDescent="0.25">
      <c r="A188" s="2" t="s">
        <v>1071</v>
      </c>
      <c r="B188" s="6">
        <v>43959</v>
      </c>
      <c r="C188" s="7" t="s">
        <v>20</v>
      </c>
      <c r="D188" s="7" t="s">
        <v>21</v>
      </c>
      <c r="E188" s="7" t="s">
        <v>28</v>
      </c>
      <c r="F188" s="7" t="s">
        <v>28</v>
      </c>
      <c r="G188" s="7" t="s">
        <v>1061</v>
      </c>
      <c r="H188" s="7" t="s">
        <v>1062</v>
      </c>
      <c r="I188" s="7" t="s">
        <v>1072</v>
      </c>
      <c r="J188" s="7">
        <v>0</v>
      </c>
      <c r="K188" s="7" t="s">
        <v>1073</v>
      </c>
      <c r="L188" s="7" t="s">
        <v>26</v>
      </c>
      <c r="M188" s="7">
        <v>12.56</v>
      </c>
      <c r="N188" s="7" t="s">
        <v>160</v>
      </c>
      <c r="O188" s="7">
        <v>110</v>
      </c>
      <c r="P188" s="7">
        <f t="shared" si="9"/>
        <v>1381.6000000000001</v>
      </c>
      <c r="Q188" s="7" t="s">
        <v>28</v>
      </c>
      <c r="R188" s="8">
        <v>41608</v>
      </c>
      <c r="S188" s="8">
        <v>401768</v>
      </c>
      <c r="T188" s="7"/>
      <c r="U188" s="9">
        <f t="shared" si="8"/>
        <v>0</v>
      </c>
    </row>
    <row r="189" spans="1:21" x14ac:dyDescent="0.25">
      <c r="A189" s="2" t="s">
        <v>1074</v>
      </c>
      <c r="B189" s="6">
        <v>43959</v>
      </c>
      <c r="C189" s="7" t="s">
        <v>20</v>
      </c>
      <c r="D189" s="7" t="s">
        <v>21</v>
      </c>
      <c r="E189" s="7" t="s">
        <v>20</v>
      </c>
      <c r="F189" s="7" t="s">
        <v>21</v>
      </c>
      <c r="G189" s="7" t="s">
        <v>1061</v>
      </c>
      <c r="H189" s="7" t="s">
        <v>1062</v>
      </c>
      <c r="I189" s="7" t="s">
        <v>1075</v>
      </c>
      <c r="J189" s="7">
        <v>0</v>
      </c>
      <c r="K189" s="7" t="s">
        <v>1076</v>
      </c>
      <c r="L189" s="7" t="s">
        <v>26</v>
      </c>
      <c r="M189" s="7">
        <v>25</v>
      </c>
      <c r="N189" s="7" t="s">
        <v>160</v>
      </c>
      <c r="O189" s="7">
        <v>110</v>
      </c>
      <c r="P189" s="7">
        <f t="shared" si="9"/>
        <v>2750</v>
      </c>
      <c r="Q189" s="7" t="s">
        <v>28</v>
      </c>
      <c r="R189" s="8">
        <v>41802</v>
      </c>
      <c r="S189" s="8">
        <v>401768</v>
      </c>
      <c r="T189" s="7"/>
      <c r="U189" s="9">
        <f t="shared" si="8"/>
        <v>0</v>
      </c>
    </row>
    <row r="190" spans="1:21" x14ac:dyDescent="0.25">
      <c r="A190" s="2" t="s">
        <v>1077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1078</v>
      </c>
      <c r="J190" s="7">
        <v>0</v>
      </c>
      <c r="K190" s="7" t="s">
        <v>1079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9"/>
        <v>2750</v>
      </c>
      <c r="Q190" s="7" t="s">
        <v>28</v>
      </c>
      <c r="R190" s="8">
        <v>41802</v>
      </c>
      <c r="S190" s="8">
        <v>401768</v>
      </c>
      <c r="T190" s="7"/>
      <c r="U190" s="9">
        <f t="shared" si="8"/>
        <v>0</v>
      </c>
    </row>
    <row r="191" spans="1:21" x14ac:dyDescent="0.25">
      <c r="A191" s="2" t="s">
        <v>1316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1246</v>
      </c>
      <c r="H191" s="7" t="s">
        <v>1247</v>
      </c>
      <c r="I191" s="7" t="s">
        <v>1317</v>
      </c>
      <c r="J191" s="7">
        <v>0</v>
      </c>
      <c r="K191" s="7" t="s">
        <v>1318</v>
      </c>
      <c r="L191" s="7" t="s">
        <v>26</v>
      </c>
      <c r="M191" s="7">
        <v>56.5</v>
      </c>
      <c r="N191" s="7" t="s">
        <v>27</v>
      </c>
      <c r="O191" s="7">
        <f t="shared" ref="O191:O221" si="16">M191</f>
        <v>56.5</v>
      </c>
      <c r="P191" s="7">
        <f t="shared" ref="P191:P221" si="17">O191</f>
        <v>56.5</v>
      </c>
      <c r="Q191" s="7" t="s">
        <v>28</v>
      </c>
      <c r="R191" s="8">
        <v>41387</v>
      </c>
      <c r="S191" s="8">
        <v>401768</v>
      </c>
      <c r="T191" s="7"/>
      <c r="U191" s="9">
        <f t="shared" si="8"/>
        <v>0</v>
      </c>
    </row>
    <row r="192" spans="1:21" x14ac:dyDescent="0.25">
      <c r="A192" s="2" t="s">
        <v>1319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1320</v>
      </c>
      <c r="J192" s="7">
        <v>0</v>
      </c>
      <c r="K192" s="7" t="s">
        <v>1321</v>
      </c>
      <c r="L192" s="7" t="s">
        <v>26</v>
      </c>
      <c r="M192" s="7">
        <v>41.77</v>
      </c>
      <c r="N192" s="7" t="s">
        <v>27</v>
      </c>
      <c r="O192" s="7">
        <f t="shared" si="16"/>
        <v>41.77</v>
      </c>
      <c r="P192" s="7">
        <f t="shared" si="17"/>
        <v>41.77</v>
      </c>
      <c r="Q192" s="7" t="s">
        <v>28</v>
      </c>
      <c r="R192" s="8">
        <v>42123</v>
      </c>
      <c r="S192" s="8">
        <v>401768</v>
      </c>
      <c r="T192" s="7"/>
      <c r="U192" s="9">
        <f t="shared" si="8"/>
        <v>0</v>
      </c>
    </row>
    <row r="193" spans="1:21" x14ac:dyDescent="0.25">
      <c r="A193" s="2" t="s">
        <v>1322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1323</v>
      </c>
      <c r="J193" s="7">
        <v>0</v>
      </c>
      <c r="K193" s="7" t="s">
        <v>1324</v>
      </c>
      <c r="L193" s="7" t="s">
        <v>26</v>
      </c>
      <c r="M193" s="7">
        <v>25.08</v>
      </c>
      <c r="N193" s="7" t="s">
        <v>27</v>
      </c>
      <c r="O193" s="7">
        <f t="shared" si="16"/>
        <v>25.08</v>
      </c>
      <c r="P193" s="7">
        <f t="shared" si="17"/>
        <v>25.08</v>
      </c>
      <c r="Q193" s="7" t="s">
        <v>28</v>
      </c>
      <c r="R193" s="8">
        <v>42123</v>
      </c>
      <c r="S193" s="8">
        <v>401768</v>
      </c>
      <c r="T193" s="7"/>
      <c r="U193" s="9">
        <f t="shared" si="8"/>
        <v>0</v>
      </c>
    </row>
    <row r="194" spans="1:21" x14ac:dyDescent="0.25">
      <c r="A194" s="2" t="s">
        <v>1325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1326</v>
      </c>
      <c r="J194" s="7">
        <v>0</v>
      </c>
      <c r="K194" s="7" t="s">
        <v>1327</v>
      </c>
      <c r="L194" s="7" t="s">
        <v>26</v>
      </c>
      <c r="M194" s="7">
        <v>17.8</v>
      </c>
      <c r="N194" s="7" t="s">
        <v>27</v>
      </c>
      <c r="O194" s="7">
        <f t="shared" si="16"/>
        <v>17.8</v>
      </c>
      <c r="P194" s="7">
        <f t="shared" si="17"/>
        <v>17.8</v>
      </c>
      <c r="Q194" s="7" t="s">
        <v>28</v>
      </c>
      <c r="R194" s="8">
        <v>42123</v>
      </c>
      <c r="S194" s="8">
        <v>401768</v>
      </c>
      <c r="T194" s="7"/>
      <c r="U194" s="9">
        <f t="shared" si="8"/>
        <v>0</v>
      </c>
    </row>
    <row r="195" spans="1:21" x14ac:dyDescent="0.25">
      <c r="A195" s="2" t="s">
        <v>1328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1329</v>
      </c>
      <c r="J195" s="7">
        <v>0</v>
      </c>
      <c r="K195" s="7" t="s">
        <v>1330</v>
      </c>
      <c r="L195" s="7" t="s">
        <v>26</v>
      </c>
      <c r="M195" s="7">
        <v>52.5</v>
      </c>
      <c r="N195" s="7" t="s">
        <v>27</v>
      </c>
      <c r="O195" s="7">
        <f t="shared" si="16"/>
        <v>52.5</v>
      </c>
      <c r="P195" s="7">
        <f t="shared" si="17"/>
        <v>52.5</v>
      </c>
      <c r="Q195" s="7" t="s">
        <v>28</v>
      </c>
      <c r="R195" s="8">
        <v>41387</v>
      </c>
      <c r="S195" s="8">
        <v>401768</v>
      </c>
      <c r="T195" s="7"/>
      <c r="U195" s="9">
        <f t="shared" ref="U195:U258" si="18">T195*P195/100000</f>
        <v>0</v>
      </c>
    </row>
    <row r="196" spans="1:21" x14ac:dyDescent="0.25">
      <c r="A196" s="2" t="s">
        <v>6209</v>
      </c>
      <c r="B196" s="6">
        <v>44609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6210</v>
      </c>
      <c r="J196" s="7">
        <v>0</v>
      </c>
      <c r="K196" s="7" t="s">
        <v>6211</v>
      </c>
      <c r="L196" s="7" t="s">
        <v>26</v>
      </c>
      <c r="M196" s="7">
        <v>68.33</v>
      </c>
      <c r="N196" s="7" t="s">
        <v>27</v>
      </c>
      <c r="O196" s="7">
        <f t="shared" si="16"/>
        <v>68.33</v>
      </c>
      <c r="P196" s="7">
        <f t="shared" si="17"/>
        <v>68.33</v>
      </c>
      <c r="Q196" s="7" t="s">
        <v>28</v>
      </c>
      <c r="R196" s="8">
        <v>46144</v>
      </c>
      <c r="S196" s="8">
        <v>401768</v>
      </c>
      <c r="T196" s="7">
        <v>7000</v>
      </c>
      <c r="U196" s="9">
        <f t="shared" si="18"/>
        <v>4.7831000000000001</v>
      </c>
    </row>
    <row r="197" spans="1:21" x14ac:dyDescent="0.25">
      <c r="A197" s="2" t="s">
        <v>6212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6213</v>
      </c>
      <c r="J197" s="7">
        <v>0</v>
      </c>
      <c r="K197" s="7" t="s">
        <v>6214</v>
      </c>
      <c r="L197" s="7" t="s">
        <v>26</v>
      </c>
      <c r="M197" s="7">
        <v>85.89</v>
      </c>
      <c r="N197" s="7" t="s">
        <v>27</v>
      </c>
      <c r="O197" s="7">
        <f t="shared" si="16"/>
        <v>85.89</v>
      </c>
      <c r="P197" s="7">
        <f t="shared" si="17"/>
        <v>85.89</v>
      </c>
      <c r="Q197" s="7" t="s">
        <v>28</v>
      </c>
      <c r="R197" s="8">
        <v>46144</v>
      </c>
      <c r="S197" s="8">
        <v>401768</v>
      </c>
      <c r="T197" s="7">
        <v>30000</v>
      </c>
      <c r="U197" s="9">
        <f t="shared" si="18"/>
        <v>25.766999999999999</v>
      </c>
    </row>
    <row r="198" spans="1:21" x14ac:dyDescent="0.25">
      <c r="A198" s="2" t="s">
        <v>6215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6216</v>
      </c>
      <c r="J198" s="7">
        <v>0</v>
      </c>
      <c r="K198" s="7" t="s">
        <v>6217</v>
      </c>
      <c r="L198" s="7" t="s">
        <v>26</v>
      </c>
      <c r="M198" s="7">
        <v>108.91</v>
      </c>
      <c r="N198" s="7" t="s">
        <v>27</v>
      </c>
      <c r="O198" s="7">
        <f t="shared" si="16"/>
        <v>108.91</v>
      </c>
      <c r="P198" s="7">
        <f t="shared" si="17"/>
        <v>108.91</v>
      </c>
      <c r="Q198" s="7" t="s">
        <v>28</v>
      </c>
      <c r="R198" s="8">
        <v>46144</v>
      </c>
      <c r="S198" s="8">
        <v>401768</v>
      </c>
      <c r="T198" s="7">
        <v>3000</v>
      </c>
      <c r="U198" s="9">
        <f t="shared" si="18"/>
        <v>3.2673000000000001</v>
      </c>
    </row>
    <row r="199" spans="1:21" x14ac:dyDescent="0.25">
      <c r="A199" s="2" t="s">
        <v>3803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6218</v>
      </c>
      <c r="J199" s="7">
        <v>0</v>
      </c>
      <c r="K199" s="7" t="s">
        <v>6219</v>
      </c>
      <c r="L199" s="7" t="s">
        <v>26</v>
      </c>
      <c r="M199" s="7">
        <v>387.88</v>
      </c>
      <c r="N199" s="7" t="s">
        <v>27</v>
      </c>
      <c r="O199" s="7">
        <f t="shared" si="16"/>
        <v>387.88</v>
      </c>
      <c r="P199" s="7">
        <f t="shared" si="17"/>
        <v>387.88</v>
      </c>
      <c r="Q199" s="7" t="s">
        <v>28</v>
      </c>
      <c r="R199" s="8">
        <v>46144</v>
      </c>
      <c r="S199" s="8">
        <v>401768</v>
      </c>
      <c r="T199" s="7"/>
      <c r="U199" s="9">
        <f t="shared" si="18"/>
        <v>0</v>
      </c>
    </row>
    <row r="200" spans="1:21" x14ac:dyDescent="0.25">
      <c r="A200" s="2" t="s">
        <v>3838</v>
      </c>
      <c r="B200" s="6">
        <v>44723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6370</v>
      </c>
      <c r="J200" s="7">
        <v>0</v>
      </c>
      <c r="K200" s="7" t="s">
        <v>6371</v>
      </c>
      <c r="L200" s="7" t="s">
        <v>26</v>
      </c>
      <c r="M200" s="7">
        <v>108.83</v>
      </c>
      <c r="N200" s="7" t="s">
        <v>27</v>
      </c>
      <c r="O200" s="7">
        <f t="shared" si="16"/>
        <v>108.83</v>
      </c>
      <c r="P200" s="7">
        <f t="shared" si="17"/>
        <v>108.83</v>
      </c>
      <c r="Q200" s="7" t="s">
        <v>28</v>
      </c>
      <c r="R200" s="8">
        <v>46144</v>
      </c>
      <c r="S200" s="8">
        <v>401768</v>
      </c>
      <c r="T200" s="7"/>
      <c r="U200" s="9">
        <f t="shared" si="18"/>
        <v>0</v>
      </c>
    </row>
    <row r="201" spans="1:21" x14ac:dyDescent="0.25">
      <c r="A201" s="2" t="s">
        <v>3834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6372</v>
      </c>
      <c r="J201" s="7">
        <v>0</v>
      </c>
      <c r="K201" s="7" t="s">
        <v>6373</v>
      </c>
      <c r="L201" s="7" t="s">
        <v>26</v>
      </c>
      <c r="M201" s="7">
        <v>126.39</v>
      </c>
      <c r="N201" s="7" t="s">
        <v>27</v>
      </c>
      <c r="O201" s="7">
        <f t="shared" si="16"/>
        <v>126.39</v>
      </c>
      <c r="P201" s="7">
        <f t="shared" si="17"/>
        <v>126.39</v>
      </c>
      <c r="Q201" s="7" t="s">
        <v>28</v>
      </c>
      <c r="R201" s="8">
        <v>46144</v>
      </c>
      <c r="S201" s="8">
        <v>401768</v>
      </c>
      <c r="T201" s="7"/>
      <c r="U201" s="9">
        <f t="shared" si="18"/>
        <v>0</v>
      </c>
    </row>
    <row r="202" spans="1:21" x14ac:dyDescent="0.25">
      <c r="A202" s="2" t="s">
        <v>3841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6374</v>
      </c>
      <c r="J202" s="7">
        <v>0</v>
      </c>
      <c r="K202" s="7" t="s">
        <v>6375</v>
      </c>
      <c r="L202" s="7" t="s">
        <v>26</v>
      </c>
      <c r="M202" s="7">
        <v>155.01</v>
      </c>
      <c r="N202" s="7" t="s">
        <v>27</v>
      </c>
      <c r="O202" s="7">
        <f t="shared" si="16"/>
        <v>155.01</v>
      </c>
      <c r="P202" s="7">
        <f t="shared" si="17"/>
        <v>155.01</v>
      </c>
      <c r="Q202" s="7" t="s">
        <v>28</v>
      </c>
      <c r="R202" s="8">
        <v>46144</v>
      </c>
      <c r="S202" s="8">
        <v>401768</v>
      </c>
      <c r="T202" s="7"/>
      <c r="U202" s="9">
        <f t="shared" si="18"/>
        <v>0</v>
      </c>
    </row>
    <row r="203" spans="1:21" x14ac:dyDescent="0.25">
      <c r="A203" s="2" t="s">
        <v>4823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6376</v>
      </c>
      <c r="J203" s="7">
        <v>0</v>
      </c>
      <c r="K203" s="7" t="s">
        <v>6377</v>
      </c>
      <c r="L203" s="7" t="s">
        <v>26</v>
      </c>
      <c r="M203" s="7">
        <v>533.38</v>
      </c>
      <c r="N203" s="7" t="s">
        <v>27</v>
      </c>
      <c r="O203" s="7">
        <f t="shared" si="16"/>
        <v>533.38</v>
      </c>
      <c r="P203" s="7">
        <f t="shared" si="17"/>
        <v>533.38</v>
      </c>
      <c r="Q203" s="7" t="s">
        <v>28</v>
      </c>
      <c r="R203" s="8">
        <v>46144</v>
      </c>
      <c r="S203" s="8">
        <v>401768</v>
      </c>
      <c r="T203" s="7"/>
      <c r="U203" s="9">
        <f t="shared" si="18"/>
        <v>0</v>
      </c>
    </row>
    <row r="204" spans="1:21" x14ac:dyDescent="0.25">
      <c r="A204" s="2" t="s">
        <v>5179</v>
      </c>
      <c r="B204" s="6">
        <v>44905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6511</v>
      </c>
      <c r="J204" s="7">
        <v>0</v>
      </c>
      <c r="K204" s="7" t="s">
        <v>6512</v>
      </c>
      <c r="L204" s="7" t="s">
        <v>26</v>
      </c>
      <c r="M204" s="7">
        <v>68.33</v>
      </c>
      <c r="N204" s="7" t="s">
        <v>27</v>
      </c>
      <c r="O204" s="7">
        <f t="shared" si="16"/>
        <v>68.33</v>
      </c>
      <c r="P204" s="7">
        <f t="shared" si="17"/>
        <v>68.33</v>
      </c>
      <c r="Q204" s="7" t="s">
        <v>28</v>
      </c>
      <c r="R204" s="8">
        <v>46144</v>
      </c>
      <c r="S204" s="8">
        <v>401768</v>
      </c>
      <c r="T204" s="7"/>
      <c r="U204" s="9">
        <f t="shared" si="18"/>
        <v>0</v>
      </c>
    </row>
    <row r="205" spans="1:21" x14ac:dyDescent="0.25">
      <c r="A205" s="2" t="s">
        <v>6513</v>
      </c>
      <c r="B205" s="6">
        <v>44925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6514</v>
      </c>
      <c r="J205" s="7">
        <v>0</v>
      </c>
      <c r="K205" s="7" t="s">
        <v>6515</v>
      </c>
      <c r="L205" s="7" t="s">
        <v>26</v>
      </c>
      <c r="M205" s="7">
        <v>63.25</v>
      </c>
      <c r="N205" s="7" t="s">
        <v>27</v>
      </c>
      <c r="O205" s="7">
        <f t="shared" si="16"/>
        <v>63.25</v>
      </c>
      <c r="P205" s="7">
        <f t="shared" si="17"/>
        <v>63.25</v>
      </c>
      <c r="Q205" s="7" t="s">
        <v>28</v>
      </c>
      <c r="R205" s="8">
        <v>44925</v>
      </c>
      <c r="S205" s="8">
        <v>401768</v>
      </c>
      <c r="T205" s="7"/>
      <c r="U205" s="9">
        <f t="shared" si="18"/>
        <v>0</v>
      </c>
    </row>
    <row r="206" spans="1:21" x14ac:dyDescent="0.25">
      <c r="A206" s="2" t="s">
        <v>6555</v>
      </c>
      <c r="B206" s="6">
        <v>45013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6556</v>
      </c>
      <c r="J206" s="7">
        <v>0</v>
      </c>
      <c r="K206" s="7" t="s">
        <v>6557</v>
      </c>
      <c r="L206" s="7" t="s">
        <v>26</v>
      </c>
      <c r="M206" s="7">
        <v>47.95</v>
      </c>
      <c r="N206" s="7" t="s">
        <v>27</v>
      </c>
      <c r="O206" s="7">
        <f t="shared" si="16"/>
        <v>47.95</v>
      </c>
      <c r="P206" s="7">
        <f t="shared" si="17"/>
        <v>47.95</v>
      </c>
      <c r="Q206" s="7" t="s">
        <v>28</v>
      </c>
      <c r="R206" s="8">
        <v>45013</v>
      </c>
      <c r="S206" s="8">
        <v>401768</v>
      </c>
      <c r="T206" s="7"/>
      <c r="U206" s="9">
        <f t="shared" si="18"/>
        <v>0</v>
      </c>
    </row>
    <row r="207" spans="1:21" x14ac:dyDescent="0.25">
      <c r="A207" s="2" t="s">
        <v>6574</v>
      </c>
      <c r="B207" s="6">
        <v>45029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6575</v>
      </c>
      <c r="J207" s="7">
        <v>0</v>
      </c>
      <c r="K207" s="7" t="s">
        <v>6576</v>
      </c>
      <c r="L207" s="7" t="s">
        <v>26</v>
      </c>
      <c r="M207" s="7">
        <v>85.89</v>
      </c>
      <c r="N207" s="7" t="s">
        <v>27</v>
      </c>
      <c r="O207" s="7">
        <f t="shared" si="16"/>
        <v>85.89</v>
      </c>
      <c r="P207" s="7">
        <f t="shared" si="17"/>
        <v>85.89</v>
      </c>
      <c r="Q207" s="7" t="s">
        <v>28</v>
      </c>
      <c r="R207" s="8">
        <v>46144</v>
      </c>
      <c r="S207" s="8">
        <v>401768</v>
      </c>
      <c r="T207" s="7"/>
      <c r="U207" s="9">
        <f t="shared" si="18"/>
        <v>0</v>
      </c>
    </row>
    <row r="208" spans="1:21" x14ac:dyDescent="0.25">
      <c r="A208" s="2" t="s">
        <v>224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6577</v>
      </c>
      <c r="J208" s="7">
        <v>0</v>
      </c>
      <c r="K208" s="7" t="s">
        <v>6578</v>
      </c>
      <c r="L208" s="7" t="s">
        <v>26</v>
      </c>
      <c r="M208" s="7">
        <v>108.91</v>
      </c>
      <c r="N208" s="7" t="s">
        <v>27</v>
      </c>
      <c r="O208" s="7">
        <f t="shared" si="16"/>
        <v>108.91</v>
      </c>
      <c r="P208" s="7">
        <f t="shared" si="17"/>
        <v>108.91</v>
      </c>
      <c r="Q208" s="7" t="s">
        <v>28</v>
      </c>
      <c r="R208" s="8">
        <v>46144</v>
      </c>
      <c r="S208" s="8">
        <v>401768</v>
      </c>
      <c r="T208" s="7">
        <v>200</v>
      </c>
      <c r="U208" s="9">
        <f t="shared" si="18"/>
        <v>0.21782000000000001</v>
      </c>
    </row>
    <row r="209" spans="1:21" x14ac:dyDescent="0.25">
      <c r="A209" s="2" t="s">
        <v>6713</v>
      </c>
      <c r="B209" s="6">
        <v>45103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6714</v>
      </c>
      <c r="J209" s="7">
        <v>0</v>
      </c>
      <c r="K209" s="7" t="s">
        <v>6715</v>
      </c>
      <c r="L209" s="7" t="s">
        <v>26</v>
      </c>
      <c r="M209" s="7">
        <v>387.88</v>
      </c>
      <c r="N209" s="7" t="s">
        <v>27</v>
      </c>
      <c r="O209" s="7">
        <f t="shared" si="16"/>
        <v>387.88</v>
      </c>
      <c r="P209" s="7">
        <f t="shared" si="17"/>
        <v>387.88</v>
      </c>
      <c r="Q209" s="7" t="s">
        <v>28</v>
      </c>
      <c r="R209" s="8">
        <v>46144</v>
      </c>
      <c r="S209" s="8">
        <v>401768</v>
      </c>
      <c r="T209" s="7"/>
      <c r="U209" s="9">
        <f t="shared" si="18"/>
        <v>0</v>
      </c>
    </row>
    <row r="210" spans="1:21" x14ac:dyDescent="0.25">
      <c r="A210" s="2" t="s">
        <v>6803</v>
      </c>
      <c r="B210" s="6">
        <v>45146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6804</v>
      </c>
      <c r="J210" s="7">
        <v>0</v>
      </c>
      <c r="K210" s="7" t="s">
        <v>6371</v>
      </c>
      <c r="L210" s="7" t="s">
        <v>26</v>
      </c>
      <c r="M210" s="7">
        <v>14</v>
      </c>
      <c r="N210" s="7" t="s">
        <v>27</v>
      </c>
      <c r="O210" s="7">
        <f t="shared" si="16"/>
        <v>14</v>
      </c>
      <c r="P210" s="7">
        <f t="shared" si="17"/>
        <v>14</v>
      </c>
      <c r="Q210" s="7" t="s">
        <v>28</v>
      </c>
      <c r="R210" s="8">
        <v>45146</v>
      </c>
      <c r="S210" s="8">
        <v>401768</v>
      </c>
      <c r="T210" s="7"/>
      <c r="U210" s="9">
        <f t="shared" si="18"/>
        <v>0</v>
      </c>
    </row>
    <row r="211" spans="1:21" x14ac:dyDescent="0.25">
      <c r="A211" s="2" t="s">
        <v>6805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6806</v>
      </c>
      <c r="J211" s="7">
        <v>0</v>
      </c>
      <c r="K211" s="7" t="s">
        <v>6373</v>
      </c>
      <c r="L211" s="7" t="s">
        <v>26</v>
      </c>
      <c r="M211" s="7">
        <v>18</v>
      </c>
      <c r="N211" s="7" t="s">
        <v>27</v>
      </c>
      <c r="O211" s="7">
        <f t="shared" si="16"/>
        <v>18</v>
      </c>
      <c r="P211" s="7">
        <f t="shared" si="17"/>
        <v>18</v>
      </c>
      <c r="Q211" s="7" t="s">
        <v>28</v>
      </c>
      <c r="R211" s="8">
        <v>45146</v>
      </c>
      <c r="S211" s="8">
        <v>401768</v>
      </c>
      <c r="T211" s="7"/>
      <c r="U211" s="9">
        <f t="shared" si="18"/>
        <v>0</v>
      </c>
    </row>
    <row r="212" spans="1:21" x14ac:dyDescent="0.25">
      <c r="A212" s="2" t="s">
        <v>6826</v>
      </c>
      <c r="B212" s="6">
        <v>45164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6827</v>
      </c>
      <c r="J212" s="7">
        <v>0</v>
      </c>
      <c r="K212" s="7" t="s">
        <v>6828</v>
      </c>
      <c r="L212" s="7" t="s">
        <v>26</v>
      </c>
      <c r="M212" s="7">
        <v>5.5</v>
      </c>
      <c r="N212" s="7" t="s">
        <v>27</v>
      </c>
      <c r="O212" s="7">
        <f t="shared" si="16"/>
        <v>5.5</v>
      </c>
      <c r="P212" s="7">
        <f t="shared" si="17"/>
        <v>5.5</v>
      </c>
      <c r="Q212" s="7" t="s">
        <v>28</v>
      </c>
      <c r="R212" s="8">
        <v>45164</v>
      </c>
      <c r="S212" s="8">
        <v>401768</v>
      </c>
      <c r="T212" s="7"/>
      <c r="U212" s="9">
        <f t="shared" si="18"/>
        <v>0</v>
      </c>
    </row>
    <row r="213" spans="1:21" x14ac:dyDescent="0.25">
      <c r="A213" s="2" t="s">
        <v>6829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6830</v>
      </c>
      <c r="J213" s="7">
        <v>0</v>
      </c>
      <c r="K213" s="7" t="s">
        <v>6831</v>
      </c>
      <c r="L213" s="7" t="s">
        <v>26</v>
      </c>
      <c r="M213" s="7">
        <v>5.5</v>
      </c>
      <c r="N213" s="7" t="s">
        <v>27</v>
      </c>
      <c r="O213" s="7">
        <f t="shared" si="16"/>
        <v>5.5</v>
      </c>
      <c r="P213" s="7">
        <f t="shared" si="17"/>
        <v>5.5</v>
      </c>
      <c r="Q213" s="7" t="s">
        <v>28</v>
      </c>
      <c r="R213" s="8">
        <v>45164</v>
      </c>
      <c r="S213" s="8">
        <v>401768</v>
      </c>
      <c r="T213" s="7"/>
      <c r="U213" s="9">
        <f t="shared" si="18"/>
        <v>0</v>
      </c>
    </row>
    <row r="214" spans="1:21" x14ac:dyDescent="0.25">
      <c r="A214" s="2" t="s">
        <v>6878</v>
      </c>
      <c r="B214" s="6">
        <v>45224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6913</v>
      </c>
      <c r="J214" s="7">
        <v>0</v>
      </c>
      <c r="K214" s="7" t="s">
        <v>6375</v>
      </c>
      <c r="L214" s="7" t="s">
        <v>26</v>
      </c>
      <c r="M214" s="7">
        <v>26</v>
      </c>
      <c r="N214" s="7" t="s">
        <v>27</v>
      </c>
      <c r="O214" s="7">
        <f t="shared" si="16"/>
        <v>26</v>
      </c>
      <c r="P214" s="7">
        <f t="shared" si="17"/>
        <v>26</v>
      </c>
      <c r="Q214" s="7" t="s">
        <v>28</v>
      </c>
      <c r="R214" s="8">
        <v>45224</v>
      </c>
      <c r="S214" s="8">
        <v>401768</v>
      </c>
      <c r="T214" s="7"/>
      <c r="U214" s="9">
        <f t="shared" si="18"/>
        <v>0</v>
      </c>
    </row>
    <row r="215" spans="1:21" x14ac:dyDescent="0.25">
      <c r="A215" s="2" t="s">
        <v>6869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6914</v>
      </c>
      <c r="J215" s="7">
        <v>0</v>
      </c>
      <c r="K215" s="7" t="s">
        <v>6915</v>
      </c>
      <c r="L215" s="7" t="s">
        <v>26</v>
      </c>
      <c r="M215" s="7">
        <v>98</v>
      </c>
      <c r="N215" s="7" t="s">
        <v>27</v>
      </c>
      <c r="O215" s="7">
        <f t="shared" si="16"/>
        <v>98</v>
      </c>
      <c r="P215" s="7">
        <f t="shared" si="17"/>
        <v>98</v>
      </c>
      <c r="Q215" s="7" t="s">
        <v>28</v>
      </c>
      <c r="R215" s="8">
        <v>45224</v>
      </c>
      <c r="S215" s="8">
        <v>401768</v>
      </c>
      <c r="T215" s="7"/>
      <c r="U215" s="9">
        <f t="shared" si="18"/>
        <v>0</v>
      </c>
    </row>
    <row r="216" spans="1:21" x14ac:dyDescent="0.25">
      <c r="A216" s="2" t="s">
        <v>1708</v>
      </c>
      <c r="B216" s="6">
        <v>43959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1709</v>
      </c>
      <c r="H216" s="7" t="s">
        <v>1710</v>
      </c>
      <c r="I216" s="7" t="s">
        <v>1711</v>
      </c>
      <c r="J216" s="7">
        <v>0</v>
      </c>
      <c r="K216" s="7" t="s">
        <v>1712</v>
      </c>
      <c r="L216" s="7" t="s">
        <v>26</v>
      </c>
      <c r="M216" s="7">
        <v>0</v>
      </c>
      <c r="N216" s="7" t="s">
        <v>27</v>
      </c>
      <c r="O216" s="7">
        <f t="shared" si="16"/>
        <v>0</v>
      </c>
      <c r="P216" s="7">
        <f t="shared" si="17"/>
        <v>0</v>
      </c>
      <c r="Q216" s="7" t="s">
        <v>28</v>
      </c>
      <c r="R216" s="8">
        <v>41275</v>
      </c>
      <c r="S216" s="8">
        <v>401768</v>
      </c>
      <c r="T216" s="7"/>
      <c r="U216" s="9">
        <f t="shared" si="18"/>
        <v>0</v>
      </c>
    </row>
    <row r="217" spans="1:21" x14ac:dyDescent="0.25">
      <c r="A217" s="2" t="s">
        <v>1713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1714</v>
      </c>
      <c r="J217" s="7">
        <v>0</v>
      </c>
      <c r="K217" s="7" t="s">
        <v>1715</v>
      </c>
      <c r="L217" s="7" t="s">
        <v>26</v>
      </c>
      <c r="M217" s="7">
        <v>0</v>
      </c>
      <c r="N217" s="7" t="s">
        <v>27</v>
      </c>
      <c r="O217" s="7">
        <f t="shared" si="16"/>
        <v>0</v>
      </c>
      <c r="P217" s="7">
        <f t="shared" si="17"/>
        <v>0</v>
      </c>
      <c r="Q217" s="7" t="s">
        <v>28</v>
      </c>
      <c r="R217" s="8">
        <v>41275</v>
      </c>
      <c r="S217" s="8">
        <v>401768</v>
      </c>
      <c r="T217" s="7"/>
      <c r="U217" s="9">
        <f t="shared" si="18"/>
        <v>0</v>
      </c>
    </row>
    <row r="218" spans="1:21" x14ac:dyDescent="0.25">
      <c r="A218" s="2" t="s">
        <v>1716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1717</v>
      </c>
      <c r="J218" s="7">
        <v>0</v>
      </c>
      <c r="K218" s="7" t="s">
        <v>1718</v>
      </c>
      <c r="L218" s="7" t="s">
        <v>26</v>
      </c>
      <c r="M218" s="7">
        <v>5.13</v>
      </c>
      <c r="N218" s="7" t="s">
        <v>27</v>
      </c>
      <c r="O218" s="7">
        <f t="shared" si="16"/>
        <v>5.13</v>
      </c>
      <c r="P218" s="7">
        <f t="shared" si="17"/>
        <v>5.13</v>
      </c>
      <c r="Q218" s="7" t="s">
        <v>28</v>
      </c>
      <c r="R218" s="8">
        <v>41426</v>
      </c>
      <c r="S218" s="8">
        <v>401768</v>
      </c>
      <c r="T218" s="7"/>
      <c r="U218" s="9">
        <f t="shared" si="18"/>
        <v>0</v>
      </c>
    </row>
    <row r="219" spans="1:21" x14ac:dyDescent="0.25">
      <c r="A219" s="2" t="s">
        <v>1719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1720</v>
      </c>
      <c r="J219" s="7">
        <v>0</v>
      </c>
      <c r="K219" s="7" t="s">
        <v>1721</v>
      </c>
      <c r="L219" s="7" t="s">
        <v>26</v>
      </c>
      <c r="M219" s="7">
        <v>7.6</v>
      </c>
      <c r="N219" s="7" t="s">
        <v>27</v>
      </c>
      <c r="O219" s="7">
        <f t="shared" si="16"/>
        <v>7.6</v>
      </c>
      <c r="P219" s="7">
        <f t="shared" si="17"/>
        <v>7.6</v>
      </c>
      <c r="Q219" s="7" t="s">
        <v>28</v>
      </c>
      <c r="R219" s="8">
        <v>41426</v>
      </c>
      <c r="S219" s="8">
        <v>401768</v>
      </c>
      <c r="T219" s="7"/>
      <c r="U219" s="9">
        <f t="shared" si="18"/>
        <v>0</v>
      </c>
    </row>
    <row r="220" spans="1:21" x14ac:dyDescent="0.25">
      <c r="A220" s="2" t="s">
        <v>3102</v>
      </c>
      <c r="B220" s="6">
        <v>44086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5764</v>
      </c>
      <c r="J220" s="7">
        <v>0</v>
      </c>
      <c r="K220" s="7" t="s">
        <v>5765</v>
      </c>
      <c r="L220" s="7" t="s">
        <v>26</v>
      </c>
      <c r="M220" s="7">
        <v>1400</v>
      </c>
      <c r="N220" s="7" t="s">
        <v>27</v>
      </c>
      <c r="O220" s="7">
        <f t="shared" si="16"/>
        <v>1400</v>
      </c>
      <c r="P220" s="7">
        <f t="shared" si="17"/>
        <v>1400</v>
      </c>
      <c r="Q220" s="7" t="s">
        <v>28</v>
      </c>
      <c r="R220" s="8">
        <v>43922</v>
      </c>
      <c r="S220" s="8">
        <v>401768</v>
      </c>
      <c r="T220" s="7">
        <v>360</v>
      </c>
      <c r="U220" s="9">
        <f t="shared" si="18"/>
        <v>5.04</v>
      </c>
    </row>
    <row r="221" spans="1:21" x14ac:dyDescent="0.25">
      <c r="A221" s="2" t="s">
        <v>7215</v>
      </c>
      <c r="B221" s="6">
        <v>45758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6791</v>
      </c>
      <c r="J221" s="7">
        <v>0</v>
      </c>
      <c r="K221" s="7" t="s">
        <v>6792</v>
      </c>
      <c r="L221" s="7" t="s">
        <v>26</v>
      </c>
      <c r="M221" s="7">
        <v>8000</v>
      </c>
      <c r="N221" s="7" t="s">
        <v>27</v>
      </c>
      <c r="O221" s="7">
        <f t="shared" si="16"/>
        <v>8000</v>
      </c>
      <c r="P221" s="7">
        <f t="shared" si="17"/>
        <v>8000</v>
      </c>
      <c r="Q221" s="7" t="s">
        <v>28</v>
      </c>
      <c r="R221" s="8">
        <v>45758</v>
      </c>
      <c r="S221" s="8">
        <v>401768</v>
      </c>
      <c r="T221" s="7">
        <v>40</v>
      </c>
      <c r="U221" s="9">
        <f t="shared" si="18"/>
        <v>3.2</v>
      </c>
    </row>
    <row r="222" spans="1:21" x14ac:dyDescent="0.25">
      <c r="A222" s="2" t="s">
        <v>7279</v>
      </c>
      <c r="B222" s="6">
        <v>45827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7493</v>
      </c>
      <c r="H222" s="7" t="s">
        <v>7494</v>
      </c>
      <c r="I222" s="7" t="s">
        <v>7495</v>
      </c>
      <c r="J222" s="7">
        <v>0</v>
      </c>
      <c r="K222" s="7" t="s">
        <v>7496</v>
      </c>
      <c r="L222" s="7" t="s">
        <v>26</v>
      </c>
      <c r="M222" s="7">
        <v>1.39</v>
      </c>
      <c r="N222" s="7" t="s">
        <v>619</v>
      </c>
      <c r="O222" s="7">
        <v>95</v>
      </c>
      <c r="P222" s="7">
        <f t="shared" ref="P222:P251" si="19">O222*M222</f>
        <v>132.04999999999998</v>
      </c>
      <c r="Q222" s="7" t="s">
        <v>28</v>
      </c>
      <c r="R222" s="8">
        <v>45827</v>
      </c>
      <c r="S222" s="8">
        <v>401768</v>
      </c>
      <c r="T222" s="7"/>
      <c r="U222" s="9">
        <f t="shared" si="18"/>
        <v>0</v>
      </c>
    </row>
    <row r="223" spans="1:21" x14ac:dyDescent="0.25">
      <c r="A223" s="2" t="s">
        <v>7282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7497</v>
      </c>
      <c r="J223" s="7">
        <v>0</v>
      </c>
      <c r="K223" s="7" t="s">
        <v>7498</v>
      </c>
      <c r="L223" s="7" t="s">
        <v>26</v>
      </c>
      <c r="M223" s="7">
        <v>1.75</v>
      </c>
      <c r="N223" s="7" t="s">
        <v>619</v>
      </c>
      <c r="O223" s="7">
        <v>95</v>
      </c>
      <c r="P223" s="7">
        <f t="shared" si="19"/>
        <v>166.25</v>
      </c>
      <c r="Q223" s="7" t="s">
        <v>28</v>
      </c>
      <c r="R223" s="8">
        <v>45827</v>
      </c>
      <c r="S223" s="8">
        <v>401768</v>
      </c>
      <c r="T223" s="7"/>
      <c r="U223" s="9">
        <f t="shared" si="18"/>
        <v>0</v>
      </c>
    </row>
    <row r="224" spans="1:21" x14ac:dyDescent="0.25">
      <c r="A224" s="2" t="s">
        <v>7303</v>
      </c>
      <c r="B224" s="6">
        <v>45997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7582</v>
      </c>
      <c r="J224" s="7">
        <v>0</v>
      </c>
      <c r="K224" s="7" t="s">
        <v>7583</v>
      </c>
      <c r="L224" s="7" t="s">
        <v>26</v>
      </c>
      <c r="M224" s="7">
        <v>1.39</v>
      </c>
      <c r="N224" s="7" t="s">
        <v>619</v>
      </c>
      <c r="O224" s="7">
        <v>95</v>
      </c>
      <c r="P224" s="7">
        <f t="shared" si="19"/>
        <v>132.04999999999998</v>
      </c>
      <c r="Q224" s="7" t="s">
        <v>28</v>
      </c>
      <c r="R224" s="8">
        <v>45997</v>
      </c>
      <c r="S224" s="8">
        <v>401768</v>
      </c>
      <c r="T224" s="7"/>
      <c r="U224" s="9">
        <f t="shared" si="18"/>
        <v>0</v>
      </c>
    </row>
    <row r="225" spans="1:21" x14ac:dyDescent="0.25">
      <c r="A225" s="2" t="s">
        <v>7416</v>
      </c>
      <c r="B225" s="6">
        <v>46099</v>
      </c>
      <c r="C225" s="7" t="s">
        <v>20</v>
      </c>
      <c r="D225" s="7" t="s">
        <v>21</v>
      </c>
      <c r="E225" s="7" t="s">
        <v>28</v>
      </c>
      <c r="F225" s="7" t="s">
        <v>28</v>
      </c>
      <c r="G225" s="7" t="s">
        <v>7493</v>
      </c>
      <c r="H225" s="7" t="s">
        <v>7494</v>
      </c>
      <c r="I225" s="7" t="s">
        <v>7654</v>
      </c>
      <c r="J225" s="7">
        <v>0</v>
      </c>
      <c r="K225" s="7" t="s">
        <v>7655</v>
      </c>
      <c r="L225" s="7" t="s">
        <v>26</v>
      </c>
      <c r="M225" s="7">
        <v>0.41</v>
      </c>
      <c r="N225" s="7" t="s">
        <v>619</v>
      </c>
      <c r="O225" s="7">
        <v>95</v>
      </c>
      <c r="P225" s="7">
        <f t="shared" si="19"/>
        <v>38.949999999999996</v>
      </c>
      <c r="Q225" s="7" t="s">
        <v>28</v>
      </c>
      <c r="R225" s="8">
        <v>46099</v>
      </c>
      <c r="S225" s="8">
        <v>401768</v>
      </c>
      <c r="T225" s="7"/>
      <c r="U225" s="9">
        <f t="shared" si="18"/>
        <v>0</v>
      </c>
    </row>
    <row r="226" spans="1:21" x14ac:dyDescent="0.25">
      <c r="A226" s="2" t="s">
        <v>209</v>
      </c>
      <c r="B226" s="6">
        <v>44296</v>
      </c>
      <c r="C226" s="7" t="s">
        <v>20</v>
      </c>
      <c r="D226" s="7" t="s">
        <v>21</v>
      </c>
      <c r="E226" s="7" t="s">
        <v>20</v>
      </c>
      <c r="F226" s="7" t="s">
        <v>21</v>
      </c>
      <c r="G226" s="7" t="s">
        <v>1671</v>
      </c>
      <c r="H226" s="7" t="s">
        <v>1672</v>
      </c>
      <c r="I226" s="7" t="s">
        <v>5983</v>
      </c>
      <c r="J226" s="7">
        <v>0</v>
      </c>
      <c r="K226" s="7" t="s">
        <v>5984</v>
      </c>
      <c r="L226" s="7" t="s">
        <v>26</v>
      </c>
      <c r="M226" s="7">
        <v>107.15</v>
      </c>
      <c r="N226" s="7" t="s">
        <v>27</v>
      </c>
      <c r="O226" s="7">
        <f t="shared" ref="O226:O242" si="20">M226</f>
        <v>107.15</v>
      </c>
      <c r="P226" s="7">
        <f t="shared" ref="P226:P242" si="21">O226</f>
        <v>107.15</v>
      </c>
      <c r="Q226" s="7" t="s">
        <v>28</v>
      </c>
      <c r="R226" s="8">
        <v>46141</v>
      </c>
      <c r="S226" s="8">
        <v>401768</v>
      </c>
      <c r="T226" s="7">
        <v>40000</v>
      </c>
      <c r="U226" s="9">
        <f t="shared" si="18"/>
        <v>42.86</v>
      </c>
    </row>
    <row r="227" spans="1:21" x14ac:dyDescent="0.25">
      <c r="A227" s="2" t="s">
        <v>212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5985</v>
      </c>
      <c r="J227" s="7">
        <v>0</v>
      </c>
      <c r="K227" s="7" t="s">
        <v>5986</v>
      </c>
      <c r="L227" s="7" t="s">
        <v>26</v>
      </c>
      <c r="M227" s="7">
        <v>142.54</v>
      </c>
      <c r="N227" s="7" t="s">
        <v>27</v>
      </c>
      <c r="O227" s="7">
        <f t="shared" si="20"/>
        <v>142.54</v>
      </c>
      <c r="P227" s="7">
        <f t="shared" si="21"/>
        <v>142.54</v>
      </c>
      <c r="Q227" s="7" t="s">
        <v>28</v>
      </c>
      <c r="R227" s="8">
        <v>46141</v>
      </c>
      <c r="S227" s="8">
        <v>401768</v>
      </c>
      <c r="T227" s="7">
        <v>40000</v>
      </c>
      <c r="U227" s="9">
        <f t="shared" si="18"/>
        <v>57.015999999999998</v>
      </c>
    </row>
    <row r="228" spans="1:21" x14ac:dyDescent="0.25">
      <c r="A228" s="2" t="s">
        <v>6004</v>
      </c>
      <c r="B228" s="6">
        <v>44341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6005</v>
      </c>
      <c r="J228" s="7">
        <v>0</v>
      </c>
      <c r="K228" s="7" t="s">
        <v>6006</v>
      </c>
      <c r="L228" s="7" t="s">
        <v>26</v>
      </c>
      <c r="M228" s="7">
        <v>114.8</v>
      </c>
      <c r="N228" s="7" t="s">
        <v>27</v>
      </c>
      <c r="O228" s="7">
        <f t="shared" si="20"/>
        <v>114.8</v>
      </c>
      <c r="P228" s="7">
        <f t="shared" si="21"/>
        <v>114.8</v>
      </c>
      <c r="Q228" s="7" t="s">
        <v>28</v>
      </c>
      <c r="R228" s="8">
        <v>46141</v>
      </c>
      <c r="S228" s="8">
        <v>401768</v>
      </c>
      <c r="T228" s="7">
        <v>20000</v>
      </c>
      <c r="U228" s="9">
        <f t="shared" si="18"/>
        <v>22.96</v>
      </c>
    </row>
    <row r="229" spans="1:21" x14ac:dyDescent="0.25">
      <c r="A229" s="2" t="s">
        <v>6007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6008</v>
      </c>
      <c r="J229" s="7">
        <v>0</v>
      </c>
      <c r="K229" s="7" t="s">
        <v>6009</v>
      </c>
      <c r="L229" s="7" t="s">
        <v>26</v>
      </c>
      <c r="M229" s="7">
        <v>136.44</v>
      </c>
      <c r="N229" s="7" t="s">
        <v>27</v>
      </c>
      <c r="O229" s="7">
        <f t="shared" si="20"/>
        <v>136.44</v>
      </c>
      <c r="P229" s="7">
        <f t="shared" si="21"/>
        <v>136.44</v>
      </c>
      <c r="Q229" s="7" t="s">
        <v>28</v>
      </c>
      <c r="R229" s="8">
        <v>46141</v>
      </c>
      <c r="S229" s="8">
        <v>401768</v>
      </c>
      <c r="T229" s="7">
        <v>20000</v>
      </c>
      <c r="U229" s="9">
        <f t="shared" si="18"/>
        <v>27.288</v>
      </c>
    </row>
    <row r="230" spans="1:21" x14ac:dyDescent="0.25">
      <c r="A230" s="2" t="s">
        <v>5292</v>
      </c>
      <c r="B230" s="6">
        <v>44693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6132</v>
      </c>
      <c r="J230" s="7">
        <v>0</v>
      </c>
      <c r="K230" s="7" t="s">
        <v>6133</v>
      </c>
      <c r="L230" s="7" t="s">
        <v>26</v>
      </c>
      <c r="M230" s="7">
        <v>4575</v>
      </c>
      <c r="N230" s="7" t="s">
        <v>27</v>
      </c>
      <c r="O230" s="7">
        <f t="shared" si="20"/>
        <v>4575</v>
      </c>
      <c r="P230" s="7">
        <f t="shared" si="21"/>
        <v>4575</v>
      </c>
      <c r="Q230" s="7" t="s">
        <v>28</v>
      </c>
      <c r="R230" s="8">
        <v>44854</v>
      </c>
      <c r="S230" s="8">
        <v>401768</v>
      </c>
      <c r="T230" s="7"/>
      <c r="U230" s="9">
        <f t="shared" si="18"/>
        <v>0</v>
      </c>
    </row>
    <row r="231" spans="1:21" x14ac:dyDescent="0.25">
      <c r="A231" s="2" t="s">
        <v>5022</v>
      </c>
      <c r="B231" s="6">
        <v>44854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6442</v>
      </c>
      <c r="J231" s="7">
        <v>0</v>
      </c>
      <c r="K231" s="7" t="s">
        <v>6443</v>
      </c>
      <c r="L231" s="7" t="s">
        <v>26</v>
      </c>
      <c r="M231" s="7">
        <v>177466.61</v>
      </c>
      <c r="N231" s="7" t="s">
        <v>27</v>
      </c>
      <c r="O231" s="7">
        <f t="shared" si="20"/>
        <v>177466.61</v>
      </c>
      <c r="P231" s="7">
        <f t="shared" si="21"/>
        <v>177466.61</v>
      </c>
      <c r="Q231" s="7" t="s">
        <v>28</v>
      </c>
      <c r="R231" s="8">
        <v>44957</v>
      </c>
      <c r="S231" s="8">
        <v>401768</v>
      </c>
      <c r="T231" s="7"/>
      <c r="U231" s="9">
        <f t="shared" si="18"/>
        <v>0</v>
      </c>
    </row>
    <row r="232" spans="1:21" x14ac:dyDescent="0.25">
      <c r="A232" s="2" t="s">
        <v>6667</v>
      </c>
      <c r="B232" s="6">
        <v>45082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6668</v>
      </c>
      <c r="J232" s="7">
        <v>0</v>
      </c>
      <c r="K232" s="7" t="s">
        <v>6669</v>
      </c>
      <c r="L232" s="7" t="s">
        <v>26</v>
      </c>
      <c r="M232" s="7">
        <v>93.76</v>
      </c>
      <c r="N232" s="7" t="s">
        <v>27</v>
      </c>
      <c r="O232" s="7">
        <f t="shared" si="20"/>
        <v>93.76</v>
      </c>
      <c r="P232" s="7">
        <f t="shared" si="21"/>
        <v>93.76</v>
      </c>
      <c r="Q232" s="7" t="s">
        <v>28</v>
      </c>
      <c r="R232" s="8">
        <v>45082</v>
      </c>
      <c r="S232" s="8">
        <v>401768</v>
      </c>
      <c r="T232" s="7"/>
      <c r="U232" s="9">
        <f t="shared" si="18"/>
        <v>0</v>
      </c>
    </row>
    <row r="233" spans="1:21" x14ac:dyDescent="0.25">
      <c r="A233" s="2" t="s">
        <v>6901</v>
      </c>
      <c r="B233" s="6">
        <v>45411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7081</v>
      </c>
      <c r="J233" s="7">
        <v>0</v>
      </c>
      <c r="K233" s="7" t="s">
        <v>7082</v>
      </c>
      <c r="L233" s="7" t="s">
        <v>26</v>
      </c>
      <c r="M233" s="7">
        <v>6.4</v>
      </c>
      <c r="N233" s="7" t="s">
        <v>27</v>
      </c>
      <c r="O233" s="7">
        <f t="shared" si="20"/>
        <v>6.4</v>
      </c>
      <c r="P233" s="7">
        <f t="shared" si="21"/>
        <v>6.4</v>
      </c>
      <c r="Q233" s="7" t="s">
        <v>28</v>
      </c>
      <c r="R233" s="8">
        <v>45411</v>
      </c>
      <c r="S233" s="8">
        <v>401768</v>
      </c>
      <c r="T233" s="7"/>
      <c r="U233" s="9">
        <f t="shared" si="18"/>
        <v>0</v>
      </c>
    </row>
    <row r="234" spans="1:21" x14ac:dyDescent="0.25">
      <c r="A234" s="2" t="s">
        <v>7169</v>
      </c>
      <c r="B234" s="6">
        <v>45721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7428</v>
      </c>
      <c r="J234" s="7">
        <v>0</v>
      </c>
      <c r="K234" s="7" t="s">
        <v>7429</v>
      </c>
      <c r="L234" s="7" t="s">
        <v>26</v>
      </c>
      <c r="M234" s="7">
        <v>760</v>
      </c>
      <c r="N234" s="7" t="s">
        <v>27</v>
      </c>
      <c r="O234" s="7">
        <f t="shared" si="20"/>
        <v>760</v>
      </c>
      <c r="P234" s="7">
        <f t="shared" si="21"/>
        <v>760</v>
      </c>
      <c r="Q234" s="7" t="s">
        <v>28</v>
      </c>
      <c r="R234" s="8">
        <v>45721</v>
      </c>
      <c r="S234" s="8">
        <v>401768</v>
      </c>
      <c r="T234" s="7"/>
      <c r="U234" s="9">
        <f t="shared" si="18"/>
        <v>0</v>
      </c>
    </row>
    <row r="235" spans="1:21" x14ac:dyDescent="0.25">
      <c r="A235" s="2" t="s">
        <v>7355</v>
      </c>
      <c r="B235" s="6">
        <v>46065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7619</v>
      </c>
      <c r="J235" s="7">
        <v>0</v>
      </c>
      <c r="K235" s="7" t="s">
        <v>7620</v>
      </c>
      <c r="L235" s="7" t="s">
        <v>26</v>
      </c>
      <c r="M235" s="7">
        <v>4.0599999999999996</v>
      </c>
      <c r="N235" s="7" t="s">
        <v>27</v>
      </c>
      <c r="O235" s="7">
        <f t="shared" si="20"/>
        <v>4.0599999999999996</v>
      </c>
      <c r="P235" s="7">
        <f t="shared" si="21"/>
        <v>4.0599999999999996</v>
      </c>
      <c r="Q235" s="7" t="s">
        <v>28</v>
      </c>
      <c r="R235" s="8">
        <v>46065</v>
      </c>
      <c r="S235" s="8">
        <v>401768</v>
      </c>
      <c r="T235" s="7"/>
      <c r="U235" s="9">
        <f t="shared" si="18"/>
        <v>0</v>
      </c>
    </row>
    <row r="236" spans="1:21" x14ac:dyDescent="0.25">
      <c r="A236" s="2" t="s">
        <v>7371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7621</v>
      </c>
      <c r="J236" s="7">
        <v>0</v>
      </c>
      <c r="K236" s="7" t="s">
        <v>7620</v>
      </c>
      <c r="L236" s="7" t="s">
        <v>26</v>
      </c>
      <c r="M236" s="7">
        <v>2.0099999999999998</v>
      </c>
      <c r="N236" s="7" t="s">
        <v>27</v>
      </c>
      <c r="O236" s="7">
        <f t="shared" si="20"/>
        <v>2.0099999999999998</v>
      </c>
      <c r="P236" s="7">
        <f t="shared" si="21"/>
        <v>2.0099999999999998</v>
      </c>
      <c r="Q236" s="7" t="s">
        <v>28</v>
      </c>
      <c r="R236" s="8">
        <v>46065</v>
      </c>
      <c r="S236" s="8">
        <v>401768</v>
      </c>
      <c r="T236" s="7"/>
      <c r="U236" s="9">
        <f t="shared" si="18"/>
        <v>0</v>
      </c>
    </row>
    <row r="237" spans="1:21" x14ac:dyDescent="0.25">
      <c r="A237" s="2" t="s">
        <v>7362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7622</v>
      </c>
      <c r="J237" s="7">
        <v>0</v>
      </c>
      <c r="K237" s="7" t="s">
        <v>7623</v>
      </c>
      <c r="L237" s="7" t="s">
        <v>26</v>
      </c>
      <c r="M237" s="7">
        <v>4.88</v>
      </c>
      <c r="N237" s="7" t="s">
        <v>27</v>
      </c>
      <c r="O237" s="7">
        <f t="shared" si="20"/>
        <v>4.88</v>
      </c>
      <c r="P237" s="7">
        <f t="shared" si="21"/>
        <v>4.88</v>
      </c>
      <c r="Q237" s="7" t="s">
        <v>28</v>
      </c>
      <c r="R237" s="8">
        <v>46065</v>
      </c>
      <c r="S237" s="8">
        <v>401768</v>
      </c>
      <c r="T237" s="7"/>
      <c r="U237" s="9">
        <f t="shared" si="18"/>
        <v>0</v>
      </c>
    </row>
    <row r="238" spans="1:21" x14ac:dyDescent="0.25">
      <c r="A238" s="2" t="s">
        <v>7378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7624</v>
      </c>
      <c r="J238" s="7">
        <v>0</v>
      </c>
      <c r="K238" s="7" t="s">
        <v>7623</v>
      </c>
      <c r="L238" s="7" t="s">
        <v>26</v>
      </c>
      <c r="M238" s="7">
        <v>2.42</v>
      </c>
      <c r="N238" s="7" t="s">
        <v>27</v>
      </c>
      <c r="O238" s="7">
        <f t="shared" si="20"/>
        <v>2.42</v>
      </c>
      <c r="P238" s="7">
        <f t="shared" si="21"/>
        <v>2.42</v>
      </c>
      <c r="Q238" s="7" t="s">
        <v>28</v>
      </c>
      <c r="R238" s="8">
        <v>46065</v>
      </c>
      <c r="S238" s="8">
        <v>401768</v>
      </c>
      <c r="T238" s="7"/>
      <c r="U238" s="9">
        <f t="shared" si="18"/>
        <v>0</v>
      </c>
    </row>
    <row r="239" spans="1:21" x14ac:dyDescent="0.25">
      <c r="A239" s="2" t="s">
        <v>7365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7625</v>
      </c>
      <c r="J239" s="7">
        <v>0</v>
      </c>
      <c r="K239" s="7" t="s">
        <v>7626</v>
      </c>
      <c r="L239" s="7" t="s">
        <v>26</v>
      </c>
      <c r="M239" s="7">
        <v>3.65</v>
      </c>
      <c r="N239" s="7" t="s">
        <v>27</v>
      </c>
      <c r="O239" s="7">
        <f t="shared" si="20"/>
        <v>3.65</v>
      </c>
      <c r="P239" s="7">
        <f t="shared" si="21"/>
        <v>3.65</v>
      </c>
      <c r="Q239" s="7" t="s">
        <v>28</v>
      </c>
      <c r="R239" s="8">
        <v>46065</v>
      </c>
      <c r="S239" s="8">
        <v>401768</v>
      </c>
      <c r="T239" s="7"/>
      <c r="U239" s="9">
        <f t="shared" si="18"/>
        <v>0</v>
      </c>
    </row>
    <row r="240" spans="1:21" x14ac:dyDescent="0.25">
      <c r="A240" s="2" t="s">
        <v>7381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7627</v>
      </c>
      <c r="J240" s="7">
        <v>0</v>
      </c>
      <c r="K240" s="7" t="s">
        <v>7626</v>
      </c>
      <c r="L240" s="7" t="s">
        <v>26</v>
      </c>
      <c r="M240" s="7">
        <v>1.81</v>
      </c>
      <c r="N240" s="7" t="s">
        <v>27</v>
      </c>
      <c r="O240" s="7">
        <f t="shared" si="20"/>
        <v>1.81</v>
      </c>
      <c r="P240" s="7">
        <f t="shared" si="21"/>
        <v>1.81</v>
      </c>
      <c r="Q240" s="7" t="s">
        <v>28</v>
      </c>
      <c r="R240" s="8">
        <v>46065</v>
      </c>
      <c r="S240" s="8">
        <v>401768</v>
      </c>
      <c r="T240" s="7"/>
      <c r="U240" s="9">
        <f t="shared" si="18"/>
        <v>0</v>
      </c>
    </row>
    <row r="241" spans="1:21" x14ac:dyDescent="0.25">
      <c r="A241" s="2" t="s">
        <v>7368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7628</v>
      </c>
      <c r="J241" s="7">
        <v>0</v>
      </c>
      <c r="K241" s="7" t="s">
        <v>7629</v>
      </c>
      <c r="L241" s="7" t="s">
        <v>26</v>
      </c>
      <c r="M241" s="7">
        <v>5.0599999999999996</v>
      </c>
      <c r="N241" s="7" t="s">
        <v>27</v>
      </c>
      <c r="O241" s="7">
        <f t="shared" si="20"/>
        <v>5.0599999999999996</v>
      </c>
      <c r="P241" s="7">
        <f t="shared" si="21"/>
        <v>5.0599999999999996</v>
      </c>
      <c r="Q241" s="7" t="s">
        <v>28</v>
      </c>
      <c r="R241" s="8">
        <v>46065</v>
      </c>
      <c r="S241" s="8">
        <v>401768</v>
      </c>
      <c r="T241" s="7"/>
      <c r="U241" s="9">
        <f t="shared" si="18"/>
        <v>0</v>
      </c>
    </row>
    <row r="242" spans="1:21" x14ac:dyDescent="0.25">
      <c r="A242" s="2" t="s">
        <v>7401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7630</v>
      </c>
      <c r="J242" s="7">
        <v>0</v>
      </c>
      <c r="K242" s="7" t="s">
        <v>7629</v>
      </c>
      <c r="L242" s="7" t="s">
        <v>26</v>
      </c>
      <c r="M242" s="7">
        <v>2.5099999999999998</v>
      </c>
      <c r="N242" s="7" t="s">
        <v>27</v>
      </c>
      <c r="O242" s="7">
        <f t="shared" si="20"/>
        <v>2.5099999999999998</v>
      </c>
      <c r="P242" s="7">
        <f t="shared" si="21"/>
        <v>2.5099999999999998</v>
      </c>
      <c r="Q242" s="7" t="s">
        <v>28</v>
      </c>
      <c r="R242" s="8">
        <v>46065</v>
      </c>
      <c r="S242" s="8">
        <v>401768</v>
      </c>
      <c r="T242" s="7"/>
      <c r="U242" s="9">
        <f t="shared" si="18"/>
        <v>0</v>
      </c>
    </row>
    <row r="243" spans="1:21" x14ac:dyDescent="0.25">
      <c r="A243" s="2" t="s">
        <v>1555</v>
      </c>
      <c r="B243" s="6">
        <v>43959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1556</v>
      </c>
      <c r="H243" s="7" t="s">
        <v>1557</v>
      </c>
      <c r="I243" s="7" t="s">
        <v>1558</v>
      </c>
      <c r="J243" s="7">
        <v>0</v>
      </c>
      <c r="K243" s="7" t="s">
        <v>1559</v>
      </c>
      <c r="L243" s="7" t="s">
        <v>26</v>
      </c>
      <c r="M243" s="7">
        <v>4.74</v>
      </c>
      <c r="N243" s="7" t="s">
        <v>619</v>
      </c>
      <c r="O243" s="7">
        <v>95</v>
      </c>
      <c r="P243" s="7">
        <f t="shared" si="19"/>
        <v>450.3</v>
      </c>
      <c r="Q243" s="7" t="s">
        <v>28</v>
      </c>
      <c r="R243" s="8">
        <v>41275</v>
      </c>
      <c r="S243" s="8">
        <v>401768</v>
      </c>
      <c r="T243" s="7"/>
      <c r="U243" s="9">
        <f t="shared" si="18"/>
        <v>0</v>
      </c>
    </row>
    <row r="244" spans="1:21" x14ac:dyDescent="0.25">
      <c r="A244" s="2" t="s">
        <v>1560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1561</v>
      </c>
      <c r="J244" s="7">
        <v>0</v>
      </c>
      <c r="K244" s="7" t="s">
        <v>1562</v>
      </c>
      <c r="L244" s="7" t="s">
        <v>26</v>
      </c>
      <c r="M244" s="7">
        <v>5</v>
      </c>
      <c r="N244" s="7" t="s">
        <v>619</v>
      </c>
      <c r="O244" s="7">
        <v>95</v>
      </c>
      <c r="P244" s="7">
        <f t="shared" si="19"/>
        <v>475</v>
      </c>
      <c r="Q244" s="7" t="s">
        <v>28</v>
      </c>
      <c r="R244" s="8">
        <v>41275</v>
      </c>
      <c r="S244" s="8">
        <v>401768</v>
      </c>
      <c r="T244" s="7"/>
      <c r="U244" s="9">
        <f t="shared" si="18"/>
        <v>0</v>
      </c>
    </row>
    <row r="245" spans="1:21" x14ac:dyDescent="0.25">
      <c r="A245" s="2" t="s">
        <v>1727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1728</v>
      </c>
      <c r="H245" s="7" t="s">
        <v>1729</v>
      </c>
      <c r="I245" s="7" t="s">
        <v>1730</v>
      </c>
      <c r="J245" s="7">
        <v>0</v>
      </c>
      <c r="K245" s="7" t="s">
        <v>1731</v>
      </c>
      <c r="L245" s="7" t="s">
        <v>26</v>
      </c>
      <c r="M245" s="7">
        <v>9.5</v>
      </c>
      <c r="N245" s="7" t="s">
        <v>619</v>
      </c>
      <c r="O245" s="7">
        <v>95</v>
      </c>
      <c r="P245" s="7">
        <f t="shared" si="19"/>
        <v>902.5</v>
      </c>
      <c r="Q245" s="7" t="s">
        <v>28</v>
      </c>
      <c r="R245" s="8">
        <v>41275</v>
      </c>
      <c r="S245" s="8">
        <v>401768</v>
      </c>
      <c r="T245" s="7"/>
      <c r="U245" s="9">
        <f t="shared" si="18"/>
        <v>0</v>
      </c>
    </row>
    <row r="246" spans="1:21" x14ac:dyDescent="0.25">
      <c r="A246" s="2" t="s">
        <v>1732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1733</v>
      </c>
      <c r="J246" s="7">
        <v>0</v>
      </c>
      <c r="K246" s="7" t="s">
        <v>1734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9"/>
        <v>902.5</v>
      </c>
      <c r="Q246" s="7" t="s">
        <v>28</v>
      </c>
      <c r="R246" s="8">
        <v>41275</v>
      </c>
      <c r="S246" s="8">
        <v>401768</v>
      </c>
      <c r="T246" s="7"/>
      <c r="U246" s="9">
        <f t="shared" si="18"/>
        <v>0</v>
      </c>
    </row>
    <row r="247" spans="1:21" x14ac:dyDescent="0.25">
      <c r="A247" s="2" t="s">
        <v>2175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2176</v>
      </c>
      <c r="H247" s="7" t="s">
        <v>2177</v>
      </c>
      <c r="I247" s="7" t="s">
        <v>1730</v>
      </c>
      <c r="J247" s="7">
        <v>0</v>
      </c>
      <c r="K247" s="7" t="s">
        <v>1731</v>
      </c>
      <c r="L247" s="7" t="s">
        <v>26</v>
      </c>
      <c r="M247" s="7">
        <v>10</v>
      </c>
      <c r="N247" s="7" t="s">
        <v>619</v>
      </c>
      <c r="O247" s="7">
        <v>95</v>
      </c>
      <c r="P247" s="7">
        <f t="shared" si="19"/>
        <v>950</v>
      </c>
      <c r="Q247" s="7" t="s">
        <v>28</v>
      </c>
      <c r="R247" s="8">
        <v>42355</v>
      </c>
      <c r="S247" s="8">
        <v>401768</v>
      </c>
      <c r="T247" s="7"/>
      <c r="U247" s="9">
        <f t="shared" si="18"/>
        <v>0</v>
      </c>
    </row>
    <row r="248" spans="1:21" x14ac:dyDescent="0.25">
      <c r="A248" s="2" t="s">
        <v>2178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1733</v>
      </c>
      <c r="J248" s="7">
        <v>0</v>
      </c>
      <c r="K248" s="7" t="s">
        <v>1734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9"/>
        <v>950</v>
      </c>
      <c r="Q248" s="7" t="s">
        <v>28</v>
      </c>
      <c r="R248" s="8">
        <v>42355</v>
      </c>
      <c r="S248" s="8">
        <v>401768</v>
      </c>
      <c r="T248" s="7"/>
      <c r="U248" s="9">
        <f t="shared" si="18"/>
        <v>0</v>
      </c>
    </row>
    <row r="249" spans="1:21" x14ac:dyDescent="0.25">
      <c r="A249" s="2" t="s">
        <v>1268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2149</v>
      </c>
      <c r="H249" s="7" t="s">
        <v>2150</v>
      </c>
      <c r="I249" s="7" t="s">
        <v>2151</v>
      </c>
      <c r="J249" s="7">
        <v>0</v>
      </c>
      <c r="K249" s="7" t="s">
        <v>2152</v>
      </c>
      <c r="L249" s="7" t="s">
        <v>26</v>
      </c>
      <c r="M249" s="7">
        <v>67.2</v>
      </c>
      <c r="N249" s="7" t="s">
        <v>27</v>
      </c>
      <c r="O249" s="7">
        <f>M249</f>
        <v>67.2</v>
      </c>
      <c r="P249" s="7">
        <f>O249</f>
        <v>67.2</v>
      </c>
      <c r="Q249" s="7" t="s">
        <v>28</v>
      </c>
      <c r="R249" s="8">
        <v>42143</v>
      </c>
      <c r="S249" s="8">
        <v>401768</v>
      </c>
      <c r="T249" s="7"/>
      <c r="U249" s="9">
        <f t="shared" si="18"/>
        <v>0</v>
      </c>
    </row>
    <row r="250" spans="1:21" x14ac:dyDescent="0.25">
      <c r="A250" s="2" t="s">
        <v>6855</v>
      </c>
      <c r="B250" s="6">
        <v>45204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2180</v>
      </c>
      <c r="H250" s="7" t="s">
        <v>2181</v>
      </c>
      <c r="I250" s="7" t="s">
        <v>6886</v>
      </c>
      <c r="J250" s="7">
        <v>0</v>
      </c>
      <c r="K250" s="7" t="s">
        <v>6887</v>
      </c>
      <c r="L250" s="7" t="s">
        <v>26</v>
      </c>
      <c r="M250" s="7">
        <v>0.49</v>
      </c>
      <c r="N250" s="7" t="s">
        <v>619</v>
      </c>
      <c r="O250" s="7">
        <v>95</v>
      </c>
      <c r="P250" s="7">
        <f t="shared" si="19"/>
        <v>46.55</v>
      </c>
      <c r="Q250" s="7" t="s">
        <v>28</v>
      </c>
      <c r="R250" s="8">
        <v>45204</v>
      </c>
      <c r="S250" s="8">
        <v>401768</v>
      </c>
      <c r="T250" s="7"/>
      <c r="U250" s="9">
        <f t="shared" si="18"/>
        <v>0</v>
      </c>
    </row>
    <row r="251" spans="1:21" x14ac:dyDescent="0.25">
      <c r="A251" s="2" t="s">
        <v>6877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9"/>
        <v>46.55</v>
      </c>
      <c r="Q251" s="7" t="s">
        <v>28</v>
      </c>
      <c r="R251" s="8">
        <v>45204</v>
      </c>
      <c r="S251" s="8">
        <v>401768</v>
      </c>
      <c r="T251" s="7"/>
      <c r="U251" s="9">
        <f t="shared" si="18"/>
        <v>0</v>
      </c>
    </row>
    <row r="252" spans="1:21" x14ac:dyDescent="0.25">
      <c r="A252" s="2" t="s">
        <v>2200</v>
      </c>
      <c r="B252" s="6">
        <v>43959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2201</v>
      </c>
      <c r="H252" s="7" t="s">
        <v>2202</v>
      </c>
      <c r="I252" s="7" t="s">
        <v>1741</v>
      </c>
      <c r="J252" s="7">
        <v>0</v>
      </c>
      <c r="K252" s="7" t="s">
        <v>1742</v>
      </c>
      <c r="L252" s="7" t="s">
        <v>26</v>
      </c>
      <c r="M252" s="7">
        <v>39.93</v>
      </c>
      <c r="N252" s="7" t="s">
        <v>27</v>
      </c>
      <c r="O252" s="7">
        <f t="shared" ref="O252:O274" si="22">M252</f>
        <v>39.93</v>
      </c>
      <c r="P252" s="7">
        <f t="shared" ref="P252:P274" si="23">O252</f>
        <v>39.93</v>
      </c>
      <c r="Q252" s="7" t="s">
        <v>28</v>
      </c>
      <c r="R252" s="8">
        <v>42683</v>
      </c>
      <c r="S252" s="8">
        <v>401768</v>
      </c>
      <c r="T252" s="7"/>
      <c r="U252" s="9">
        <f t="shared" si="18"/>
        <v>0</v>
      </c>
    </row>
    <row r="253" spans="1:21" x14ac:dyDescent="0.25">
      <c r="A253" s="2" t="s">
        <v>2203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2163</v>
      </c>
      <c r="J253" s="7">
        <v>0</v>
      </c>
      <c r="K253" s="7" t="s">
        <v>2164</v>
      </c>
      <c r="L253" s="7" t="s">
        <v>26</v>
      </c>
      <c r="M253" s="7">
        <v>88.48</v>
      </c>
      <c r="N253" s="7" t="s">
        <v>27</v>
      </c>
      <c r="O253" s="7">
        <f t="shared" si="22"/>
        <v>88.48</v>
      </c>
      <c r="P253" s="7">
        <f t="shared" si="23"/>
        <v>88.48</v>
      </c>
      <c r="Q253" s="7" t="s">
        <v>28</v>
      </c>
      <c r="R253" s="8">
        <v>45320</v>
      </c>
      <c r="S253" s="8">
        <v>401768</v>
      </c>
      <c r="T253" s="7"/>
      <c r="U253" s="9">
        <f t="shared" si="18"/>
        <v>0</v>
      </c>
    </row>
    <row r="254" spans="1:21" x14ac:dyDescent="0.25">
      <c r="A254" s="2" t="s">
        <v>195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2168</v>
      </c>
      <c r="J254" s="7">
        <v>0</v>
      </c>
      <c r="K254" s="7" t="s">
        <v>2169</v>
      </c>
      <c r="L254" s="7" t="s">
        <v>26</v>
      </c>
      <c r="M254" s="7">
        <v>6.56</v>
      </c>
      <c r="N254" s="7" t="s">
        <v>27</v>
      </c>
      <c r="O254" s="7">
        <f t="shared" si="22"/>
        <v>6.56</v>
      </c>
      <c r="P254" s="7">
        <f t="shared" si="23"/>
        <v>6.56</v>
      </c>
      <c r="Q254" s="7" t="s">
        <v>28</v>
      </c>
      <c r="R254" s="8">
        <v>45320</v>
      </c>
      <c r="S254" s="8">
        <v>401768</v>
      </c>
      <c r="T254" s="7"/>
      <c r="U254" s="9">
        <f t="shared" si="18"/>
        <v>0</v>
      </c>
    </row>
    <row r="255" spans="1:21" x14ac:dyDescent="0.25">
      <c r="A255" s="2" t="s">
        <v>4351</v>
      </c>
      <c r="B255" s="6">
        <v>44530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1744</v>
      </c>
      <c r="J255" s="7">
        <v>0</v>
      </c>
      <c r="K255" s="7" t="s">
        <v>1745</v>
      </c>
      <c r="L255" s="7" t="s">
        <v>26</v>
      </c>
      <c r="M255" s="7">
        <v>48.08</v>
      </c>
      <c r="N255" s="7" t="s">
        <v>27</v>
      </c>
      <c r="O255" s="7">
        <f t="shared" si="22"/>
        <v>48.08</v>
      </c>
      <c r="P255" s="7">
        <f t="shared" si="23"/>
        <v>48.08</v>
      </c>
      <c r="Q255" s="7" t="s">
        <v>28</v>
      </c>
      <c r="R255" s="8">
        <v>44532</v>
      </c>
      <c r="S255" s="8">
        <v>401768</v>
      </c>
      <c r="T255" s="7"/>
      <c r="U255" s="9">
        <f t="shared" si="18"/>
        <v>0</v>
      </c>
    </row>
    <row r="256" spans="1:21" x14ac:dyDescent="0.25">
      <c r="A256" s="2" t="s">
        <v>2153</v>
      </c>
      <c r="B256" s="6">
        <v>43959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2154</v>
      </c>
      <c r="H256" s="7" t="s">
        <v>2155</v>
      </c>
      <c r="I256" s="7" t="s">
        <v>1738</v>
      </c>
      <c r="J256" s="7">
        <v>0</v>
      </c>
      <c r="K256" s="7" t="s">
        <v>1739</v>
      </c>
      <c r="L256" s="7" t="s">
        <v>26</v>
      </c>
      <c r="M256" s="7">
        <v>61.07</v>
      </c>
      <c r="N256" s="7" t="s">
        <v>27</v>
      </c>
      <c r="O256" s="7">
        <f t="shared" si="22"/>
        <v>61.07</v>
      </c>
      <c r="P256" s="7">
        <f t="shared" si="23"/>
        <v>61.07</v>
      </c>
      <c r="Q256" s="7" t="s">
        <v>28</v>
      </c>
      <c r="R256" s="8">
        <v>42244</v>
      </c>
      <c r="S256" s="8">
        <v>401768</v>
      </c>
      <c r="T256" s="7"/>
      <c r="U256" s="9">
        <f t="shared" si="18"/>
        <v>0</v>
      </c>
    </row>
    <row r="257" spans="1:21" x14ac:dyDescent="0.25">
      <c r="A257" s="2" t="s">
        <v>2156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1741</v>
      </c>
      <c r="J257" s="7">
        <v>0</v>
      </c>
      <c r="K257" s="7" t="s">
        <v>1742</v>
      </c>
      <c r="L257" s="7" t="s">
        <v>26</v>
      </c>
      <c r="M257" s="7">
        <v>39.93</v>
      </c>
      <c r="N257" s="7" t="s">
        <v>27</v>
      </c>
      <c r="O257" s="7">
        <f t="shared" si="22"/>
        <v>39.93</v>
      </c>
      <c r="P257" s="7">
        <f t="shared" si="23"/>
        <v>39.93</v>
      </c>
      <c r="Q257" s="7" t="s">
        <v>28</v>
      </c>
      <c r="R257" s="8">
        <v>42244</v>
      </c>
      <c r="S257" s="8">
        <v>401768</v>
      </c>
      <c r="T257" s="7"/>
      <c r="U257" s="9">
        <f t="shared" si="18"/>
        <v>0</v>
      </c>
    </row>
    <row r="258" spans="1:21" x14ac:dyDescent="0.25">
      <c r="A258" s="2" t="s">
        <v>198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2157</v>
      </c>
      <c r="J258" s="7">
        <v>0</v>
      </c>
      <c r="K258" s="7" t="s">
        <v>2158</v>
      </c>
      <c r="L258" s="7" t="s">
        <v>26</v>
      </c>
      <c r="M258" s="7">
        <v>44.93</v>
      </c>
      <c r="N258" s="7" t="s">
        <v>27</v>
      </c>
      <c r="O258" s="7">
        <f t="shared" si="22"/>
        <v>44.93</v>
      </c>
      <c r="P258" s="7">
        <f t="shared" si="23"/>
        <v>44.93</v>
      </c>
      <c r="Q258" s="7" t="s">
        <v>28</v>
      </c>
      <c r="R258" s="8">
        <v>45967</v>
      </c>
      <c r="S258" s="8">
        <v>401768</v>
      </c>
      <c r="T258" s="7"/>
      <c r="U258" s="9">
        <f t="shared" si="18"/>
        <v>0</v>
      </c>
    </row>
    <row r="259" spans="1:21" x14ac:dyDescent="0.25">
      <c r="A259" s="2" t="s">
        <v>2159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2160</v>
      </c>
      <c r="J259" s="7">
        <v>0</v>
      </c>
      <c r="K259" s="7" t="s">
        <v>2161</v>
      </c>
      <c r="L259" s="7" t="s">
        <v>26</v>
      </c>
      <c r="M259" s="7">
        <v>93.09</v>
      </c>
      <c r="N259" s="7" t="s">
        <v>27</v>
      </c>
      <c r="O259" s="7">
        <f t="shared" si="22"/>
        <v>93.09</v>
      </c>
      <c r="P259" s="7">
        <f t="shared" si="23"/>
        <v>93.09</v>
      </c>
      <c r="Q259" s="7" t="s">
        <v>28</v>
      </c>
      <c r="R259" s="8">
        <v>45967</v>
      </c>
      <c r="S259" s="8">
        <v>401768</v>
      </c>
      <c r="T259" s="7"/>
      <c r="U259" s="9">
        <f t="shared" ref="U259:U322" si="24">T259*P259/100000</f>
        <v>0</v>
      </c>
    </row>
    <row r="260" spans="1:21" x14ac:dyDescent="0.25">
      <c r="A260" s="2" t="s">
        <v>2162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2163</v>
      </c>
      <c r="J260" s="7">
        <v>0</v>
      </c>
      <c r="K260" s="7" t="s">
        <v>2164</v>
      </c>
      <c r="L260" s="7" t="s">
        <v>26</v>
      </c>
      <c r="M260" s="7">
        <v>98.13</v>
      </c>
      <c r="N260" s="7" t="s">
        <v>27</v>
      </c>
      <c r="O260" s="7">
        <f t="shared" si="22"/>
        <v>98.13</v>
      </c>
      <c r="P260" s="7">
        <f t="shared" si="23"/>
        <v>98.13</v>
      </c>
      <c r="Q260" s="7" t="s">
        <v>28</v>
      </c>
      <c r="R260" s="8">
        <v>45967</v>
      </c>
      <c r="S260" s="8">
        <v>401768</v>
      </c>
      <c r="T260" s="7"/>
      <c r="U260" s="9">
        <f t="shared" si="24"/>
        <v>0</v>
      </c>
    </row>
    <row r="261" spans="1:21" x14ac:dyDescent="0.25">
      <c r="A261" s="2" t="s">
        <v>2165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2166</v>
      </c>
      <c r="J261" s="7">
        <v>0</v>
      </c>
      <c r="K261" s="7" t="s">
        <v>2167</v>
      </c>
      <c r="L261" s="7" t="s">
        <v>26</v>
      </c>
      <c r="M261" s="7">
        <v>110.64</v>
      </c>
      <c r="N261" s="7" t="s">
        <v>27</v>
      </c>
      <c r="O261" s="7">
        <f t="shared" si="22"/>
        <v>110.64</v>
      </c>
      <c r="P261" s="7">
        <f t="shared" si="23"/>
        <v>110.64</v>
      </c>
      <c r="Q261" s="7" t="s">
        <v>28</v>
      </c>
      <c r="R261" s="8">
        <v>45967</v>
      </c>
      <c r="S261" s="8">
        <v>401768</v>
      </c>
      <c r="T261" s="7"/>
      <c r="U261" s="9">
        <f t="shared" si="24"/>
        <v>0</v>
      </c>
    </row>
    <row r="262" spans="1:21" x14ac:dyDescent="0.25">
      <c r="A262" s="2" t="s">
        <v>192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2168</v>
      </c>
      <c r="J262" s="7">
        <v>0</v>
      </c>
      <c r="K262" s="7" t="s">
        <v>2169</v>
      </c>
      <c r="L262" s="7" t="s">
        <v>26</v>
      </c>
      <c r="M262" s="7">
        <v>6.78</v>
      </c>
      <c r="N262" s="7" t="s">
        <v>27</v>
      </c>
      <c r="O262" s="7">
        <f t="shared" si="22"/>
        <v>6.78</v>
      </c>
      <c r="P262" s="7">
        <f t="shared" si="23"/>
        <v>6.78</v>
      </c>
      <c r="Q262" s="7" t="s">
        <v>28</v>
      </c>
      <c r="R262" s="8">
        <v>45967</v>
      </c>
      <c r="S262" s="8">
        <v>401768</v>
      </c>
      <c r="T262" s="7"/>
      <c r="U262" s="9">
        <f t="shared" si="24"/>
        <v>0</v>
      </c>
    </row>
    <row r="263" spans="1:21" x14ac:dyDescent="0.25">
      <c r="A263" s="2" t="s">
        <v>2170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1750</v>
      </c>
      <c r="J263" s="7">
        <v>0</v>
      </c>
      <c r="K263" s="7" t="s">
        <v>1751</v>
      </c>
      <c r="L263" s="7" t="s">
        <v>26</v>
      </c>
      <c r="M263" s="7">
        <v>115.13</v>
      </c>
      <c r="N263" s="7" t="s">
        <v>27</v>
      </c>
      <c r="O263" s="7">
        <f t="shared" si="22"/>
        <v>115.13</v>
      </c>
      <c r="P263" s="7">
        <f t="shared" si="23"/>
        <v>115.13</v>
      </c>
      <c r="Q263" s="7" t="s">
        <v>28</v>
      </c>
      <c r="R263" s="8">
        <v>45967</v>
      </c>
      <c r="S263" s="8">
        <v>401768</v>
      </c>
      <c r="T263" s="7"/>
      <c r="U263" s="9">
        <f t="shared" si="24"/>
        <v>0</v>
      </c>
    </row>
    <row r="264" spans="1:21" x14ac:dyDescent="0.25">
      <c r="A264" s="2" t="s">
        <v>2172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2173</v>
      </c>
      <c r="J264" s="7">
        <v>0</v>
      </c>
      <c r="K264" s="7" t="s">
        <v>2174</v>
      </c>
      <c r="L264" s="7" t="s">
        <v>26</v>
      </c>
      <c r="M264" s="7">
        <v>114.45</v>
      </c>
      <c r="N264" s="7" t="s">
        <v>27</v>
      </c>
      <c r="O264" s="7">
        <f t="shared" si="22"/>
        <v>114.45</v>
      </c>
      <c r="P264" s="7">
        <f t="shared" si="23"/>
        <v>114.45</v>
      </c>
      <c r="Q264" s="7" t="s">
        <v>28</v>
      </c>
      <c r="R264" s="8">
        <v>44578</v>
      </c>
      <c r="S264" s="8">
        <v>401768</v>
      </c>
      <c r="T264" s="7"/>
      <c r="U264" s="9">
        <f t="shared" si="24"/>
        <v>0</v>
      </c>
    </row>
    <row r="265" spans="1:21" x14ac:dyDescent="0.25">
      <c r="A265" s="2" t="s">
        <v>5025</v>
      </c>
      <c r="B265" s="6">
        <v>44824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6442</v>
      </c>
      <c r="J265" s="7">
        <v>0</v>
      </c>
      <c r="K265" s="7" t="s">
        <v>6443</v>
      </c>
      <c r="L265" s="7" t="s">
        <v>26</v>
      </c>
      <c r="M265" s="7">
        <v>5755</v>
      </c>
      <c r="N265" s="7" t="s">
        <v>27</v>
      </c>
      <c r="O265" s="7">
        <f t="shared" si="22"/>
        <v>5755</v>
      </c>
      <c r="P265" s="7">
        <f t="shared" si="23"/>
        <v>5755</v>
      </c>
      <c r="Q265" s="7" t="s">
        <v>28</v>
      </c>
      <c r="R265" s="8">
        <v>44824</v>
      </c>
      <c r="S265" s="8">
        <v>401768</v>
      </c>
      <c r="T265" s="7"/>
      <c r="U265" s="9">
        <f t="shared" si="24"/>
        <v>0</v>
      </c>
    </row>
    <row r="266" spans="1:21" x14ac:dyDescent="0.25">
      <c r="A266" s="2" t="s">
        <v>6867</v>
      </c>
      <c r="B266" s="6">
        <v>45211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6886</v>
      </c>
      <c r="J266" s="7">
        <v>0</v>
      </c>
      <c r="K266" s="7" t="s">
        <v>6887</v>
      </c>
      <c r="L266" s="7" t="s">
        <v>26</v>
      </c>
      <c r="M266" s="7">
        <v>40</v>
      </c>
      <c r="N266" s="7" t="s">
        <v>27</v>
      </c>
      <c r="O266" s="7">
        <f t="shared" si="22"/>
        <v>40</v>
      </c>
      <c r="P266" s="7">
        <f t="shared" si="23"/>
        <v>40</v>
      </c>
      <c r="Q266" s="7" t="s">
        <v>28</v>
      </c>
      <c r="R266" s="8">
        <v>45211</v>
      </c>
      <c r="S266" s="8">
        <v>401768</v>
      </c>
      <c r="T266" s="7"/>
      <c r="U266" s="9">
        <f t="shared" si="24"/>
        <v>0</v>
      </c>
    </row>
    <row r="267" spans="1:21" x14ac:dyDescent="0.25">
      <c r="A267" s="2" t="s">
        <v>1735</v>
      </c>
      <c r="B267" s="6">
        <v>43959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1736</v>
      </c>
      <c r="H267" s="7" t="s">
        <v>1737</v>
      </c>
      <c r="I267" s="7" t="s">
        <v>1738</v>
      </c>
      <c r="J267" s="7">
        <v>0</v>
      </c>
      <c r="K267" s="7" t="s">
        <v>1739</v>
      </c>
      <c r="L267" s="7" t="s">
        <v>26</v>
      </c>
      <c r="M267" s="7">
        <v>66.67</v>
      </c>
      <c r="N267" s="7" t="s">
        <v>27</v>
      </c>
      <c r="O267" s="7">
        <f t="shared" si="22"/>
        <v>66.67</v>
      </c>
      <c r="P267" s="7">
        <f t="shared" si="23"/>
        <v>66.67</v>
      </c>
      <c r="Q267" s="7" t="s">
        <v>28</v>
      </c>
      <c r="R267" s="8">
        <v>43239</v>
      </c>
      <c r="S267" s="8">
        <v>401768</v>
      </c>
      <c r="T267" s="7"/>
      <c r="U267" s="9">
        <f t="shared" si="24"/>
        <v>0</v>
      </c>
    </row>
    <row r="268" spans="1:21" x14ac:dyDescent="0.25">
      <c r="A268" s="2" t="s">
        <v>1740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1741</v>
      </c>
      <c r="J268" s="7">
        <v>0</v>
      </c>
      <c r="K268" s="7" t="s">
        <v>1742</v>
      </c>
      <c r="L268" s="7" t="s">
        <v>26</v>
      </c>
      <c r="M268" s="7">
        <v>39.93</v>
      </c>
      <c r="N268" s="7" t="s">
        <v>27</v>
      </c>
      <c r="O268" s="7">
        <f t="shared" si="22"/>
        <v>39.93</v>
      </c>
      <c r="P268" s="7">
        <f t="shared" si="23"/>
        <v>39.93</v>
      </c>
      <c r="Q268" s="7" t="s">
        <v>28</v>
      </c>
      <c r="R268" s="8">
        <v>42244</v>
      </c>
      <c r="S268" s="8">
        <v>401768</v>
      </c>
      <c r="T268" s="7"/>
      <c r="U268" s="9">
        <f t="shared" si="24"/>
        <v>0</v>
      </c>
    </row>
    <row r="269" spans="1:21" x14ac:dyDescent="0.25">
      <c r="A269" s="2" t="s">
        <v>1743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1744</v>
      </c>
      <c r="J269" s="7">
        <v>0</v>
      </c>
      <c r="K269" s="7" t="s">
        <v>1745</v>
      </c>
      <c r="L269" s="7" t="s">
        <v>26</v>
      </c>
      <c r="M269" s="7">
        <v>48.08</v>
      </c>
      <c r="N269" s="7" t="s">
        <v>27</v>
      </c>
      <c r="O269" s="7">
        <f t="shared" si="22"/>
        <v>48.08</v>
      </c>
      <c r="P269" s="7">
        <f t="shared" si="23"/>
        <v>48.08</v>
      </c>
      <c r="Q269" s="7" t="s">
        <v>28</v>
      </c>
      <c r="R269" s="8">
        <v>44532</v>
      </c>
      <c r="S269" s="8">
        <v>401768</v>
      </c>
      <c r="T269" s="7"/>
      <c r="U269" s="9">
        <f t="shared" si="24"/>
        <v>0</v>
      </c>
    </row>
    <row r="270" spans="1:21" x14ac:dyDescent="0.25">
      <c r="A270" s="2" t="s">
        <v>1746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1747</v>
      </c>
      <c r="J270" s="7">
        <v>0</v>
      </c>
      <c r="K270" s="7" t="s">
        <v>1748</v>
      </c>
      <c r="L270" s="7" t="s">
        <v>26</v>
      </c>
      <c r="M270" s="7">
        <v>36.46</v>
      </c>
      <c r="N270" s="7" t="s">
        <v>27</v>
      </c>
      <c r="O270" s="7">
        <f t="shared" si="22"/>
        <v>36.46</v>
      </c>
      <c r="P270" s="7">
        <f t="shared" si="23"/>
        <v>36.46</v>
      </c>
      <c r="Q270" s="7" t="s">
        <v>28</v>
      </c>
      <c r="R270" s="8">
        <v>44679</v>
      </c>
      <c r="S270" s="8">
        <v>401768</v>
      </c>
      <c r="T270" s="7"/>
      <c r="U270" s="9">
        <f t="shared" si="24"/>
        <v>0</v>
      </c>
    </row>
    <row r="271" spans="1:21" x14ac:dyDescent="0.25">
      <c r="A271" s="2" t="s">
        <v>1749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1750</v>
      </c>
      <c r="J271" s="7">
        <v>0</v>
      </c>
      <c r="K271" s="7" t="s">
        <v>1751</v>
      </c>
      <c r="L271" s="7" t="s">
        <v>26</v>
      </c>
      <c r="M271" s="7">
        <v>105.47</v>
      </c>
      <c r="N271" s="7" t="s">
        <v>27</v>
      </c>
      <c r="O271" s="7">
        <f t="shared" si="22"/>
        <v>105.47</v>
      </c>
      <c r="P271" s="7">
        <f t="shared" si="23"/>
        <v>105.47</v>
      </c>
      <c r="Q271" s="7" t="s">
        <v>28</v>
      </c>
      <c r="R271" s="8">
        <v>45320</v>
      </c>
      <c r="S271" s="8">
        <v>401768</v>
      </c>
      <c r="T271" s="7"/>
      <c r="U271" s="9">
        <f t="shared" si="24"/>
        <v>0</v>
      </c>
    </row>
    <row r="272" spans="1:21" x14ac:dyDescent="0.25">
      <c r="A272" s="2" t="s">
        <v>1752</v>
      </c>
      <c r="B272" s="6">
        <v>43959</v>
      </c>
      <c r="C272" s="7" t="s">
        <v>20</v>
      </c>
      <c r="D272" s="7" t="s">
        <v>21</v>
      </c>
      <c r="E272" s="7" t="s">
        <v>28</v>
      </c>
      <c r="F272" s="7" t="s">
        <v>28</v>
      </c>
      <c r="G272" s="7" t="s">
        <v>1736</v>
      </c>
      <c r="H272" s="7" t="s">
        <v>1737</v>
      </c>
      <c r="I272" s="7" t="s">
        <v>1753</v>
      </c>
      <c r="J272" s="7">
        <v>0</v>
      </c>
      <c r="K272" s="7" t="s">
        <v>1754</v>
      </c>
      <c r="L272" s="7" t="s">
        <v>26</v>
      </c>
      <c r="M272" s="7">
        <v>83.76</v>
      </c>
      <c r="N272" s="7" t="s">
        <v>27</v>
      </c>
      <c r="O272" s="7">
        <f t="shared" si="22"/>
        <v>83.76</v>
      </c>
      <c r="P272" s="7">
        <f t="shared" si="23"/>
        <v>83.76</v>
      </c>
      <c r="Q272" s="7" t="s">
        <v>28</v>
      </c>
      <c r="R272" s="8">
        <v>42387</v>
      </c>
      <c r="S272" s="8">
        <v>401768</v>
      </c>
      <c r="T272" s="7"/>
      <c r="U272" s="9">
        <f t="shared" si="24"/>
        <v>0</v>
      </c>
    </row>
    <row r="273" spans="1:21" x14ac:dyDescent="0.25">
      <c r="A273" s="2" t="s">
        <v>6876</v>
      </c>
      <c r="B273" s="6">
        <v>45211</v>
      </c>
      <c r="C273" s="7" t="s">
        <v>20</v>
      </c>
      <c r="D273" s="7" t="s">
        <v>21</v>
      </c>
      <c r="E273" s="7" t="s">
        <v>20</v>
      </c>
      <c r="F273" s="7" t="s">
        <v>21</v>
      </c>
      <c r="G273" s="7" t="s">
        <v>1736</v>
      </c>
      <c r="H273" s="7" t="s">
        <v>1737</v>
      </c>
      <c r="I273" s="7" t="s">
        <v>6886</v>
      </c>
      <c r="J273" s="7">
        <v>0</v>
      </c>
      <c r="K273" s="7" t="s">
        <v>6887</v>
      </c>
      <c r="L273" s="7" t="s">
        <v>26</v>
      </c>
      <c r="M273" s="7">
        <v>40</v>
      </c>
      <c r="N273" s="7" t="s">
        <v>27</v>
      </c>
      <c r="O273" s="7">
        <f t="shared" si="22"/>
        <v>40</v>
      </c>
      <c r="P273" s="7">
        <f t="shared" si="23"/>
        <v>40</v>
      </c>
      <c r="Q273" s="7" t="s">
        <v>28</v>
      </c>
      <c r="R273" s="8">
        <v>45211</v>
      </c>
      <c r="S273" s="8">
        <v>401768</v>
      </c>
      <c r="T273" s="7"/>
      <c r="U273" s="9">
        <f t="shared" si="24"/>
        <v>0</v>
      </c>
    </row>
    <row r="274" spans="1:21" x14ac:dyDescent="0.25">
      <c r="A274" s="2" t="s">
        <v>6868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22"/>
        <v>40</v>
      </c>
      <c r="P274" s="7">
        <f t="shared" si="23"/>
        <v>40</v>
      </c>
      <c r="Q274" s="7" t="s">
        <v>28</v>
      </c>
      <c r="R274" s="8">
        <v>45211</v>
      </c>
      <c r="S274" s="8">
        <v>401768</v>
      </c>
      <c r="T274" s="7"/>
      <c r="U274" s="9">
        <f t="shared" si="24"/>
        <v>0</v>
      </c>
    </row>
    <row r="275" spans="1:21" x14ac:dyDescent="0.25">
      <c r="A275" s="2" t="s">
        <v>4519</v>
      </c>
      <c r="B275" s="6">
        <v>44011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2233</v>
      </c>
      <c r="H275" s="7" t="s">
        <v>2234</v>
      </c>
      <c r="I275" s="7" t="s">
        <v>5682</v>
      </c>
      <c r="J275" s="7">
        <v>0</v>
      </c>
      <c r="K275" s="7" t="s">
        <v>5683</v>
      </c>
      <c r="L275" s="7" t="s">
        <v>49</v>
      </c>
      <c r="M275" s="7">
        <v>669200</v>
      </c>
      <c r="N275" s="7" t="s">
        <v>619</v>
      </c>
      <c r="O275" s="7">
        <v>95</v>
      </c>
      <c r="P275" s="7">
        <f t="shared" ref="P275:P322" si="25">O275*M275</f>
        <v>63574000</v>
      </c>
      <c r="Q275" s="7" t="s">
        <v>28</v>
      </c>
      <c r="R275" s="8">
        <v>44011</v>
      </c>
      <c r="S275" s="8">
        <v>401768</v>
      </c>
      <c r="T275" s="7"/>
      <c r="U275" s="9">
        <f t="shared" si="24"/>
        <v>0</v>
      </c>
    </row>
    <row r="276" spans="1:21" x14ac:dyDescent="0.25">
      <c r="A276" s="2" t="s">
        <v>4977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5684</v>
      </c>
      <c r="J276" s="7">
        <v>0</v>
      </c>
      <c r="K276" s="7" t="s">
        <v>5685</v>
      </c>
      <c r="L276" s="7" t="s">
        <v>49</v>
      </c>
      <c r="M276" s="7">
        <v>627900</v>
      </c>
      <c r="N276" s="7" t="s">
        <v>619</v>
      </c>
      <c r="O276" s="7">
        <v>95</v>
      </c>
      <c r="P276" s="7">
        <f t="shared" si="25"/>
        <v>59650500</v>
      </c>
      <c r="Q276" s="7" t="s">
        <v>28</v>
      </c>
      <c r="R276" s="8">
        <v>44011</v>
      </c>
      <c r="S276" s="8">
        <v>401768</v>
      </c>
      <c r="T276" s="7"/>
      <c r="U276" s="9">
        <f t="shared" si="24"/>
        <v>0</v>
      </c>
    </row>
    <row r="277" spans="1:21" x14ac:dyDescent="0.25">
      <c r="A277" s="2" t="s">
        <v>1782</v>
      </c>
      <c r="B277" s="6">
        <v>43959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1783</v>
      </c>
      <c r="H277" s="7" t="s">
        <v>1784</v>
      </c>
      <c r="I277" s="7" t="s">
        <v>1785</v>
      </c>
      <c r="J277" s="7">
        <v>0</v>
      </c>
      <c r="K277" s="7" t="s">
        <v>1786</v>
      </c>
      <c r="L277" s="7" t="s">
        <v>26</v>
      </c>
      <c r="M277" s="7">
        <v>29.2</v>
      </c>
      <c r="N277" s="7" t="s">
        <v>27</v>
      </c>
      <c r="O277" s="7">
        <f t="shared" ref="O277:O294" si="26">M277</f>
        <v>29.2</v>
      </c>
      <c r="P277" s="7">
        <f t="shared" ref="P277:P294" si="27">O277</f>
        <v>29.2</v>
      </c>
      <c r="Q277" s="7" t="s">
        <v>28</v>
      </c>
      <c r="R277" s="8">
        <v>45281</v>
      </c>
      <c r="S277" s="8">
        <v>401768</v>
      </c>
      <c r="T277" s="7"/>
      <c r="U277" s="9">
        <f t="shared" si="24"/>
        <v>0</v>
      </c>
    </row>
    <row r="278" spans="1:21" x14ac:dyDescent="0.25">
      <c r="A278" s="2" t="s">
        <v>1787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1788</v>
      </c>
      <c r="J278" s="7">
        <v>0</v>
      </c>
      <c r="K278" s="7" t="s">
        <v>1789</v>
      </c>
      <c r="L278" s="7" t="s">
        <v>26</v>
      </c>
      <c r="M278" s="7">
        <v>40.659999999999997</v>
      </c>
      <c r="N278" s="7" t="s">
        <v>27</v>
      </c>
      <c r="O278" s="7">
        <f t="shared" si="26"/>
        <v>40.659999999999997</v>
      </c>
      <c r="P278" s="7">
        <f t="shared" si="27"/>
        <v>40.659999999999997</v>
      </c>
      <c r="Q278" s="7" t="s">
        <v>28</v>
      </c>
      <c r="R278" s="8">
        <v>44505</v>
      </c>
      <c r="S278" s="8">
        <v>401768</v>
      </c>
      <c r="T278" s="7"/>
      <c r="U278" s="9">
        <f t="shared" si="24"/>
        <v>0</v>
      </c>
    </row>
    <row r="279" spans="1:21" x14ac:dyDescent="0.25">
      <c r="A279" s="2" t="s">
        <v>1790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1791</v>
      </c>
      <c r="J279" s="7">
        <v>0</v>
      </c>
      <c r="K279" s="7" t="s">
        <v>1792</v>
      </c>
      <c r="L279" s="7" t="s">
        <v>26</v>
      </c>
      <c r="M279" s="7">
        <v>560.64</v>
      </c>
      <c r="N279" s="7" t="s">
        <v>27</v>
      </c>
      <c r="O279" s="7">
        <f t="shared" si="26"/>
        <v>560.64</v>
      </c>
      <c r="P279" s="7">
        <f t="shared" si="27"/>
        <v>560.64</v>
      </c>
      <c r="Q279" s="7" t="s">
        <v>28</v>
      </c>
      <c r="R279" s="8">
        <v>41518</v>
      </c>
      <c r="S279" s="8">
        <v>401768</v>
      </c>
      <c r="T279" s="7"/>
      <c r="U279" s="9">
        <f t="shared" si="24"/>
        <v>0</v>
      </c>
    </row>
    <row r="280" spans="1:21" x14ac:dyDescent="0.25">
      <c r="A280" s="2" t="s">
        <v>1793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1794</v>
      </c>
      <c r="J280" s="7">
        <v>0</v>
      </c>
      <c r="K280" s="7" t="s">
        <v>1795</v>
      </c>
      <c r="L280" s="7" t="s">
        <v>26</v>
      </c>
      <c r="M280" s="7">
        <v>205.92</v>
      </c>
      <c r="N280" s="7" t="s">
        <v>27</v>
      </c>
      <c r="O280" s="7">
        <f t="shared" si="26"/>
        <v>205.92</v>
      </c>
      <c r="P280" s="7">
        <f t="shared" si="27"/>
        <v>205.92</v>
      </c>
      <c r="Q280" s="7" t="s">
        <v>28</v>
      </c>
      <c r="R280" s="8">
        <v>44505</v>
      </c>
      <c r="S280" s="8">
        <v>401768</v>
      </c>
      <c r="T280" s="7"/>
      <c r="U280" s="9">
        <f t="shared" si="24"/>
        <v>0</v>
      </c>
    </row>
    <row r="281" spans="1:21" x14ac:dyDescent="0.25">
      <c r="A281" s="2" t="s">
        <v>1796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1797</v>
      </c>
      <c r="J281" s="7">
        <v>0</v>
      </c>
      <c r="K281" s="7" t="s">
        <v>1798</v>
      </c>
      <c r="L281" s="7" t="s">
        <v>26</v>
      </c>
      <c r="M281" s="7">
        <v>158.4</v>
      </c>
      <c r="N281" s="7" t="s">
        <v>27</v>
      </c>
      <c r="O281" s="7">
        <f t="shared" si="26"/>
        <v>158.4</v>
      </c>
      <c r="P281" s="7">
        <f t="shared" si="27"/>
        <v>158.4</v>
      </c>
      <c r="Q281" s="7" t="s">
        <v>28</v>
      </c>
      <c r="R281" s="8">
        <v>44505</v>
      </c>
      <c r="S281" s="8">
        <v>401768</v>
      </c>
      <c r="T281" s="7"/>
      <c r="U281" s="9">
        <f t="shared" si="24"/>
        <v>0</v>
      </c>
    </row>
    <row r="282" spans="1:21" x14ac:dyDescent="0.25">
      <c r="A282" s="2" t="s">
        <v>1799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1800</v>
      </c>
      <c r="J282" s="7">
        <v>0</v>
      </c>
      <c r="K282" s="7" t="s">
        <v>1801</v>
      </c>
      <c r="L282" s="7" t="s">
        <v>26</v>
      </c>
      <c r="M282" s="7">
        <v>85.06</v>
      </c>
      <c r="N282" s="7" t="s">
        <v>27</v>
      </c>
      <c r="O282" s="7">
        <f t="shared" si="26"/>
        <v>85.06</v>
      </c>
      <c r="P282" s="7">
        <f t="shared" si="27"/>
        <v>85.06</v>
      </c>
      <c r="Q282" s="7" t="s">
        <v>28</v>
      </c>
      <c r="R282" s="8">
        <v>44505</v>
      </c>
      <c r="S282" s="8">
        <v>401768</v>
      </c>
      <c r="T282" s="7"/>
      <c r="U282" s="9">
        <f t="shared" si="24"/>
        <v>0</v>
      </c>
    </row>
    <row r="283" spans="1:21" x14ac:dyDescent="0.25">
      <c r="A283" s="2" t="s">
        <v>1802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1803</v>
      </c>
      <c r="J283" s="7">
        <v>0</v>
      </c>
      <c r="K283" s="7" t="s">
        <v>1804</v>
      </c>
      <c r="L283" s="7" t="s">
        <v>26</v>
      </c>
      <c r="M283" s="7">
        <v>1253.2</v>
      </c>
      <c r="N283" s="7" t="s">
        <v>27</v>
      </c>
      <c r="O283" s="7">
        <f t="shared" si="26"/>
        <v>1253.2</v>
      </c>
      <c r="P283" s="7">
        <f t="shared" si="27"/>
        <v>1253.2</v>
      </c>
      <c r="Q283" s="7" t="s">
        <v>28</v>
      </c>
      <c r="R283" s="8">
        <v>45999</v>
      </c>
      <c r="S283" s="8">
        <v>401768</v>
      </c>
      <c r="T283" s="7"/>
      <c r="U283" s="9">
        <f t="shared" si="24"/>
        <v>0</v>
      </c>
    </row>
    <row r="284" spans="1:21" x14ac:dyDescent="0.25">
      <c r="A284" s="2" t="s">
        <v>1805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1806</v>
      </c>
      <c r="J284" s="7">
        <v>0</v>
      </c>
      <c r="K284" s="7" t="s">
        <v>1807</v>
      </c>
      <c r="L284" s="7" t="s">
        <v>26</v>
      </c>
      <c r="M284" s="7">
        <v>1439.83</v>
      </c>
      <c r="N284" s="7" t="s">
        <v>27</v>
      </c>
      <c r="O284" s="7">
        <f t="shared" si="26"/>
        <v>1439.83</v>
      </c>
      <c r="P284" s="7">
        <f t="shared" si="27"/>
        <v>1439.83</v>
      </c>
      <c r="Q284" s="7" t="s">
        <v>28</v>
      </c>
      <c r="R284" s="8">
        <v>45999</v>
      </c>
      <c r="S284" s="8">
        <v>401768</v>
      </c>
      <c r="T284" s="7"/>
      <c r="U284" s="9">
        <f t="shared" si="24"/>
        <v>0</v>
      </c>
    </row>
    <row r="285" spans="1:21" x14ac:dyDescent="0.25">
      <c r="A285" s="2" t="s">
        <v>1295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1808</v>
      </c>
      <c r="J285" s="7">
        <v>0</v>
      </c>
      <c r="K285" s="7" t="s">
        <v>1809</v>
      </c>
      <c r="L285" s="7" t="s">
        <v>26</v>
      </c>
      <c r="M285" s="7">
        <v>366.17</v>
      </c>
      <c r="N285" s="7" t="s">
        <v>27</v>
      </c>
      <c r="O285" s="7">
        <f t="shared" si="26"/>
        <v>366.17</v>
      </c>
      <c r="P285" s="7">
        <f t="shared" si="27"/>
        <v>366.17</v>
      </c>
      <c r="Q285" s="7" t="s">
        <v>28</v>
      </c>
      <c r="R285" s="8">
        <v>44505</v>
      </c>
      <c r="S285" s="8">
        <v>401768</v>
      </c>
      <c r="T285" s="7"/>
      <c r="U285" s="9">
        <f t="shared" si="24"/>
        <v>0</v>
      </c>
    </row>
    <row r="286" spans="1:21" x14ac:dyDescent="0.25">
      <c r="A286" s="2" t="s">
        <v>1810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1811</v>
      </c>
      <c r="J286" s="7">
        <v>0</v>
      </c>
      <c r="K286" s="7" t="s">
        <v>1812</v>
      </c>
      <c r="L286" s="7" t="s">
        <v>26</v>
      </c>
      <c r="M286" s="7">
        <v>22.88</v>
      </c>
      <c r="N286" s="7" t="s">
        <v>27</v>
      </c>
      <c r="O286" s="7">
        <f t="shared" si="26"/>
        <v>22.88</v>
      </c>
      <c r="P286" s="7">
        <f t="shared" si="27"/>
        <v>22.88</v>
      </c>
      <c r="Q286" s="7" t="s">
        <v>28</v>
      </c>
      <c r="R286" s="8">
        <v>44505</v>
      </c>
      <c r="S286" s="8">
        <v>401768</v>
      </c>
      <c r="T286" s="7"/>
      <c r="U286" s="9">
        <f t="shared" si="24"/>
        <v>0</v>
      </c>
    </row>
    <row r="287" spans="1:21" x14ac:dyDescent="0.25">
      <c r="A287" s="2" t="s">
        <v>1813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1814</v>
      </c>
      <c r="J287" s="7">
        <v>0</v>
      </c>
      <c r="K287" s="7" t="s">
        <v>1815</v>
      </c>
      <c r="L287" s="7" t="s">
        <v>26</v>
      </c>
      <c r="M287" s="7">
        <v>205.92</v>
      </c>
      <c r="N287" s="7" t="s">
        <v>27</v>
      </c>
      <c r="O287" s="7">
        <f t="shared" si="26"/>
        <v>205.92</v>
      </c>
      <c r="P287" s="7">
        <f t="shared" si="27"/>
        <v>205.92</v>
      </c>
      <c r="Q287" s="7" t="s">
        <v>28</v>
      </c>
      <c r="R287" s="8">
        <v>44505</v>
      </c>
      <c r="S287" s="8">
        <v>401768</v>
      </c>
      <c r="T287" s="7"/>
      <c r="U287" s="9">
        <f t="shared" si="24"/>
        <v>0</v>
      </c>
    </row>
    <row r="288" spans="1:21" x14ac:dyDescent="0.25">
      <c r="A288" s="2" t="s">
        <v>1816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1817</v>
      </c>
      <c r="J288" s="7">
        <v>0</v>
      </c>
      <c r="K288" s="7" t="s">
        <v>1818</v>
      </c>
      <c r="L288" s="7" t="s">
        <v>26</v>
      </c>
      <c r="M288" s="7">
        <v>205.92</v>
      </c>
      <c r="N288" s="7" t="s">
        <v>27</v>
      </c>
      <c r="O288" s="7">
        <f t="shared" si="26"/>
        <v>205.92</v>
      </c>
      <c r="P288" s="7">
        <f t="shared" si="27"/>
        <v>205.92</v>
      </c>
      <c r="Q288" s="7" t="s">
        <v>28</v>
      </c>
      <c r="R288" s="8">
        <v>44505</v>
      </c>
      <c r="S288" s="8">
        <v>401768</v>
      </c>
      <c r="T288" s="7"/>
      <c r="U288" s="9">
        <f t="shared" si="24"/>
        <v>0</v>
      </c>
    </row>
    <row r="289" spans="1:21" x14ac:dyDescent="0.25">
      <c r="A289" s="2" t="s">
        <v>1819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1820</v>
      </c>
      <c r="J289" s="7">
        <v>0</v>
      </c>
      <c r="K289" s="7" t="s">
        <v>1821</v>
      </c>
      <c r="L289" s="7" t="s">
        <v>26</v>
      </c>
      <c r="M289" s="7">
        <v>85.06</v>
      </c>
      <c r="N289" s="7" t="s">
        <v>27</v>
      </c>
      <c r="O289" s="7">
        <f t="shared" si="26"/>
        <v>85.06</v>
      </c>
      <c r="P289" s="7">
        <f t="shared" si="27"/>
        <v>85.06</v>
      </c>
      <c r="Q289" s="7" t="s">
        <v>28</v>
      </c>
      <c r="R289" s="8">
        <v>44505</v>
      </c>
      <c r="S289" s="8">
        <v>401768</v>
      </c>
      <c r="T289" s="7"/>
      <c r="U289" s="9">
        <f t="shared" si="24"/>
        <v>0</v>
      </c>
    </row>
    <row r="290" spans="1:21" x14ac:dyDescent="0.25">
      <c r="A290" s="2" t="s">
        <v>3790</v>
      </c>
      <c r="B290" s="6">
        <v>44554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1950</v>
      </c>
      <c r="J290" s="7">
        <v>0</v>
      </c>
      <c r="K290" s="7" t="s">
        <v>1951</v>
      </c>
      <c r="L290" s="7" t="s">
        <v>26</v>
      </c>
      <c r="M290" s="7">
        <v>1253.2</v>
      </c>
      <c r="N290" s="7" t="s">
        <v>27</v>
      </c>
      <c r="O290" s="7">
        <f t="shared" si="26"/>
        <v>1253.2</v>
      </c>
      <c r="P290" s="7">
        <f t="shared" si="27"/>
        <v>1253.2</v>
      </c>
      <c r="Q290" s="7" t="s">
        <v>28</v>
      </c>
      <c r="R290" s="8">
        <v>45999</v>
      </c>
      <c r="S290" s="8">
        <v>401768</v>
      </c>
      <c r="T290" s="7"/>
      <c r="U290" s="9">
        <f t="shared" si="24"/>
        <v>0</v>
      </c>
    </row>
    <row r="291" spans="1:21" x14ac:dyDescent="0.25">
      <c r="A291" s="2" t="s">
        <v>6346</v>
      </c>
      <c r="B291" s="6">
        <v>44702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1965</v>
      </c>
      <c r="J291" s="7">
        <v>0</v>
      </c>
      <c r="K291" s="7" t="s">
        <v>1966</v>
      </c>
      <c r="L291" s="7" t="s">
        <v>26</v>
      </c>
      <c r="M291" s="7">
        <v>1890</v>
      </c>
      <c r="N291" s="7" t="s">
        <v>27</v>
      </c>
      <c r="O291" s="7">
        <f t="shared" si="26"/>
        <v>1890</v>
      </c>
      <c r="P291" s="7">
        <f t="shared" si="27"/>
        <v>1890</v>
      </c>
      <c r="Q291" s="7" t="s">
        <v>28</v>
      </c>
      <c r="R291" s="8">
        <v>44704</v>
      </c>
      <c r="S291" s="8">
        <v>401768</v>
      </c>
      <c r="T291" s="7"/>
      <c r="U291" s="9">
        <f t="shared" si="24"/>
        <v>0</v>
      </c>
    </row>
    <row r="292" spans="1:21" x14ac:dyDescent="0.25">
      <c r="A292" s="2" t="s">
        <v>7083</v>
      </c>
      <c r="B292" s="6">
        <v>45622</v>
      </c>
      <c r="C292" s="7" t="s">
        <v>20</v>
      </c>
      <c r="D292" s="7" t="s">
        <v>21</v>
      </c>
      <c r="E292" s="7" t="s">
        <v>28</v>
      </c>
      <c r="F292" s="7" t="s">
        <v>28</v>
      </c>
      <c r="G292" s="7" t="s">
        <v>1783</v>
      </c>
      <c r="H292" s="7" t="s">
        <v>1784</v>
      </c>
      <c r="I292" s="7" t="s">
        <v>1941</v>
      </c>
      <c r="J292" s="7">
        <v>0</v>
      </c>
      <c r="K292" s="7" t="s">
        <v>1942</v>
      </c>
      <c r="L292" s="7" t="s">
        <v>26</v>
      </c>
      <c r="M292" s="7">
        <v>1288.1600000000001</v>
      </c>
      <c r="N292" s="7" t="s">
        <v>27</v>
      </c>
      <c r="O292" s="7">
        <f t="shared" si="26"/>
        <v>1288.1600000000001</v>
      </c>
      <c r="P292" s="7">
        <f t="shared" si="27"/>
        <v>1288.1600000000001</v>
      </c>
      <c r="Q292" s="7" t="s">
        <v>28</v>
      </c>
      <c r="R292" s="8">
        <v>45622</v>
      </c>
      <c r="S292" s="8">
        <v>401768</v>
      </c>
      <c r="T292" s="7"/>
      <c r="U292" s="9">
        <f t="shared" si="24"/>
        <v>0</v>
      </c>
    </row>
    <row r="293" spans="1:21" x14ac:dyDescent="0.25">
      <c r="A293" s="2" t="s">
        <v>7080</v>
      </c>
      <c r="B293" s="6">
        <v>45622</v>
      </c>
      <c r="C293" s="7" t="s">
        <v>20</v>
      </c>
      <c r="D293" s="7" t="s">
        <v>21</v>
      </c>
      <c r="E293" s="7" t="s">
        <v>20</v>
      </c>
      <c r="F293" s="7" t="s">
        <v>21</v>
      </c>
      <c r="G293" s="7" t="s">
        <v>1783</v>
      </c>
      <c r="H293" s="7" t="s">
        <v>1784</v>
      </c>
      <c r="I293" s="7" t="s">
        <v>1944</v>
      </c>
      <c r="J293" s="7">
        <v>0</v>
      </c>
      <c r="K293" s="7" t="s">
        <v>1945</v>
      </c>
      <c r="L293" s="7" t="s">
        <v>26</v>
      </c>
      <c r="M293" s="7">
        <v>2315.4</v>
      </c>
      <c r="N293" s="7" t="s">
        <v>27</v>
      </c>
      <c r="O293" s="7">
        <f t="shared" si="26"/>
        <v>2315.4</v>
      </c>
      <c r="P293" s="7">
        <f t="shared" si="27"/>
        <v>2315.4</v>
      </c>
      <c r="Q293" s="7" t="s">
        <v>28</v>
      </c>
      <c r="R293" s="8">
        <v>45999</v>
      </c>
      <c r="S293" s="8">
        <v>401768</v>
      </c>
      <c r="T293" s="7"/>
      <c r="U293" s="9">
        <f t="shared" si="24"/>
        <v>0</v>
      </c>
    </row>
    <row r="294" spans="1:21" x14ac:dyDescent="0.25">
      <c r="A294" s="2" t="s">
        <v>7071</v>
      </c>
      <c r="B294" s="6">
        <v>45622</v>
      </c>
      <c r="C294" s="7" t="s">
        <v>20</v>
      </c>
      <c r="D294" s="7" t="s">
        <v>21</v>
      </c>
      <c r="E294" s="7" t="s">
        <v>28</v>
      </c>
      <c r="F294" s="7" t="s">
        <v>28</v>
      </c>
      <c r="G294" s="7" t="s">
        <v>1783</v>
      </c>
      <c r="H294" s="7" t="s">
        <v>1784</v>
      </c>
      <c r="I294" s="7" t="s">
        <v>1967</v>
      </c>
      <c r="J294" s="7">
        <v>0</v>
      </c>
      <c r="K294" s="7" t="s">
        <v>1968</v>
      </c>
      <c r="L294" s="7" t="s">
        <v>26</v>
      </c>
      <c r="M294" s="7">
        <v>2778.01</v>
      </c>
      <c r="N294" s="7" t="s">
        <v>27</v>
      </c>
      <c r="O294" s="7">
        <f t="shared" si="26"/>
        <v>2778.01</v>
      </c>
      <c r="P294" s="7">
        <f t="shared" si="27"/>
        <v>2778.01</v>
      </c>
      <c r="Q294" s="7" t="s">
        <v>28</v>
      </c>
      <c r="R294" s="8">
        <v>45622</v>
      </c>
      <c r="S294" s="8">
        <v>401768</v>
      </c>
      <c r="T294" s="7"/>
      <c r="U294" s="9">
        <f t="shared" si="24"/>
        <v>0</v>
      </c>
    </row>
    <row r="295" spans="1:21" x14ac:dyDescent="0.25">
      <c r="A295" s="2" t="s">
        <v>1625</v>
      </c>
      <c r="B295" s="6">
        <v>43959</v>
      </c>
      <c r="C295" s="7" t="s">
        <v>20</v>
      </c>
      <c r="D295" s="7" t="s">
        <v>21</v>
      </c>
      <c r="E295" s="7" t="s">
        <v>20</v>
      </c>
      <c r="F295" s="7" t="s">
        <v>21</v>
      </c>
      <c r="G295" s="7" t="s">
        <v>1934</v>
      </c>
      <c r="H295" s="7" t="s">
        <v>1935</v>
      </c>
      <c r="I295" s="7" t="s">
        <v>1785</v>
      </c>
      <c r="J295" s="7">
        <v>0</v>
      </c>
      <c r="K295" s="7" t="s">
        <v>1786</v>
      </c>
      <c r="L295" s="7" t="s">
        <v>26</v>
      </c>
      <c r="M295" s="7">
        <v>0.67</v>
      </c>
      <c r="N295" s="7" t="s">
        <v>619</v>
      </c>
      <c r="O295" s="7">
        <v>95</v>
      </c>
      <c r="P295" s="7">
        <f t="shared" si="25"/>
        <v>63.650000000000006</v>
      </c>
      <c r="Q295" s="7" t="s">
        <v>28</v>
      </c>
      <c r="R295" s="8">
        <v>44505</v>
      </c>
      <c r="S295" s="8">
        <v>401768</v>
      </c>
      <c r="T295" s="7"/>
      <c r="U295" s="9">
        <f t="shared" si="24"/>
        <v>0</v>
      </c>
    </row>
    <row r="296" spans="1:21" x14ac:dyDescent="0.25">
      <c r="A296" s="2" t="s">
        <v>1936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1788</v>
      </c>
      <c r="J296" s="7">
        <v>0</v>
      </c>
      <c r="K296" s="7" t="s">
        <v>1789</v>
      </c>
      <c r="L296" s="7" t="s">
        <v>26</v>
      </c>
      <c r="M296" s="7">
        <v>0.95</v>
      </c>
      <c r="N296" s="7" t="s">
        <v>619</v>
      </c>
      <c r="O296" s="7">
        <v>95</v>
      </c>
      <c r="P296" s="7">
        <f t="shared" si="25"/>
        <v>90.25</v>
      </c>
      <c r="Q296" s="7" t="s">
        <v>28</v>
      </c>
      <c r="R296" s="8">
        <v>44505</v>
      </c>
      <c r="S296" s="8">
        <v>401768</v>
      </c>
      <c r="T296" s="7"/>
      <c r="U296" s="9">
        <f t="shared" si="24"/>
        <v>0</v>
      </c>
    </row>
    <row r="297" spans="1:21" x14ac:dyDescent="0.25">
      <c r="A297" s="2" t="s">
        <v>1937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1938</v>
      </c>
      <c r="J297" s="7">
        <v>0</v>
      </c>
      <c r="K297" s="7" t="s">
        <v>1939</v>
      </c>
      <c r="L297" s="7" t="s">
        <v>26</v>
      </c>
      <c r="M297" s="7">
        <v>2.75</v>
      </c>
      <c r="N297" s="7" t="s">
        <v>619</v>
      </c>
      <c r="O297" s="7">
        <v>95</v>
      </c>
      <c r="P297" s="7">
        <f t="shared" si="25"/>
        <v>261.25</v>
      </c>
      <c r="Q297" s="7" t="s">
        <v>28</v>
      </c>
      <c r="R297" s="8">
        <v>44505</v>
      </c>
      <c r="S297" s="8">
        <v>401768</v>
      </c>
      <c r="T297" s="7">
        <v>10000</v>
      </c>
      <c r="U297" s="9">
        <f t="shared" si="24"/>
        <v>26.125</v>
      </c>
    </row>
    <row r="298" spans="1:21" x14ac:dyDescent="0.25">
      <c r="A298" s="2" t="s">
        <v>1940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1941</v>
      </c>
      <c r="J298" s="7">
        <v>0</v>
      </c>
      <c r="K298" s="7" t="s">
        <v>1942</v>
      </c>
      <c r="L298" s="7" t="s">
        <v>26</v>
      </c>
      <c r="M298" s="7">
        <v>15.52</v>
      </c>
      <c r="N298" s="7" t="s">
        <v>619</v>
      </c>
      <c r="O298" s="7">
        <v>95</v>
      </c>
      <c r="P298" s="7">
        <f t="shared" si="25"/>
        <v>1474.3999999999999</v>
      </c>
      <c r="Q298" s="7" t="s">
        <v>28</v>
      </c>
      <c r="R298" s="8">
        <v>44505</v>
      </c>
      <c r="S298" s="8">
        <v>401768</v>
      </c>
      <c r="T298" s="7"/>
      <c r="U298" s="9">
        <f t="shared" si="24"/>
        <v>0</v>
      </c>
    </row>
    <row r="299" spans="1:21" x14ac:dyDescent="0.25">
      <c r="A299" s="2" t="s">
        <v>1943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1944</v>
      </c>
      <c r="J299" s="7">
        <v>0</v>
      </c>
      <c r="K299" s="7" t="s">
        <v>1945</v>
      </c>
      <c r="L299" s="7" t="s">
        <v>26</v>
      </c>
      <c r="M299" s="7">
        <v>27.87</v>
      </c>
      <c r="N299" s="7" t="s">
        <v>619</v>
      </c>
      <c r="O299" s="7">
        <v>95</v>
      </c>
      <c r="P299" s="7">
        <f t="shared" si="25"/>
        <v>2647.65</v>
      </c>
      <c r="Q299" s="7" t="s">
        <v>28</v>
      </c>
      <c r="R299" s="8">
        <v>45980</v>
      </c>
      <c r="S299" s="8">
        <v>401768</v>
      </c>
      <c r="T299" s="7"/>
      <c r="U299" s="9">
        <f t="shared" si="24"/>
        <v>0</v>
      </c>
    </row>
    <row r="300" spans="1:21" x14ac:dyDescent="0.25">
      <c r="A300" s="2" t="s">
        <v>1574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1946</v>
      </c>
      <c r="J300" s="7">
        <v>0</v>
      </c>
      <c r="K300" s="7" t="s">
        <v>1947</v>
      </c>
      <c r="L300" s="7" t="s">
        <v>26</v>
      </c>
      <c r="M300" s="7">
        <v>19.84</v>
      </c>
      <c r="N300" s="7" t="s">
        <v>619</v>
      </c>
      <c r="O300" s="7">
        <v>95</v>
      </c>
      <c r="P300" s="7">
        <f t="shared" si="25"/>
        <v>1884.8</v>
      </c>
      <c r="Q300" s="7" t="s">
        <v>28</v>
      </c>
      <c r="R300" s="8">
        <v>45980</v>
      </c>
      <c r="S300" s="8">
        <v>401768</v>
      </c>
      <c r="T300" s="7"/>
      <c r="U300" s="9">
        <f t="shared" si="24"/>
        <v>0</v>
      </c>
    </row>
    <row r="301" spans="1:21" x14ac:dyDescent="0.25">
      <c r="A301" s="2" t="s">
        <v>1948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1803</v>
      </c>
      <c r="J301" s="7">
        <v>0</v>
      </c>
      <c r="K301" s="7" t="s">
        <v>1804</v>
      </c>
      <c r="L301" s="7" t="s">
        <v>26</v>
      </c>
      <c r="M301" s="7">
        <v>16.88</v>
      </c>
      <c r="N301" s="7" t="s">
        <v>619</v>
      </c>
      <c r="O301" s="7">
        <v>95</v>
      </c>
      <c r="P301" s="7">
        <f t="shared" si="25"/>
        <v>1603.6</v>
      </c>
      <c r="Q301" s="7" t="s">
        <v>28</v>
      </c>
      <c r="R301" s="8">
        <v>45980</v>
      </c>
      <c r="S301" s="8">
        <v>401768</v>
      </c>
      <c r="T301" s="7"/>
      <c r="U301" s="9">
        <f t="shared" si="24"/>
        <v>0</v>
      </c>
    </row>
    <row r="302" spans="1:21" x14ac:dyDescent="0.25">
      <c r="A302" s="2" t="s">
        <v>1949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1950</v>
      </c>
      <c r="J302" s="7">
        <v>0</v>
      </c>
      <c r="K302" s="7" t="s">
        <v>1951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5"/>
        <v>1603.6</v>
      </c>
      <c r="Q302" s="7" t="s">
        <v>28</v>
      </c>
      <c r="R302" s="8">
        <v>45980</v>
      </c>
      <c r="S302" s="8">
        <v>401768</v>
      </c>
      <c r="T302" s="7"/>
      <c r="U302" s="9">
        <f t="shared" si="24"/>
        <v>0</v>
      </c>
    </row>
    <row r="303" spans="1:21" x14ac:dyDescent="0.25">
      <c r="A303" s="2" t="s">
        <v>1265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1952</v>
      </c>
      <c r="J303" s="7">
        <v>0</v>
      </c>
      <c r="K303" s="7" t="s">
        <v>1953</v>
      </c>
      <c r="L303" s="7" t="s">
        <v>26</v>
      </c>
      <c r="M303" s="7">
        <v>38.369999999999997</v>
      </c>
      <c r="N303" s="7" t="s">
        <v>619</v>
      </c>
      <c r="O303" s="7">
        <v>95</v>
      </c>
      <c r="P303" s="7">
        <f t="shared" si="25"/>
        <v>3645.1499999999996</v>
      </c>
      <c r="Q303" s="7" t="s">
        <v>28</v>
      </c>
      <c r="R303" s="8">
        <v>45980</v>
      </c>
      <c r="S303" s="8">
        <v>401768</v>
      </c>
      <c r="T303" s="7">
        <v>100</v>
      </c>
      <c r="U303" s="9">
        <f t="shared" si="24"/>
        <v>3.6451499999999992</v>
      </c>
    </row>
    <row r="304" spans="1:21" x14ac:dyDescent="0.25">
      <c r="A304" s="2" t="s">
        <v>1954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1955</v>
      </c>
      <c r="J304" s="7">
        <v>0</v>
      </c>
      <c r="K304" s="7" t="s">
        <v>1956</v>
      </c>
      <c r="L304" s="7" t="s">
        <v>26</v>
      </c>
      <c r="M304" s="7">
        <v>38.25</v>
      </c>
      <c r="N304" s="7" t="s">
        <v>619</v>
      </c>
      <c r="O304" s="7">
        <v>95</v>
      </c>
      <c r="P304" s="7">
        <f t="shared" si="25"/>
        <v>3633.75</v>
      </c>
      <c r="Q304" s="7" t="s">
        <v>28</v>
      </c>
      <c r="R304" s="8">
        <v>45980</v>
      </c>
      <c r="S304" s="8">
        <v>401768</v>
      </c>
      <c r="T304" s="7"/>
      <c r="U304" s="9">
        <f t="shared" si="24"/>
        <v>0</v>
      </c>
    </row>
    <row r="305" spans="1:21" x14ac:dyDescent="0.25">
      <c r="A305" s="2" t="s">
        <v>1957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1958</v>
      </c>
      <c r="J305" s="7">
        <v>0</v>
      </c>
      <c r="K305" s="7" t="s">
        <v>1959</v>
      </c>
      <c r="L305" s="7" t="s">
        <v>26</v>
      </c>
      <c r="M305" s="7">
        <v>161508</v>
      </c>
      <c r="N305" s="7" t="s">
        <v>619</v>
      </c>
      <c r="O305" s="7">
        <v>95</v>
      </c>
      <c r="P305" s="7">
        <f t="shared" si="25"/>
        <v>15343260</v>
      </c>
      <c r="Q305" s="7" t="s">
        <v>28</v>
      </c>
      <c r="R305" s="8">
        <v>41879</v>
      </c>
      <c r="S305" s="8">
        <v>401768</v>
      </c>
      <c r="T305" s="7"/>
      <c r="U305" s="9">
        <f t="shared" si="24"/>
        <v>0</v>
      </c>
    </row>
    <row r="306" spans="1:21" x14ac:dyDescent="0.25">
      <c r="A306" s="2" t="s">
        <v>1960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1961</v>
      </c>
      <c r="J306" s="7">
        <v>0</v>
      </c>
      <c r="K306" s="7" t="s">
        <v>1812</v>
      </c>
      <c r="L306" s="7" t="s">
        <v>26</v>
      </c>
      <c r="M306" s="7">
        <v>3.29</v>
      </c>
      <c r="N306" s="7" t="s">
        <v>619</v>
      </c>
      <c r="O306" s="7">
        <v>95</v>
      </c>
      <c r="P306" s="7">
        <f t="shared" si="25"/>
        <v>312.55</v>
      </c>
      <c r="Q306" s="7" t="s">
        <v>28</v>
      </c>
      <c r="R306" s="8">
        <v>44505</v>
      </c>
      <c r="S306" s="8">
        <v>401768</v>
      </c>
      <c r="T306" s="7"/>
      <c r="U306" s="9">
        <f t="shared" si="24"/>
        <v>0</v>
      </c>
    </row>
    <row r="307" spans="1:21" x14ac:dyDescent="0.25">
      <c r="A307" s="2" t="s">
        <v>1822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1962</v>
      </c>
      <c r="J307" s="7">
        <v>0</v>
      </c>
      <c r="K307" s="7" t="s">
        <v>1963</v>
      </c>
      <c r="L307" s="7" t="s">
        <v>26</v>
      </c>
      <c r="M307" s="7">
        <v>1.48</v>
      </c>
      <c r="N307" s="7" t="s">
        <v>619</v>
      </c>
      <c r="O307" s="7">
        <v>95</v>
      </c>
      <c r="P307" s="7">
        <f t="shared" si="25"/>
        <v>140.6</v>
      </c>
      <c r="Q307" s="7" t="s">
        <v>28</v>
      </c>
      <c r="R307" s="8">
        <v>44505</v>
      </c>
      <c r="S307" s="8">
        <v>401768</v>
      </c>
      <c r="T307" s="7"/>
      <c r="U307" s="9">
        <f t="shared" si="24"/>
        <v>0</v>
      </c>
    </row>
    <row r="308" spans="1:21" x14ac:dyDescent="0.25">
      <c r="A308" s="2" t="s">
        <v>1964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1965</v>
      </c>
      <c r="J308" s="7">
        <v>0</v>
      </c>
      <c r="K308" s="7" t="s">
        <v>1966</v>
      </c>
      <c r="L308" s="7" t="s">
        <v>26</v>
      </c>
      <c r="M308" s="7">
        <v>20.79</v>
      </c>
      <c r="N308" s="7" t="s">
        <v>619</v>
      </c>
      <c r="O308" s="7">
        <v>95</v>
      </c>
      <c r="P308" s="7">
        <f t="shared" si="25"/>
        <v>1975.05</v>
      </c>
      <c r="Q308" s="7" t="s">
        <v>28</v>
      </c>
      <c r="R308" s="8">
        <v>44704</v>
      </c>
      <c r="S308" s="8">
        <v>401768</v>
      </c>
      <c r="T308" s="7"/>
      <c r="U308" s="9">
        <f t="shared" si="24"/>
        <v>0</v>
      </c>
    </row>
    <row r="309" spans="1:21" x14ac:dyDescent="0.25">
      <c r="A309" s="2" t="s">
        <v>1871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1967</v>
      </c>
      <c r="J309" s="7">
        <v>0</v>
      </c>
      <c r="K309" s="7" t="s">
        <v>1968</v>
      </c>
      <c r="L309" s="7" t="s">
        <v>26</v>
      </c>
      <c r="M309" s="7">
        <v>33.47</v>
      </c>
      <c r="N309" s="7" t="s">
        <v>619</v>
      </c>
      <c r="O309" s="7">
        <v>95</v>
      </c>
      <c r="P309" s="7">
        <f t="shared" si="25"/>
        <v>3179.65</v>
      </c>
      <c r="Q309" s="7" t="s">
        <v>28</v>
      </c>
      <c r="R309" s="8">
        <v>44505</v>
      </c>
      <c r="S309" s="8">
        <v>401768</v>
      </c>
      <c r="T309" s="7"/>
      <c r="U309" s="9">
        <f t="shared" si="24"/>
        <v>0</v>
      </c>
    </row>
    <row r="310" spans="1:21" x14ac:dyDescent="0.25">
      <c r="A310" s="2" t="s">
        <v>1969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1970</v>
      </c>
      <c r="J310" s="7">
        <v>0</v>
      </c>
      <c r="K310" s="7" t="s">
        <v>1959</v>
      </c>
      <c r="L310" s="7" t="s">
        <v>26</v>
      </c>
      <c r="M310" s="7">
        <v>161508</v>
      </c>
      <c r="N310" s="7" t="s">
        <v>619</v>
      </c>
      <c r="O310" s="7">
        <v>95</v>
      </c>
      <c r="P310" s="7">
        <f t="shared" si="25"/>
        <v>15343260</v>
      </c>
      <c r="Q310" s="7" t="s">
        <v>28</v>
      </c>
      <c r="R310" s="8">
        <v>41864</v>
      </c>
      <c r="S310" s="8">
        <v>401768</v>
      </c>
      <c r="T310" s="7"/>
      <c r="U310" s="9">
        <f t="shared" si="24"/>
        <v>0</v>
      </c>
    </row>
    <row r="311" spans="1:21" x14ac:dyDescent="0.25">
      <c r="A311" s="2" t="s">
        <v>1997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1995</v>
      </c>
      <c r="J311" s="7">
        <v>0</v>
      </c>
      <c r="K311" s="7" t="s">
        <v>1996</v>
      </c>
      <c r="L311" s="7" t="s">
        <v>49</v>
      </c>
      <c r="M311" s="7">
        <v>728700</v>
      </c>
      <c r="N311" s="7" t="s">
        <v>619</v>
      </c>
      <c r="O311" s="7">
        <v>95</v>
      </c>
      <c r="P311" s="7">
        <f t="shared" si="25"/>
        <v>69226500</v>
      </c>
      <c r="Q311" s="7" t="s">
        <v>28</v>
      </c>
      <c r="R311" s="8">
        <v>43343</v>
      </c>
      <c r="S311" s="8">
        <v>401768</v>
      </c>
      <c r="T311" s="7"/>
      <c r="U311" s="9">
        <f t="shared" si="24"/>
        <v>0</v>
      </c>
    </row>
    <row r="312" spans="1:21" x14ac:dyDescent="0.25">
      <c r="A312" s="2" t="s">
        <v>6619</v>
      </c>
      <c r="B312" s="6">
        <v>45048</v>
      </c>
      <c r="C312" s="7" t="s">
        <v>20</v>
      </c>
      <c r="D312" s="7" t="s">
        <v>21</v>
      </c>
      <c r="E312" s="7" t="s">
        <v>28</v>
      </c>
      <c r="F312" s="7" t="s">
        <v>28</v>
      </c>
      <c r="G312" s="7" t="s">
        <v>6620</v>
      </c>
      <c r="H312" s="7" t="s">
        <v>6621</v>
      </c>
      <c r="I312" s="7" t="s">
        <v>6622</v>
      </c>
      <c r="J312" s="7">
        <v>0</v>
      </c>
      <c r="K312" s="7" t="s">
        <v>6623</v>
      </c>
      <c r="L312" s="7" t="s">
        <v>26</v>
      </c>
      <c r="M312" s="7">
        <v>4.54</v>
      </c>
      <c r="N312" s="7" t="s">
        <v>160</v>
      </c>
      <c r="O312" s="7">
        <v>110</v>
      </c>
      <c r="P312" s="7">
        <f t="shared" si="25"/>
        <v>499.4</v>
      </c>
      <c r="Q312" s="7" t="s">
        <v>28</v>
      </c>
      <c r="R312" s="8">
        <v>45048</v>
      </c>
      <c r="S312" s="8">
        <v>401768</v>
      </c>
      <c r="T312" s="7"/>
      <c r="U312" s="9">
        <f t="shared" si="24"/>
        <v>0</v>
      </c>
    </row>
    <row r="313" spans="1:21" x14ac:dyDescent="0.25">
      <c r="A313" s="2" t="s">
        <v>5569</v>
      </c>
      <c r="B313" s="6">
        <v>43959</v>
      </c>
      <c r="C313" s="7" t="s">
        <v>20</v>
      </c>
      <c r="D313" s="7" t="s">
        <v>21</v>
      </c>
      <c r="E313" s="7" t="s">
        <v>20</v>
      </c>
      <c r="F313" s="7" t="s">
        <v>21</v>
      </c>
      <c r="G313" s="7" t="s">
        <v>5570</v>
      </c>
      <c r="H313" s="7" t="s">
        <v>5571</v>
      </c>
      <c r="I313" s="7" t="s">
        <v>5572</v>
      </c>
      <c r="J313" s="7">
        <v>0</v>
      </c>
      <c r="K313" s="7" t="s">
        <v>4272</v>
      </c>
      <c r="L313" s="7" t="s">
        <v>26</v>
      </c>
      <c r="M313" s="7">
        <v>7.04</v>
      </c>
      <c r="N313" s="7" t="s">
        <v>27</v>
      </c>
      <c r="O313" s="7">
        <f>M313</f>
        <v>7.04</v>
      </c>
      <c r="P313" s="7">
        <f>O313</f>
        <v>7.04</v>
      </c>
      <c r="Q313" s="7" t="s">
        <v>28</v>
      </c>
      <c r="R313" s="8">
        <v>41668</v>
      </c>
      <c r="S313" s="8">
        <v>401768</v>
      </c>
      <c r="T313" s="7"/>
      <c r="U313" s="9">
        <f t="shared" si="24"/>
        <v>0</v>
      </c>
    </row>
    <row r="314" spans="1:21" x14ac:dyDescent="0.25">
      <c r="A314" s="2" t="s">
        <v>2442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2443</v>
      </c>
      <c r="H314" s="7" t="s">
        <v>2444</v>
      </c>
      <c r="I314" s="7" t="s">
        <v>2445</v>
      </c>
      <c r="J314" s="7">
        <v>0</v>
      </c>
      <c r="K314" s="7" t="s">
        <v>2446</v>
      </c>
      <c r="L314" s="7" t="s">
        <v>26</v>
      </c>
      <c r="M314" s="7">
        <v>7.0000000000000007E-2</v>
      </c>
      <c r="N314" s="7" t="s">
        <v>619</v>
      </c>
      <c r="O314" s="7">
        <v>95</v>
      </c>
      <c r="P314" s="7">
        <f t="shared" si="25"/>
        <v>6.65</v>
      </c>
      <c r="Q314" s="7" t="s">
        <v>28</v>
      </c>
      <c r="R314" s="8">
        <v>41275</v>
      </c>
      <c r="S314" s="8">
        <v>401768</v>
      </c>
      <c r="T314" s="7"/>
      <c r="U314" s="9">
        <f t="shared" si="24"/>
        <v>0</v>
      </c>
    </row>
    <row r="315" spans="1:21" x14ac:dyDescent="0.25">
      <c r="A315" s="2" t="s">
        <v>2447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2448</v>
      </c>
      <c r="J315" s="7">
        <v>0</v>
      </c>
      <c r="K315" s="7" t="s">
        <v>2449</v>
      </c>
      <c r="L315" s="7" t="s">
        <v>26</v>
      </c>
      <c r="M315" s="7">
        <v>0.53</v>
      </c>
      <c r="N315" s="7" t="s">
        <v>619</v>
      </c>
      <c r="O315" s="7">
        <v>95</v>
      </c>
      <c r="P315" s="7">
        <f t="shared" si="25"/>
        <v>50.35</v>
      </c>
      <c r="Q315" s="7" t="s">
        <v>28</v>
      </c>
      <c r="R315" s="8">
        <v>41275</v>
      </c>
      <c r="S315" s="8">
        <v>401768</v>
      </c>
      <c r="T315" s="7"/>
      <c r="U315" s="9">
        <f t="shared" si="24"/>
        <v>0</v>
      </c>
    </row>
    <row r="316" spans="1:21" x14ac:dyDescent="0.25">
      <c r="A316" s="2" t="s">
        <v>2450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2451</v>
      </c>
      <c r="J316" s="7">
        <v>0</v>
      </c>
      <c r="K316" s="7" t="s">
        <v>2452</v>
      </c>
      <c r="L316" s="7" t="s">
        <v>26</v>
      </c>
      <c r="M316" s="7">
        <v>9</v>
      </c>
      <c r="N316" s="7" t="s">
        <v>619</v>
      </c>
      <c r="O316" s="7">
        <v>95</v>
      </c>
      <c r="P316" s="7">
        <f t="shared" si="25"/>
        <v>855</v>
      </c>
      <c r="Q316" s="7" t="s">
        <v>28</v>
      </c>
      <c r="R316" s="8">
        <v>41275</v>
      </c>
      <c r="S316" s="8">
        <v>401768</v>
      </c>
      <c r="T316" s="7"/>
      <c r="U316" s="9">
        <f t="shared" si="24"/>
        <v>0</v>
      </c>
    </row>
    <row r="317" spans="1:21" x14ac:dyDescent="0.25">
      <c r="A317" s="2" t="s">
        <v>2453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2454</v>
      </c>
      <c r="J317" s="7">
        <v>0</v>
      </c>
      <c r="K317" s="7" t="s">
        <v>2455</v>
      </c>
      <c r="L317" s="7" t="s">
        <v>26</v>
      </c>
      <c r="M317" s="7">
        <v>0.4</v>
      </c>
      <c r="N317" s="7" t="s">
        <v>619</v>
      </c>
      <c r="O317" s="7">
        <v>95</v>
      </c>
      <c r="P317" s="7">
        <f t="shared" si="25"/>
        <v>38</v>
      </c>
      <c r="Q317" s="7" t="s">
        <v>28</v>
      </c>
      <c r="R317" s="8">
        <v>41275</v>
      </c>
      <c r="S317" s="8">
        <v>401768</v>
      </c>
      <c r="T317" s="7"/>
      <c r="U317" s="9">
        <f t="shared" si="24"/>
        <v>0</v>
      </c>
    </row>
    <row r="318" spans="1:21" x14ac:dyDescent="0.25">
      <c r="A318" s="2" t="s">
        <v>2456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2457</v>
      </c>
      <c r="J318" s="7">
        <v>0</v>
      </c>
      <c r="K318" s="7" t="s">
        <v>2458</v>
      </c>
      <c r="L318" s="7" t="s">
        <v>26</v>
      </c>
      <c r="M318" s="7">
        <v>0.28000000000000003</v>
      </c>
      <c r="N318" s="7" t="s">
        <v>619</v>
      </c>
      <c r="O318" s="7">
        <v>95</v>
      </c>
      <c r="P318" s="7">
        <f t="shared" si="25"/>
        <v>26.6</v>
      </c>
      <c r="Q318" s="7" t="s">
        <v>28</v>
      </c>
      <c r="R318" s="8">
        <v>41275</v>
      </c>
      <c r="S318" s="8">
        <v>401768</v>
      </c>
      <c r="T318" s="7"/>
      <c r="U318" s="9">
        <f t="shared" si="24"/>
        <v>0</v>
      </c>
    </row>
    <row r="319" spans="1:21" x14ac:dyDescent="0.25">
      <c r="A319" s="2" t="s">
        <v>2459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2460</v>
      </c>
      <c r="J319" s="7">
        <v>0</v>
      </c>
      <c r="K319" s="7" t="s">
        <v>2461</v>
      </c>
      <c r="L319" s="7" t="s">
        <v>26</v>
      </c>
      <c r="M319" s="7">
        <v>1.1000000000000001</v>
      </c>
      <c r="N319" s="7" t="s">
        <v>619</v>
      </c>
      <c r="O319" s="7">
        <v>95</v>
      </c>
      <c r="P319" s="7">
        <f t="shared" si="25"/>
        <v>104.50000000000001</v>
      </c>
      <c r="Q319" s="7" t="s">
        <v>28</v>
      </c>
      <c r="R319" s="8">
        <v>41275</v>
      </c>
      <c r="S319" s="8">
        <v>401768</v>
      </c>
      <c r="T319" s="7"/>
      <c r="U319" s="9">
        <f t="shared" si="24"/>
        <v>0</v>
      </c>
    </row>
    <row r="320" spans="1:21" x14ac:dyDescent="0.25">
      <c r="A320" s="2" t="s">
        <v>2462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2463</v>
      </c>
      <c r="H320" s="7" t="s">
        <v>2464</v>
      </c>
      <c r="I320" s="7" t="s">
        <v>2313</v>
      </c>
      <c r="J320" s="7">
        <v>0</v>
      </c>
      <c r="K320" s="7" t="s">
        <v>2314</v>
      </c>
      <c r="L320" s="7" t="s">
        <v>26</v>
      </c>
      <c r="M320" s="7">
        <v>0.73</v>
      </c>
      <c r="N320" s="7" t="s">
        <v>619</v>
      </c>
      <c r="O320" s="7">
        <v>95</v>
      </c>
      <c r="P320" s="7">
        <f t="shared" si="25"/>
        <v>69.349999999999994</v>
      </c>
      <c r="Q320" s="7" t="s">
        <v>28</v>
      </c>
      <c r="R320" s="8">
        <v>46161</v>
      </c>
      <c r="S320" s="8">
        <v>401768</v>
      </c>
      <c r="T320" s="7"/>
      <c r="U320" s="9">
        <f t="shared" si="24"/>
        <v>0</v>
      </c>
    </row>
    <row r="321" spans="1:21" x14ac:dyDescent="0.25">
      <c r="A321" s="2" t="s">
        <v>1304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2316</v>
      </c>
      <c r="J321" s="7">
        <v>0</v>
      </c>
      <c r="K321" s="7" t="s">
        <v>2317</v>
      </c>
      <c r="L321" s="7" t="s">
        <v>26</v>
      </c>
      <c r="M321" s="7">
        <v>0.31459999999999999</v>
      </c>
      <c r="N321" s="7" t="s">
        <v>619</v>
      </c>
      <c r="O321" s="7">
        <v>95</v>
      </c>
      <c r="P321" s="7">
        <f t="shared" si="25"/>
        <v>29.887</v>
      </c>
      <c r="Q321" s="7" t="s">
        <v>28</v>
      </c>
      <c r="R321" s="8">
        <v>45476</v>
      </c>
      <c r="S321" s="8">
        <v>401768</v>
      </c>
      <c r="T321" s="7"/>
      <c r="U321" s="9">
        <f t="shared" si="24"/>
        <v>0</v>
      </c>
    </row>
    <row r="322" spans="1:21" x14ac:dyDescent="0.25">
      <c r="A322" s="2" t="s">
        <v>2465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2322</v>
      </c>
      <c r="J322" s="7">
        <v>0</v>
      </c>
      <c r="K322" s="7" t="s">
        <v>2323</v>
      </c>
      <c r="L322" s="7" t="s">
        <v>26</v>
      </c>
      <c r="M322" s="7">
        <v>1.0900000000000001</v>
      </c>
      <c r="N322" s="7" t="s">
        <v>619</v>
      </c>
      <c r="O322" s="7">
        <v>95</v>
      </c>
      <c r="P322" s="7">
        <f t="shared" si="25"/>
        <v>103.55000000000001</v>
      </c>
      <c r="Q322" s="7" t="s">
        <v>28</v>
      </c>
      <c r="R322" s="8">
        <v>46161</v>
      </c>
      <c r="S322" s="8">
        <v>401768</v>
      </c>
      <c r="T322" s="7"/>
      <c r="U322" s="9">
        <f t="shared" si="24"/>
        <v>0</v>
      </c>
    </row>
    <row r="323" spans="1:21" x14ac:dyDescent="0.25">
      <c r="A323" s="2" t="s">
        <v>2466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2325</v>
      </c>
      <c r="J323" s="7">
        <v>0</v>
      </c>
      <c r="K323" s="7" t="s">
        <v>2326</v>
      </c>
      <c r="L323" s="7" t="s">
        <v>26</v>
      </c>
      <c r="M323" s="7">
        <v>1.39</v>
      </c>
      <c r="N323" s="7" t="s">
        <v>619</v>
      </c>
      <c r="O323" s="7">
        <v>95</v>
      </c>
      <c r="P323" s="7">
        <f t="shared" ref="P323:P386" si="28">O323*M323</f>
        <v>132.04999999999998</v>
      </c>
      <c r="Q323" s="7" t="s">
        <v>28</v>
      </c>
      <c r="R323" s="8">
        <v>46161</v>
      </c>
      <c r="S323" s="8">
        <v>401768</v>
      </c>
      <c r="T323" s="7"/>
      <c r="U323" s="9">
        <f t="shared" ref="U323:U386" si="29">T323*P323/100000</f>
        <v>0</v>
      </c>
    </row>
    <row r="324" spans="1:21" x14ac:dyDescent="0.25">
      <c r="A324" s="2" t="s">
        <v>2467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2342</v>
      </c>
      <c r="J324" s="7">
        <v>0</v>
      </c>
      <c r="K324" s="7" t="s">
        <v>2343</v>
      </c>
      <c r="L324" s="7" t="s">
        <v>26</v>
      </c>
      <c r="M324" s="7">
        <v>3.4</v>
      </c>
      <c r="N324" s="7" t="s">
        <v>619</v>
      </c>
      <c r="O324" s="7">
        <v>95</v>
      </c>
      <c r="P324" s="7">
        <f t="shared" si="28"/>
        <v>323</v>
      </c>
      <c r="Q324" s="7" t="s">
        <v>28</v>
      </c>
      <c r="R324" s="8">
        <v>46161</v>
      </c>
      <c r="S324" s="8">
        <v>401768</v>
      </c>
      <c r="T324" s="7"/>
      <c r="U324" s="9">
        <f t="shared" si="29"/>
        <v>0</v>
      </c>
    </row>
    <row r="325" spans="1:21" x14ac:dyDescent="0.25">
      <c r="A325" s="2" t="s">
        <v>2468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2350</v>
      </c>
      <c r="J325" s="7">
        <v>0</v>
      </c>
      <c r="K325" s="7" t="s">
        <v>2351</v>
      </c>
      <c r="L325" s="7" t="s">
        <v>26</v>
      </c>
      <c r="M325" s="7">
        <v>3.47</v>
      </c>
      <c r="N325" s="7" t="s">
        <v>619</v>
      </c>
      <c r="O325" s="7">
        <v>95</v>
      </c>
      <c r="P325" s="7">
        <f t="shared" si="28"/>
        <v>329.65000000000003</v>
      </c>
      <c r="Q325" s="7" t="s">
        <v>28</v>
      </c>
      <c r="R325" s="8">
        <v>46161</v>
      </c>
      <c r="S325" s="8">
        <v>401768</v>
      </c>
      <c r="T325" s="7"/>
      <c r="U325" s="9">
        <f t="shared" si="29"/>
        <v>0</v>
      </c>
    </row>
    <row r="326" spans="1:21" x14ac:dyDescent="0.25">
      <c r="A326" s="2" t="s">
        <v>2469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2470</v>
      </c>
      <c r="J326" s="7">
        <v>0</v>
      </c>
      <c r="K326" s="7" t="s">
        <v>2471</v>
      </c>
      <c r="L326" s="7" t="s">
        <v>26</v>
      </c>
      <c r="M326" s="7">
        <v>3.64</v>
      </c>
      <c r="N326" s="7" t="s">
        <v>619</v>
      </c>
      <c r="O326" s="7">
        <v>95</v>
      </c>
      <c r="P326" s="7">
        <f t="shared" si="28"/>
        <v>345.8</v>
      </c>
      <c r="Q326" s="7" t="s">
        <v>28</v>
      </c>
      <c r="R326" s="8">
        <v>46161</v>
      </c>
      <c r="S326" s="8">
        <v>401768</v>
      </c>
      <c r="T326" s="7"/>
      <c r="U326" s="9">
        <f t="shared" si="29"/>
        <v>0</v>
      </c>
    </row>
    <row r="327" spans="1:21" x14ac:dyDescent="0.25">
      <c r="A327" s="2" t="s">
        <v>2472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2359</v>
      </c>
      <c r="J327" s="7">
        <v>0</v>
      </c>
      <c r="K327" s="7" t="s">
        <v>2360</v>
      </c>
      <c r="L327" s="7" t="s">
        <v>26</v>
      </c>
      <c r="M327" s="7">
        <v>3.35</v>
      </c>
      <c r="N327" s="7" t="s">
        <v>619</v>
      </c>
      <c r="O327" s="7">
        <v>95</v>
      </c>
      <c r="P327" s="7">
        <f t="shared" si="28"/>
        <v>318.25</v>
      </c>
      <c r="Q327" s="7" t="s">
        <v>28</v>
      </c>
      <c r="R327" s="8">
        <v>46161</v>
      </c>
      <c r="S327" s="8">
        <v>401768</v>
      </c>
      <c r="T327" s="7"/>
      <c r="U327" s="9">
        <f t="shared" si="29"/>
        <v>0</v>
      </c>
    </row>
    <row r="328" spans="1:21" x14ac:dyDescent="0.25">
      <c r="A328" s="2" t="s">
        <v>2473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2474</v>
      </c>
      <c r="J328" s="7">
        <v>0</v>
      </c>
      <c r="K328" s="7" t="s">
        <v>2475</v>
      </c>
      <c r="L328" s="7" t="s">
        <v>26</v>
      </c>
      <c r="M328" s="7">
        <v>2.36</v>
      </c>
      <c r="N328" s="7" t="s">
        <v>619</v>
      </c>
      <c r="O328" s="7">
        <v>95</v>
      </c>
      <c r="P328" s="7">
        <f t="shared" si="28"/>
        <v>224.2</v>
      </c>
      <c r="Q328" s="7" t="s">
        <v>28</v>
      </c>
      <c r="R328" s="8">
        <v>46161</v>
      </c>
      <c r="S328" s="8">
        <v>401768</v>
      </c>
      <c r="T328" s="7"/>
      <c r="U328" s="9">
        <f t="shared" si="29"/>
        <v>0</v>
      </c>
    </row>
    <row r="329" spans="1:21" x14ac:dyDescent="0.25">
      <c r="A329" s="2" t="s">
        <v>1877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2476</v>
      </c>
      <c r="J329" s="7">
        <v>0</v>
      </c>
      <c r="K329" s="7" t="s">
        <v>2477</v>
      </c>
      <c r="L329" s="7" t="s">
        <v>26</v>
      </c>
      <c r="M329" s="7">
        <v>2.46</v>
      </c>
      <c r="N329" s="7" t="s">
        <v>619</v>
      </c>
      <c r="O329" s="7">
        <v>95</v>
      </c>
      <c r="P329" s="7">
        <f t="shared" si="28"/>
        <v>233.7</v>
      </c>
      <c r="Q329" s="7" t="s">
        <v>28</v>
      </c>
      <c r="R329" s="8">
        <v>46161</v>
      </c>
      <c r="S329" s="8">
        <v>401768</v>
      </c>
      <c r="T329" s="7"/>
      <c r="U329" s="9">
        <f t="shared" si="29"/>
        <v>0</v>
      </c>
    </row>
    <row r="330" spans="1:21" x14ac:dyDescent="0.25">
      <c r="A330" s="2" t="s">
        <v>2478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2479</v>
      </c>
      <c r="J330" s="7">
        <v>0</v>
      </c>
      <c r="K330" s="7" t="s">
        <v>2480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8"/>
        <v>233.7</v>
      </c>
      <c r="Q330" s="7" t="s">
        <v>28</v>
      </c>
      <c r="R330" s="8">
        <v>46161</v>
      </c>
      <c r="S330" s="8">
        <v>401768</v>
      </c>
      <c r="T330" s="7"/>
      <c r="U330" s="9">
        <f t="shared" si="29"/>
        <v>0</v>
      </c>
    </row>
    <row r="331" spans="1:21" x14ac:dyDescent="0.25">
      <c r="A331" s="2" t="s">
        <v>2481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2482</v>
      </c>
      <c r="J331" s="7">
        <v>0</v>
      </c>
      <c r="K331" s="7" t="s">
        <v>2483</v>
      </c>
      <c r="L331" s="7" t="s">
        <v>26</v>
      </c>
      <c r="M331" s="7">
        <v>2.6</v>
      </c>
      <c r="N331" s="7" t="s">
        <v>619</v>
      </c>
      <c r="O331" s="7">
        <v>95</v>
      </c>
      <c r="P331" s="7">
        <f t="shared" si="28"/>
        <v>247</v>
      </c>
      <c r="Q331" s="7" t="s">
        <v>28</v>
      </c>
      <c r="R331" s="8">
        <v>46161</v>
      </c>
      <c r="S331" s="8">
        <v>401768</v>
      </c>
      <c r="T331" s="7"/>
      <c r="U331" s="9">
        <f t="shared" si="29"/>
        <v>0</v>
      </c>
    </row>
    <row r="332" spans="1:21" x14ac:dyDescent="0.25">
      <c r="A332" s="2" t="s">
        <v>2484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2485</v>
      </c>
      <c r="J332" s="7">
        <v>0</v>
      </c>
      <c r="K332" s="7" t="s">
        <v>2486</v>
      </c>
      <c r="L332" s="7" t="s">
        <v>26</v>
      </c>
      <c r="M332" s="7">
        <v>3.64</v>
      </c>
      <c r="N332" s="7" t="s">
        <v>619</v>
      </c>
      <c r="O332" s="7">
        <v>95</v>
      </c>
      <c r="P332" s="7">
        <f t="shared" si="28"/>
        <v>345.8</v>
      </c>
      <c r="Q332" s="7" t="s">
        <v>28</v>
      </c>
      <c r="R332" s="8">
        <v>46161</v>
      </c>
      <c r="S332" s="8">
        <v>401768</v>
      </c>
      <c r="T332" s="7"/>
      <c r="U332" s="9">
        <f t="shared" si="29"/>
        <v>0</v>
      </c>
    </row>
    <row r="333" spans="1:21" x14ac:dyDescent="0.25">
      <c r="A333" s="2" t="s">
        <v>5963</v>
      </c>
      <c r="B333" s="6">
        <v>44235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2384</v>
      </c>
      <c r="J333" s="7">
        <v>0</v>
      </c>
      <c r="K333" s="7" t="s">
        <v>2385</v>
      </c>
      <c r="L333" s="7" t="s">
        <v>26</v>
      </c>
      <c r="M333" s="7">
        <v>0.72</v>
      </c>
      <c r="N333" s="7" t="s">
        <v>619</v>
      </c>
      <c r="O333" s="7">
        <v>95</v>
      </c>
      <c r="P333" s="7">
        <f t="shared" si="28"/>
        <v>68.399999999999991</v>
      </c>
      <c r="Q333" s="7" t="s">
        <v>28</v>
      </c>
      <c r="R333" s="8">
        <v>46161</v>
      </c>
      <c r="S333" s="8">
        <v>401768</v>
      </c>
      <c r="T333" s="7"/>
      <c r="U333" s="9">
        <f t="shared" si="29"/>
        <v>0</v>
      </c>
    </row>
    <row r="334" spans="1:21" x14ac:dyDescent="0.25">
      <c r="A334" s="2" t="s">
        <v>6392</v>
      </c>
      <c r="B334" s="6">
        <v>44784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6393</v>
      </c>
      <c r="J334" s="7">
        <v>0</v>
      </c>
      <c r="K334" s="7" t="s">
        <v>6394</v>
      </c>
      <c r="L334" s="7" t="s">
        <v>26</v>
      </c>
      <c r="M334" s="7">
        <v>0.74</v>
      </c>
      <c r="N334" s="7" t="s">
        <v>619</v>
      </c>
      <c r="O334" s="7">
        <v>95</v>
      </c>
      <c r="P334" s="7">
        <f t="shared" si="28"/>
        <v>70.3</v>
      </c>
      <c r="Q334" s="7" t="s">
        <v>28</v>
      </c>
      <c r="R334" s="8">
        <v>46161</v>
      </c>
      <c r="S334" s="8">
        <v>401768</v>
      </c>
      <c r="T334" s="7"/>
      <c r="U334" s="9">
        <f t="shared" si="29"/>
        <v>0</v>
      </c>
    </row>
    <row r="335" spans="1:21" x14ac:dyDescent="0.25">
      <c r="A335" s="2" t="s">
        <v>2922</v>
      </c>
      <c r="B335" s="6">
        <v>44911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2336</v>
      </c>
      <c r="J335" s="7">
        <v>0</v>
      </c>
      <c r="K335" s="7" t="s">
        <v>2337</v>
      </c>
      <c r="L335" s="7" t="s">
        <v>26</v>
      </c>
      <c r="M335" s="7">
        <v>3.86</v>
      </c>
      <c r="N335" s="7" t="s">
        <v>619</v>
      </c>
      <c r="O335" s="7">
        <v>95</v>
      </c>
      <c r="P335" s="7">
        <f t="shared" si="28"/>
        <v>366.7</v>
      </c>
      <c r="Q335" s="7" t="s">
        <v>28</v>
      </c>
      <c r="R335" s="8">
        <v>46161</v>
      </c>
      <c r="S335" s="8">
        <v>401768</v>
      </c>
      <c r="T335" s="7"/>
      <c r="U335" s="9">
        <f t="shared" si="29"/>
        <v>0</v>
      </c>
    </row>
    <row r="336" spans="1:21" x14ac:dyDescent="0.25">
      <c r="A336" s="2" t="s">
        <v>7055</v>
      </c>
      <c r="B336" s="6">
        <v>45581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2316</v>
      </c>
      <c r="J336" s="7">
        <v>0</v>
      </c>
      <c r="K336" s="7" t="s">
        <v>2317</v>
      </c>
      <c r="L336" s="7" t="s">
        <v>26</v>
      </c>
      <c r="M336" s="7">
        <v>0.39</v>
      </c>
      <c r="N336" s="7" t="s">
        <v>619</v>
      </c>
      <c r="O336" s="7">
        <v>95</v>
      </c>
      <c r="P336" s="7">
        <f t="shared" si="28"/>
        <v>37.050000000000004</v>
      </c>
      <c r="Q336" s="7" t="s">
        <v>28</v>
      </c>
      <c r="R336" s="8">
        <v>46161</v>
      </c>
      <c r="S336" s="8">
        <v>401768</v>
      </c>
      <c r="T336" s="7"/>
      <c r="U336" s="9">
        <f t="shared" si="29"/>
        <v>0</v>
      </c>
    </row>
    <row r="337" spans="1:21" x14ac:dyDescent="0.25">
      <c r="A337" s="2" t="s">
        <v>7168</v>
      </c>
      <c r="B337" s="6">
        <v>45721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7066</v>
      </c>
      <c r="J337" s="7">
        <v>0</v>
      </c>
      <c r="K337" s="7" t="s">
        <v>7067</v>
      </c>
      <c r="L337" s="7" t="s">
        <v>26</v>
      </c>
      <c r="M337" s="7">
        <v>0.81</v>
      </c>
      <c r="N337" s="7" t="s">
        <v>619</v>
      </c>
      <c r="O337" s="7">
        <v>95</v>
      </c>
      <c r="P337" s="7">
        <f t="shared" si="28"/>
        <v>76.95</v>
      </c>
      <c r="Q337" s="7" t="s">
        <v>28</v>
      </c>
      <c r="R337" s="8">
        <v>46161</v>
      </c>
      <c r="S337" s="8">
        <v>401768</v>
      </c>
      <c r="T337" s="7"/>
      <c r="U337" s="9">
        <f t="shared" si="29"/>
        <v>0</v>
      </c>
    </row>
    <row r="338" spans="1:21" x14ac:dyDescent="0.25">
      <c r="A338" s="2" t="s">
        <v>7183</v>
      </c>
      <c r="B338" s="6">
        <v>45735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7432</v>
      </c>
      <c r="J338" s="7">
        <v>0</v>
      </c>
      <c r="K338" s="7" t="s">
        <v>7433</v>
      </c>
      <c r="L338" s="7" t="s">
        <v>26</v>
      </c>
      <c r="M338" s="7">
        <v>4.62</v>
      </c>
      <c r="N338" s="7" t="s">
        <v>619</v>
      </c>
      <c r="O338" s="7">
        <v>95</v>
      </c>
      <c r="P338" s="7">
        <f t="shared" si="28"/>
        <v>438.90000000000003</v>
      </c>
      <c r="Q338" s="7" t="s">
        <v>28</v>
      </c>
      <c r="R338" s="8">
        <v>46161</v>
      </c>
      <c r="S338" s="8">
        <v>401768</v>
      </c>
      <c r="T338" s="7"/>
      <c r="U338" s="9">
        <f t="shared" si="29"/>
        <v>0</v>
      </c>
    </row>
    <row r="339" spans="1:21" x14ac:dyDescent="0.25">
      <c r="A339" s="2" t="s">
        <v>7288</v>
      </c>
      <c r="B339" s="6">
        <v>45947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7563</v>
      </c>
      <c r="J339" s="7">
        <v>0</v>
      </c>
      <c r="K339" s="7" t="s">
        <v>7564</v>
      </c>
      <c r="L339" s="7" t="s">
        <v>49</v>
      </c>
      <c r="M339" s="7">
        <v>48475</v>
      </c>
      <c r="N339" s="7" t="s">
        <v>27</v>
      </c>
      <c r="O339" s="7">
        <f>M339</f>
        <v>48475</v>
      </c>
      <c r="P339" s="7">
        <f>O339</f>
        <v>48475</v>
      </c>
      <c r="Q339" s="7" t="s">
        <v>28</v>
      </c>
      <c r="R339" s="8">
        <v>45947</v>
      </c>
      <c r="S339" s="8">
        <v>401768</v>
      </c>
      <c r="T339" s="7"/>
      <c r="U339" s="9">
        <f t="shared" si="29"/>
        <v>0</v>
      </c>
    </row>
    <row r="340" spans="1:21" x14ac:dyDescent="0.25">
      <c r="A340" s="2" t="s">
        <v>7407</v>
      </c>
      <c r="B340" s="6">
        <v>46081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7642</v>
      </c>
      <c r="J340" s="7">
        <v>0</v>
      </c>
      <c r="K340" s="7" t="s">
        <v>7643</v>
      </c>
      <c r="L340" s="7" t="s">
        <v>26</v>
      </c>
      <c r="M340" s="7">
        <v>4.22</v>
      </c>
      <c r="N340" s="7" t="s">
        <v>619</v>
      </c>
      <c r="O340" s="7">
        <v>95</v>
      </c>
      <c r="P340" s="7">
        <f t="shared" si="28"/>
        <v>400.9</v>
      </c>
      <c r="Q340" s="7" t="s">
        <v>28</v>
      </c>
      <c r="R340" s="8">
        <v>46161</v>
      </c>
      <c r="S340" s="8">
        <v>401768</v>
      </c>
      <c r="T340" s="7"/>
      <c r="U340" s="9">
        <f t="shared" si="29"/>
        <v>0</v>
      </c>
    </row>
    <row r="341" spans="1:21" x14ac:dyDescent="0.25">
      <c r="A341" s="2" t="s">
        <v>7427</v>
      </c>
      <c r="B341" s="6">
        <v>46127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7584</v>
      </c>
      <c r="J341" s="7">
        <v>0</v>
      </c>
      <c r="K341" s="7" t="s">
        <v>7585</v>
      </c>
      <c r="L341" s="7" t="s">
        <v>26</v>
      </c>
      <c r="M341" s="7">
        <v>0.98</v>
      </c>
      <c r="N341" s="7" t="s">
        <v>619</v>
      </c>
      <c r="O341" s="7">
        <v>95</v>
      </c>
      <c r="P341" s="7">
        <f t="shared" si="28"/>
        <v>93.1</v>
      </c>
      <c r="Q341" s="7" t="s">
        <v>28</v>
      </c>
      <c r="R341" s="8">
        <v>46161</v>
      </c>
      <c r="S341" s="8">
        <v>401768</v>
      </c>
      <c r="T341" s="7"/>
      <c r="U341" s="9">
        <f t="shared" si="29"/>
        <v>0</v>
      </c>
    </row>
    <row r="342" spans="1:21" x14ac:dyDescent="0.25">
      <c r="A342" s="2" t="s">
        <v>1410</v>
      </c>
      <c r="B342" s="6">
        <v>43959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2487</v>
      </c>
      <c r="H342" s="7" t="s">
        <v>2488</v>
      </c>
      <c r="I342" s="7" t="s">
        <v>2277</v>
      </c>
      <c r="J342" s="7">
        <v>0</v>
      </c>
      <c r="K342" s="7" t="s">
        <v>2278</v>
      </c>
      <c r="L342" s="7" t="s">
        <v>26</v>
      </c>
      <c r="M342" s="7">
        <v>43.34</v>
      </c>
      <c r="N342" s="7" t="s">
        <v>27</v>
      </c>
      <c r="O342" s="7">
        <f t="shared" ref="O342:O362" si="30">M342</f>
        <v>43.34</v>
      </c>
      <c r="P342" s="7">
        <f t="shared" ref="P342:P362" si="31">O342</f>
        <v>43.34</v>
      </c>
      <c r="Q342" s="7" t="s">
        <v>28</v>
      </c>
      <c r="R342" s="8">
        <v>46154</v>
      </c>
      <c r="S342" s="8">
        <v>401768</v>
      </c>
      <c r="T342" s="7">
        <v>1500</v>
      </c>
      <c r="U342" s="9">
        <f t="shared" si="29"/>
        <v>0.65010000000000012</v>
      </c>
    </row>
    <row r="343" spans="1:21" x14ac:dyDescent="0.25">
      <c r="A343" s="2" t="s">
        <v>1134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2313</v>
      </c>
      <c r="J343" s="7">
        <v>0</v>
      </c>
      <c r="K343" s="7" t="s">
        <v>2314</v>
      </c>
      <c r="L343" s="7" t="s">
        <v>26</v>
      </c>
      <c r="M343" s="7">
        <v>45.29</v>
      </c>
      <c r="N343" s="7" t="s">
        <v>27</v>
      </c>
      <c r="O343" s="7">
        <f t="shared" si="30"/>
        <v>45.29</v>
      </c>
      <c r="P343" s="7">
        <f t="shared" si="31"/>
        <v>45.29</v>
      </c>
      <c r="Q343" s="7" t="s">
        <v>28</v>
      </c>
      <c r="R343" s="8">
        <v>46154</v>
      </c>
      <c r="S343" s="8">
        <v>401768</v>
      </c>
      <c r="T343" s="7">
        <v>6000</v>
      </c>
      <c r="U343" s="9">
        <f t="shared" si="29"/>
        <v>2.7174</v>
      </c>
    </row>
    <row r="344" spans="1:21" x14ac:dyDescent="0.25">
      <c r="A344" s="2" t="s">
        <v>1103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2316</v>
      </c>
      <c r="J344" s="7">
        <v>0</v>
      </c>
      <c r="K344" s="7" t="s">
        <v>2317</v>
      </c>
      <c r="L344" s="7" t="s">
        <v>26</v>
      </c>
      <c r="M344" s="7">
        <v>24.29</v>
      </c>
      <c r="N344" s="7" t="s">
        <v>27</v>
      </c>
      <c r="O344" s="7">
        <f t="shared" si="30"/>
        <v>24.29</v>
      </c>
      <c r="P344" s="7">
        <f t="shared" si="31"/>
        <v>24.29</v>
      </c>
      <c r="Q344" s="7" t="s">
        <v>28</v>
      </c>
      <c r="R344" s="8">
        <v>46154</v>
      </c>
      <c r="S344" s="8">
        <v>401768</v>
      </c>
      <c r="T344" s="7"/>
      <c r="U344" s="9">
        <f t="shared" si="29"/>
        <v>0</v>
      </c>
    </row>
    <row r="345" spans="1:21" x14ac:dyDescent="0.25">
      <c r="A345" s="2" t="s">
        <v>2489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2319</v>
      </c>
      <c r="J345" s="7">
        <v>0</v>
      </c>
      <c r="K345" s="7" t="s">
        <v>2320</v>
      </c>
      <c r="L345" s="7" t="s">
        <v>26</v>
      </c>
      <c r="M345" s="7">
        <v>27.5</v>
      </c>
      <c r="N345" s="7" t="s">
        <v>27</v>
      </c>
      <c r="O345" s="7">
        <f t="shared" si="30"/>
        <v>27.5</v>
      </c>
      <c r="P345" s="7">
        <f t="shared" si="31"/>
        <v>27.5</v>
      </c>
      <c r="Q345" s="7" t="s">
        <v>28</v>
      </c>
      <c r="R345" s="8">
        <v>46154</v>
      </c>
      <c r="S345" s="8">
        <v>401768</v>
      </c>
      <c r="T345" s="7"/>
      <c r="U345" s="9">
        <f t="shared" si="29"/>
        <v>0</v>
      </c>
    </row>
    <row r="346" spans="1:21" x14ac:dyDescent="0.25">
      <c r="A346" s="2" t="s">
        <v>2490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2322</v>
      </c>
      <c r="J346" s="7">
        <v>0</v>
      </c>
      <c r="K346" s="7" t="s">
        <v>2323</v>
      </c>
      <c r="L346" s="7" t="s">
        <v>26</v>
      </c>
      <c r="M346" s="7">
        <v>64.599999999999994</v>
      </c>
      <c r="N346" s="7" t="s">
        <v>27</v>
      </c>
      <c r="O346" s="7">
        <f t="shared" si="30"/>
        <v>64.599999999999994</v>
      </c>
      <c r="P346" s="7">
        <f t="shared" si="31"/>
        <v>64.599999999999994</v>
      </c>
      <c r="Q346" s="7" t="s">
        <v>28</v>
      </c>
      <c r="R346" s="8">
        <v>46154</v>
      </c>
      <c r="S346" s="8">
        <v>401768</v>
      </c>
      <c r="T346" s="7"/>
      <c r="U346" s="9">
        <f t="shared" si="29"/>
        <v>0</v>
      </c>
    </row>
    <row r="347" spans="1:21" x14ac:dyDescent="0.25">
      <c r="A347" s="2" t="s">
        <v>1450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2330</v>
      </c>
      <c r="J347" s="7">
        <v>0</v>
      </c>
      <c r="K347" s="7" t="s">
        <v>2331</v>
      </c>
      <c r="L347" s="7" t="s">
        <v>26</v>
      </c>
      <c r="M347" s="7">
        <v>216.54</v>
      </c>
      <c r="N347" s="7" t="s">
        <v>27</v>
      </c>
      <c r="O347" s="7">
        <f t="shared" si="30"/>
        <v>216.54</v>
      </c>
      <c r="P347" s="7">
        <f t="shared" si="31"/>
        <v>216.54</v>
      </c>
      <c r="Q347" s="7" t="s">
        <v>28</v>
      </c>
      <c r="R347" s="8">
        <v>46154</v>
      </c>
      <c r="S347" s="8">
        <v>401768</v>
      </c>
      <c r="T347" s="7"/>
      <c r="U347" s="9">
        <f t="shared" si="29"/>
        <v>0</v>
      </c>
    </row>
    <row r="348" spans="1:21" x14ac:dyDescent="0.25">
      <c r="A348" s="2" t="s">
        <v>2491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2333</v>
      </c>
      <c r="J348" s="7">
        <v>0</v>
      </c>
      <c r="K348" s="7" t="s">
        <v>2334</v>
      </c>
      <c r="L348" s="7" t="s">
        <v>26</v>
      </c>
      <c r="M348" s="7">
        <v>472.55</v>
      </c>
      <c r="N348" s="7" t="s">
        <v>27</v>
      </c>
      <c r="O348" s="7">
        <f t="shared" si="30"/>
        <v>472.55</v>
      </c>
      <c r="P348" s="7">
        <f t="shared" si="31"/>
        <v>472.55</v>
      </c>
      <c r="Q348" s="7" t="s">
        <v>28</v>
      </c>
      <c r="R348" s="8">
        <v>46154</v>
      </c>
      <c r="S348" s="8">
        <v>401768</v>
      </c>
      <c r="T348" s="7">
        <v>630</v>
      </c>
      <c r="U348" s="9">
        <f t="shared" si="29"/>
        <v>2.9770650000000001</v>
      </c>
    </row>
    <row r="349" spans="1:21" x14ac:dyDescent="0.25">
      <c r="A349" s="2" t="s">
        <v>2492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2336</v>
      </c>
      <c r="J349" s="7">
        <v>0</v>
      </c>
      <c r="K349" s="7" t="s">
        <v>2337</v>
      </c>
      <c r="L349" s="7" t="s">
        <v>26</v>
      </c>
      <c r="M349" s="7">
        <v>282.25</v>
      </c>
      <c r="N349" s="7" t="s">
        <v>27</v>
      </c>
      <c r="O349" s="7">
        <f t="shared" si="30"/>
        <v>282.25</v>
      </c>
      <c r="P349" s="7">
        <f t="shared" si="31"/>
        <v>282.25</v>
      </c>
      <c r="Q349" s="7" t="s">
        <v>28</v>
      </c>
      <c r="R349" s="8">
        <v>46154</v>
      </c>
      <c r="S349" s="8">
        <v>401768</v>
      </c>
      <c r="T349" s="7"/>
      <c r="U349" s="9">
        <f t="shared" si="29"/>
        <v>0</v>
      </c>
    </row>
    <row r="350" spans="1:21" x14ac:dyDescent="0.25">
      <c r="A350" s="2" t="s">
        <v>1453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2339</v>
      </c>
      <c r="J350" s="7">
        <v>0</v>
      </c>
      <c r="K350" s="7" t="s">
        <v>2340</v>
      </c>
      <c r="L350" s="7" t="s">
        <v>26</v>
      </c>
      <c r="M350" s="7">
        <v>269</v>
      </c>
      <c r="N350" s="7" t="s">
        <v>27</v>
      </c>
      <c r="O350" s="7">
        <f t="shared" si="30"/>
        <v>269</v>
      </c>
      <c r="P350" s="7">
        <f t="shared" si="31"/>
        <v>269</v>
      </c>
      <c r="Q350" s="7" t="s">
        <v>28</v>
      </c>
      <c r="R350" s="8">
        <v>46154</v>
      </c>
      <c r="S350" s="8">
        <v>401768</v>
      </c>
      <c r="T350" s="7">
        <v>48</v>
      </c>
      <c r="U350" s="9">
        <f t="shared" si="29"/>
        <v>0.12912000000000001</v>
      </c>
    </row>
    <row r="351" spans="1:21" x14ac:dyDescent="0.25">
      <c r="A351" s="2" t="s">
        <v>2493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2474</v>
      </c>
      <c r="J351" s="7">
        <v>0</v>
      </c>
      <c r="K351" s="7" t="s">
        <v>2475</v>
      </c>
      <c r="L351" s="7" t="s">
        <v>26</v>
      </c>
      <c r="M351" s="7">
        <v>171.97</v>
      </c>
      <c r="N351" s="7" t="s">
        <v>27</v>
      </c>
      <c r="O351" s="7">
        <f t="shared" si="30"/>
        <v>171.97</v>
      </c>
      <c r="P351" s="7">
        <f t="shared" si="31"/>
        <v>171.97</v>
      </c>
      <c r="Q351" s="7" t="s">
        <v>28</v>
      </c>
      <c r="R351" s="8">
        <v>46154</v>
      </c>
      <c r="S351" s="8">
        <v>401768</v>
      </c>
      <c r="T351" s="7"/>
      <c r="U351" s="9">
        <f t="shared" si="29"/>
        <v>0</v>
      </c>
    </row>
    <row r="352" spans="1:21" x14ac:dyDescent="0.25">
      <c r="A352" s="2" t="s">
        <v>2494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2495</v>
      </c>
      <c r="J352" s="7">
        <v>0</v>
      </c>
      <c r="K352" s="7" t="s">
        <v>2496</v>
      </c>
      <c r="L352" s="7" t="s">
        <v>26</v>
      </c>
      <c r="M352" s="7">
        <v>42.6</v>
      </c>
      <c r="N352" s="7" t="s">
        <v>27</v>
      </c>
      <c r="O352" s="7">
        <f t="shared" si="30"/>
        <v>42.6</v>
      </c>
      <c r="P352" s="7">
        <f t="shared" si="31"/>
        <v>42.6</v>
      </c>
      <c r="Q352" s="7" t="s">
        <v>28</v>
      </c>
      <c r="R352" s="8">
        <v>41395</v>
      </c>
      <c r="S352" s="8">
        <v>401768</v>
      </c>
      <c r="T352" s="7"/>
      <c r="U352" s="9">
        <f t="shared" si="29"/>
        <v>0</v>
      </c>
    </row>
    <row r="353" spans="1:21" x14ac:dyDescent="0.25">
      <c r="A353" s="2" t="s">
        <v>2497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2498</v>
      </c>
      <c r="J353" s="7">
        <v>0</v>
      </c>
      <c r="K353" s="7" t="s">
        <v>2499</v>
      </c>
      <c r="L353" s="7" t="s">
        <v>26</v>
      </c>
      <c r="M353" s="7">
        <v>44.48</v>
      </c>
      <c r="N353" s="7" t="s">
        <v>27</v>
      </c>
      <c r="O353" s="7">
        <f t="shared" si="30"/>
        <v>44.48</v>
      </c>
      <c r="P353" s="7">
        <f t="shared" si="31"/>
        <v>44.48</v>
      </c>
      <c r="Q353" s="7" t="s">
        <v>28</v>
      </c>
      <c r="R353" s="8">
        <v>46154</v>
      </c>
      <c r="S353" s="8">
        <v>401768</v>
      </c>
      <c r="T353" s="7">
        <v>300</v>
      </c>
      <c r="U353" s="9">
        <f t="shared" si="29"/>
        <v>0.13343999999999998</v>
      </c>
    </row>
    <row r="354" spans="1:21" x14ac:dyDescent="0.25">
      <c r="A354" s="2" t="s">
        <v>2506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2507</v>
      </c>
      <c r="J354" s="7">
        <v>0</v>
      </c>
      <c r="K354" s="7" t="s">
        <v>2508</v>
      </c>
      <c r="L354" s="7" t="s">
        <v>26</v>
      </c>
      <c r="M354" s="7">
        <v>33.61</v>
      </c>
      <c r="N354" s="7" t="s">
        <v>27</v>
      </c>
      <c r="O354" s="7">
        <f t="shared" si="30"/>
        <v>33.61</v>
      </c>
      <c r="P354" s="7">
        <f t="shared" si="31"/>
        <v>33.61</v>
      </c>
      <c r="Q354" s="7" t="s">
        <v>28</v>
      </c>
      <c r="R354" s="8">
        <v>46154</v>
      </c>
      <c r="S354" s="8">
        <v>401768</v>
      </c>
      <c r="T354" s="7">
        <v>1000</v>
      </c>
      <c r="U354" s="9">
        <f t="shared" si="29"/>
        <v>0.33610000000000001</v>
      </c>
    </row>
    <row r="355" spans="1:21" x14ac:dyDescent="0.25">
      <c r="A355" s="2" t="s">
        <v>3732</v>
      </c>
      <c r="B355" s="6">
        <v>44377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2328</v>
      </c>
      <c r="J355" s="7">
        <v>0</v>
      </c>
      <c r="K355" s="7" t="s">
        <v>2329</v>
      </c>
      <c r="L355" s="7" t="s">
        <v>26</v>
      </c>
      <c r="M355" s="7">
        <v>227.93</v>
      </c>
      <c r="N355" s="7" t="s">
        <v>27</v>
      </c>
      <c r="O355" s="7">
        <f t="shared" si="30"/>
        <v>227.93</v>
      </c>
      <c r="P355" s="7">
        <f t="shared" si="31"/>
        <v>227.93</v>
      </c>
      <c r="Q355" s="7" t="s">
        <v>28</v>
      </c>
      <c r="R355" s="8">
        <v>46154</v>
      </c>
      <c r="S355" s="8">
        <v>401768</v>
      </c>
      <c r="T355" s="7"/>
      <c r="U355" s="9">
        <f t="shared" si="29"/>
        <v>0</v>
      </c>
    </row>
    <row r="356" spans="1:21" x14ac:dyDescent="0.25">
      <c r="A356" s="2" t="s">
        <v>7212</v>
      </c>
      <c r="B356" s="6">
        <v>45764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7066</v>
      </c>
      <c r="J356" s="7">
        <v>0</v>
      </c>
      <c r="K356" s="7" t="s">
        <v>7067</v>
      </c>
      <c r="L356" s="7" t="s">
        <v>26</v>
      </c>
      <c r="M356" s="7">
        <v>68.849999999999994</v>
      </c>
      <c r="N356" s="7" t="s">
        <v>27</v>
      </c>
      <c r="O356" s="7">
        <f t="shared" si="30"/>
        <v>68.849999999999994</v>
      </c>
      <c r="P356" s="7">
        <f t="shared" si="31"/>
        <v>68.849999999999994</v>
      </c>
      <c r="Q356" s="7" t="s">
        <v>28</v>
      </c>
      <c r="R356" s="8">
        <v>46154</v>
      </c>
      <c r="S356" s="8">
        <v>401768</v>
      </c>
      <c r="T356" s="7"/>
      <c r="U356" s="9">
        <f t="shared" si="29"/>
        <v>0</v>
      </c>
    </row>
    <row r="357" spans="1:21" x14ac:dyDescent="0.25">
      <c r="A357" s="2" t="s">
        <v>7236</v>
      </c>
      <c r="B357" s="6">
        <v>45801</v>
      </c>
      <c r="C357" s="7" t="s">
        <v>20</v>
      </c>
      <c r="D357" s="7" t="s">
        <v>21</v>
      </c>
      <c r="E357" s="7" t="s">
        <v>28</v>
      </c>
      <c r="F357" s="7" t="s">
        <v>28</v>
      </c>
      <c r="G357" s="7" t="s">
        <v>2487</v>
      </c>
      <c r="H357" s="7" t="s">
        <v>2488</v>
      </c>
      <c r="I357" s="7" t="s">
        <v>7483</v>
      </c>
      <c r="J357" s="7">
        <v>0</v>
      </c>
      <c r="K357" s="7" t="s">
        <v>7484</v>
      </c>
      <c r="L357" s="7" t="s">
        <v>26</v>
      </c>
      <c r="M357" s="7">
        <v>10</v>
      </c>
      <c r="N357" s="7" t="s">
        <v>27</v>
      </c>
      <c r="O357" s="7">
        <f t="shared" si="30"/>
        <v>10</v>
      </c>
      <c r="P357" s="7">
        <f t="shared" si="31"/>
        <v>10</v>
      </c>
      <c r="Q357" s="7" t="s">
        <v>28</v>
      </c>
      <c r="R357" s="8">
        <v>45801</v>
      </c>
      <c r="S357" s="8">
        <v>401768</v>
      </c>
      <c r="T357" s="7"/>
      <c r="U357" s="9">
        <f t="shared" si="29"/>
        <v>0</v>
      </c>
    </row>
    <row r="358" spans="1:21" x14ac:dyDescent="0.25">
      <c r="A358" s="2" t="s">
        <v>7233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7485</v>
      </c>
      <c r="J358" s="7">
        <v>0</v>
      </c>
      <c r="K358" s="7" t="s">
        <v>7486</v>
      </c>
      <c r="L358" s="7" t="s">
        <v>26</v>
      </c>
      <c r="M358" s="7">
        <v>10</v>
      </c>
      <c r="N358" s="7" t="s">
        <v>27</v>
      </c>
      <c r="O358" s="7">
        <f t="shared" si="30"/>
        <v>10</v>
      </c>
      <c r="P358" s="7">
        <f t="shared" si="31"/>
        <v>10</v>
      </c>
      <c r="Q358" s="7" t="s">
        <v>28</v>
      </c>
      <c r="R358" s="8">
        <v>45801</v>
      </c>
      <c r="S358" s="8">
        <v>401768</v>
      </c>
      <c r="T358" s="7"/>
      <c r="U358" s="9">
        <f t="shared" si="29"/>
        <v>0</v>
      </c>
    </row>
    <row r="359" spans="1:21" x14ac:dyDescent="0.25">
      <c r="A359" s="2" t="s">
        <v>7230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7487</v>
      </c>
      <c r="J359" s="7">
        <v>0</v>
      </c>
      <c r="K359" s="7" t="s">
        <v>7488</v>
      </c>
      <c r="L359" s="7" t="s">
        <v>26</v>
      </c>
      <c r="M359" s="7">
        <v>10</v>
      </c>
      <c r="N359" s="7" t="s">
        <v>27</v>
      </c>
      <c r="O359" s="7">
        <f t="shared" si="30"/>
        <v>10</v>
      </c>
      <c r="P359" s="7">
        <f t="shared" si="31"/>
        <v>10</v>
      </c>
      <c r="Q359" s="7" t="s">
        <v>28</v>
      </c>
      <c r="R359" s="8">
        <v>45801</v>
      </c>
      <c r="S359" s="8">
        <v>401768</v>
      </c>
      <c r="T359" s="7"/>
      <c r="U359" s="9">
        <f t="shared" si="29"/>
        <v>0</v>
      </c>
    </row>
    <row r="360" spans="1:21" x14ac:dyDescent="0.25">
      <c r="A360" s="2" t="s">
        <v>7276</v>
      </c>
      <c r="B360" s="6">
        <v>45821</v>
      </c>
      <c r="C360" s="7" t="s">
        <v>20</v>
      </c>
      <c r="D360" s="7" t="s">
        <v>21</v>
      </c>
      <c r="E360" s="7" t="s">
        <v>20</v>
      </c>
      <c r="F360" s="7" t="s">
        <v>21</v>
      </c>
      <c r="G360" s="7" t="s">
        <v>2487</v>
      </c>
      <c r="H360" s="7" t="s">
        <v>2488</v>
      </c>
      <c r="I360" s="7" t="s">
        <v>7432</v>
      </c>
      <c r="J360" s="7">
        <v>0</v>
      </c>
      <c r="K360" s="7" t="s">
        <v>7433</v>
      </c>
      <c r="L360" s="7" t="s">
        <v>26</v>
      </c>
      <c r="M360" s="7">
        <v>128.85</v>
      </c>
      <c r="N360" s="7" t="s">
        <v>27</v>
      </c>
      <c r="O360" s="7">
        <f t="shared" si="30"/>
        <v>128.85</v>
      </c>
      <c r="P360" s="7">
        <f t="shared" si="31"/>
        <v>128.85</v>
      </c>
      <c r="Q360" s="7" t="s">
        <v>28</v>
      </c>
      <c r="R360" s="8">
        <v>46154</v>
      </c>
      <c r="S360" s="8">
        <v>401768</v>
      </c>
      <c r="T360" s="7"/>
      <c r="U360" s="9">
        <f t="shared" si="29"/>
        <v>0</v>
      </c>
    </row>
    <row r="361" spans="1:21" x14ac:dyDescent="0.25">
      <c r="A361" s="2" t="s">
        <v>7313</v>
      </c>
      <c r="B361" s="6">
        <v>46002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7584</v>
      </c>
      <c r="J361" s="7">
        <v>0</v>
      </c>
      <c r="K361" s="7" t="s">
        <v>7585</v>
      </c>
      <c r="L361" s="7" t="s">
        <v>26</v>
      </c>
      <c r="M361" s="7">
        <v>122</v>
      </c>
      <c r="N361" s="7" t="s">
        <v>27</v>
      </c>
      <c r="O361" s="7">
        <f t="shared" si="30"/>
        <v>122</v>
      </c>
      <c r="P361" s="7">
        <f t="shared" si="31"/>
        <v>122</v>
      </c>
      <c r="Q361" s="7" t="s">
        <v>28</v>
      </c>
      <c r="R361" s="8">
        <v>46002</v>
      </c>
      <c r="S361" s="8">
        <v>401768</v>
      </c>
      <c r="T361" s="7"/>
      <c r="U361" s="9">
        <f t="shared" si="29"/>
        <v>0</v>
      </c>
    </row>
    <row r="362" spans="1:21" x14ac:dyDescent="0.25">
      <c r="A362" s="2" t="s">
        <v>7329</v>
      </c>
      <c r="B362" s="6">
        <v>46016</v>
      </c>
      <c r="C362" s="7" t="s">
        <v>20</v>
      </c>
      <c r="D362" s="7" t="s">
        <v>21</v>
      </c>
      <c r="E362" s="7" t="s">
        <v>28</v>
      </c>
      <c r="F362" s="7" t="s">
        <v>28</v>
      </c>
      <c r="G362" s="7" t="s">
        <v>2487</v>
      </c>
      <c r="H362" s="7" t="s">
        <v>2488</v>
      </c>
      <c r="I362" s="7" t="s">
        <v>7590</v>
      </c>
      <c r="J362" s="7">
        <v>0</v>
      </c>
      <c r="K362" s="7" t="s">
        <v>7591</v>
      </c>
      <c r="L362" s="7" t="s">
        <v>26</v>
      </c>
      <c r="M362" s="7">
        <v>709.16</v>
      </c>
      <c r="N362" s="7" t="s">
        <v>27</v>
      </c>
      <c r="O362" s="7">
        <f t="shared" si="30"/>
        <v>709.16</v>
      </c>
      <c r="P362" s="7">
        <f t="shared" si="31"/>
        <v>709.16</v>
      </c>
      <c r="Q362" s="7" t="s">
        <v>28</v>
      </c>
      <c r="R362" s="8">
        <v>46016</v>
      </c>
      <c r="S362" s="8">
        <v>401768</v>
      </c>
      <c r="T362" s="7"/>
      <c r="U362" s="9">
        <f t="shared" si="29"/>
        <v>0</v>
      </c>
    </row>
    <row r="363" spans="1:21" x14ac:dyDescent="0.25">
      <c r="A363" s="2" t="s">
        <v>2265</v>
      </c>
      <c r="B363" s="6">
        <v>43959</v>
      </c>
      <c r="C363" s="7" t="s">
        <v>20</v>
      </c>
      <c r="D363" s="7" t="s">
        <v>21</v>
      </c>
      <c r="E363" s="7" t="s">
        <v>20</v>
      </c>
      <c r="F363" s="7" t="s">
        <v>21</v>
      </c>
      <c r="G363" s="7" t="s">
        <v>2266</v>
      </c>
      <c r="H363" s="7" t="s">
        <v>2267</v>
      </c>
      <c r="I363" s="7" t="s">
        <v>2268</v>
      </c>
      <c r="J363" s="7">
        <v>0</v>
      </c>
      <c r="K363" s="7" t="s">
        <v>2269</v>
      </c>
      <c r="L363" s="7" t="s">
        <v>26</v>
      </c>
      <c r="M363" s="7">
        <v>3.78</v>
      </c>
      <c r="N363" s="7" t="s">
        <v>619</v>
      </c>
      <c r="O363" s="7">
        <v>95</v>
      </c>
      <c r="P363" s="7">
        <f t="shared" si="28"/>
        <v>359.09999999999997</v>
      </c>
      <c r="Q363" s="7" t="s">
        <v>28</v>
      </c>
      <c r="R363" s="8">
        <v>46155</v>
      </c>
      <c r="S363" s="8">
        <v>401768</v>
      </c>
      <c r="T363" s="7"/>
      <c r="U363" s="9">
        <f t="shared" si="29"/>
        <v>0</v>
      </c>
    </row>
    <row r="364" spans="1:21" x14ac:dyDescent="0.25">
      <c r="A364" s="2" t="s">
        <v>2270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2271</v>
      </c>
      <c r="J364" s="7">
        <v>0</v>
      </c>
      <c r="K364" s="7" t="s">
        <v>2272</v>
      </c>
      <c r="L364" s="7" t="s">
        <v>26</v>
      </c>
      <c r="M364" s="7">
        <v>4</v>
      </c>
      <c r="N364" s="7" t="s">
        <v>619</v>
      </c>
      <c r="O364" s="7">
        <v>95</v>
      </c>
      <c r="P364" s="7">
        <f t="shared" si="28"/>
        <v>380</v>
      </c>
      <c r="Q364" s="7" t="s">
        <v>28</v>
      </c>
      <c r="R364" s="8">
        <v>46155</v>
      </c>
      <c r="S364" s="8">
        <v>401768</v>
      </c>
      <c r="T364" s="7">
        <v>960</v>
      </c>
      <c r="U364" s="9">
        <f t="shared" si="29"/>
        <v>3.6480000000000001</v>
      </c>
    </row>
    <row r="365" spans="1:21" x14ac:dyDescent="0.25">
      <c r="A365" s="2" t="s">
        <v>2273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2274</v>
      </c>
      <c r="J365" s="7">
        <v>0</v>
      </c>
      <c r="K365" s="7" t="s">
        <v>2275</v>
      </c>
      <c r="L365" s="7" t="s">
        <v>26</v>
      </c>
      <c r="M365" s="7">
        <v>10</v>
      </c>
      <c r="N365" s="7" t="s">
        <v>619</v>
      </c>
      <c r="O365" s="7">
        <v>95</v>
      </c>
      <c r="P365" s="7">
        <f t="shared" si="28"/>
        <v>950</v>
      </c>
      <c r="Q365" s="7" t="s">
        <v>28</v>
      </c>
      <c r="R365" s="8">
        <v>43077</v>
      </c>
      <c r="S365" s="8">
        <v>401768</v>
      </c>
      <c r="T365" s="7"/>
      <c r="U365" s="9">
        <f t="shared" si="29"/>
        <v>0</v>
      </c>
    </row>
    <row r="366" spans="1:21" x14ac:dyDescent="0.25">
      <c r="A366" s="2" t="s">
        <v>2276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2277</v>
      </c>
      <c r="J366" s="7">
        <v>0</v>
      </c>
      <c r="K366" s="7" t="s">
        <v>2278</v>
      </c>
      <c r="L366" s="7" t="s">
        <v>26</v>
      </c>
      <c r="M366" s="7">
        <v>0.57999999999999996</v>
      </c>
      <c r="N366" s="7" t="s">
        <v>619</v>
      </c>
      <c r="O366" s="7">
        <v>95</v>
      </c>
      <c r="P366" s="7">
        <f t="shared" si="28"/>
        <v>55.099999999999994</v>
      </c>
      <c r="Q366" s="7" t="s">
        <v>28</v>
      </c>
      <c r="R366" s="8">
        <v>46155</v>
      </c>
      <c r="S366" s="8">
        <v>401768</v>
      </c>
      <c r="T366" s="7"/>
      <c r="U366" s="9">
        <f t="shared" si="29"/>
        <v>0</v>
      </c>
    </row>
    <row r="367" spans="1:21" x14ac:dyDescent="0.25">
      <c r="A367" s="2" t="s">
        <v>2279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2280</v>
      </c>
      <c r="J367" s="7">
        <v>0</v>
      </c>
      <c r="K367" s="7" t="s">
        <v>2281</v>
      </c>
      <c r="L367" s="7" t="s">
        <v>26</v>
      </c>
      <c r="M367" s="7">
        <v>2.11</v>
      </c>
      <c r="N367" s="7" t="s">
        <v>619</v>
      </c>
      <c r="O367" s="7">
        <v>95</v>
      </c>
      <c r="P367" s="7">
        <f t="shared" si="28"/>
        <v>200.45</v>
      </c>
      <c r="Q367" s="7" t="s">
        <v>28</v>
      </c>
      <c r="R367" s="8">
        <v>46155</v>
      </c>
      <c r="S367" s="8">
        <v>401768</v>
      </c>
      <c r="T367" s="7"/>
      <c r="U367" s="9">
        <f t="shared" si="29"/>
        <v>0</v>
      </c>
    </row>
    <row r="368" spans="1:21" x14ac:dyDescent="0.25">
      <c r="A368" s="2" t="s">
        <v>2282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2283</v>
      </c>
      <c r="J368" s="7">
        <v>0</v>
      </c>
      <c r="K368" s="7" t="s">
        <v>2284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8"/>
        <v>200.45</v>
      </c>
      <c r="Q368" s="7" t="s">
        <v>28</v>
      </c>
      <c r="R368" s="8">
        <v>46155</v>
      </c>
      <c r="S368" s="8">
        <v>401768</v>
      </c>
      <c r="T368" s="7"/>
      <c r="U368" s="9">
        <f t="shared" si="29"/>
        <v>0</v>
      </c>
    </row>
    <row r="369" spans="1:21" x14ac:dyDescent="0.25">
      <c r="A369" s="2" t="s">
        <v>2285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2286</v>
      </c>
      <c r="J369" s="7">
        <v>0</v>
      </c>
      <c r="K369" s="7" t="s">
        <v>2287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8"/>
        <v>200.45</v>
      </c>
      <c r="Q369" s="7" t="s">
        <v>28</v>
      </c>
      <c r="R369" s="8">
        <v>46155</v>
      </c>
      <c r="S369" s="8">
        <v>401768</v>
      </c>
      <c r="T369" s="7"/>
      <c r="U369" s="9">
        <f t="shared" si="29"/>
        <v>0</v>
      </c>
    </row>
    <row r="370" spans="1:21" x14ac:dyDescent="0.25">
      <c r="A370" s="2" t="s">
        <v>673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2288</v>
      </c>
      <c r="J370" s="7">
        <v>0</v>
      </c>
      <c r="K370" s="7" t="s">
        <v>2289</v>
      </c>
      <c r="L370" s="7" t="s">
        <v>26</v>
      </c>
      <c r="M370" s="7">
        <v>3.6</v>
      </c>
      <c r="N370" s="7" t="s">
        <v>619</v>
      </c>
      <c r="O370" s="7">
        <v>95</v>
      </c>
      <c r="P370" s="7">
        <f t="shared" si="28"/>
        <v>342</v>
      </c>
      <c r="Q370" s="7" t="s">
        <v>28</v>
      </c>
      <c r="R370" s="8">
        <v>41883</v>
      </c>
      <c r="S370" s="8">
        <v>401768</v>
      </c>
      <c r="T370" s="7"/>
      <c r="U370" s="9">
        <f t="shared" si="29"/>
        <v>0</v>
      </c>
    </row>
    <row r="371" spans="1:21" x14ac:dyDescent="0.25">
      <c r="A371" s="2" t="s">
        <v>2312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2313</v>
      </c>
      <c r="J371" s="7">
        <v>0</v>
      </c>
      <c r="K371" s="7" t="s">
        <v>2314</v>
      </c>
      <c r="L371" s="7" t="s">
        <v>26</v>
      </c>
      <c r="M371" s="7">
        <v>0.73</v>
      </c>
      <c r="N371" s="7" t="s">
        <v>619</v>
      </c>
      <c r="O371" s="7">
        <v>95</v>
      </c>
      <c r="P371" s="7">
        <f t="shared" si="28"/>
        <v>69.349999999999994</v>
      </c>
      <c r="Q371" s="7" t="s">
        <v>28</v>
      </c>
      <c r="R371" s="8">
        <v>46155</v>
      </c>
      <c r="S371" s="8">
        <v>401768</v>
      </c>
      <c r="T371" s="7"/>
      <c r="U371" s="9">
        <f t="shared" si="29"/>
        <v>0</v>
      </c>
    </row>
    <row r="372" spans="1:21" x14ac:dyDescent="0.25">
      <c r="A372" s="2" t="s">
        <v>2315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2316</v>
      </c>
      <c r="J372" s="7">
        <v>0</v>
      </c>
      <c r="K372" s="7" t="s">
        <v>2317</v>
      </c>
      <c r="L372" s="7" t="s">
        <v>26</v>
      </c>
      <c r="M372" s="7">
        <v>0.39</v>
      </c>
      <c r="N372" s="7" t="s">
        <v>619</v>
      </c>
      <c r="O372" s="7">
        <v>95</v>
      </c>
      <c r="P372" s="7">
        <f t="shared" si="28"/>
        <v>37.050000000000004</v>
      </c>
      <c r="Q372" s="7" t="s">
        <v>28</v>
      </c>
      <c r="R372" s="8">
        <v>46155</v>
      </c>
      <c r="S372" s="8">
        <v>401768</v>
      </c>
      <c r="T372" s="7">
        <v>4000</v>
      </c>
      <c r="U372" s="9">
        <f t="shared" si="29"/>
        <v>1.4820000000000002</v>
      </c>
    </row>
    <row r="373" spans="1:21" x14ac:dyDescent="0.25">
      <c r="A373" s="2" t="s">
        <v>2318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2319</v>
      </c>
      <c r="J373" s="7">
        <v>0</v>
      </c>
      <c r="K373" s="7" t="s">
        <v>2320</v>
      </c>
      <c r="L373" s="7" t="s">
        <v>26</v>
      </c>
      <c r="M373" s="7">
        <v>0.45</v>
      </c>
      <c r="N373" s="7" t="s">
        <v>619</v>
      </c>
      <c r="O373" s="7">
        <v>95</v>
      </c>
      <c r="P373" s="7">
        <f t="shared" si="28"/>
        <v>42.75</v>
      </c>
      <c r="Q373" s="7" t="s">
        <v>28</v>
      </c>
      <c r="R373" s="8">
        <v>46155</v>
      </c>
      <c r="S373" s="8">
        <v>401768</v>
      </c>
      <c r="T373" s="7"/>
      <c r="U373" s="9">
        <f t="shared" si="29"/>
        <v>0</v>
      </c>
    </row>
    <row r="374" spans="1:21" x14ac:dyDescent="0.25">
      <c r="A374" s="2" t="s">
        <v>2321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2322</v>
      </c>
      <c r="J374" s="7">
        <v>0</v>
      </c>
      <c r="K374" s="7" t="s">
        <v>2323</v>
      </c>
      <c r="L374" s="7" t="s">
        <v>26</v>
      </c>
      <c r="M374" s="7">
        <v>1.08</v>
      </c>
      <c r="N374" s="7" t="s">
        <v>619</v>
      </c>
      <c r="O374" s="7">
        <v>95</v>
      </c>
      <c r="P374" s="7">
        <f t="shared" si="28"/>
        <v>102.60000000000001</v>
      </c>
      <c r="Q374" s="7" t="s">
        <v>28</v>
      </c>
      <c r="R374" s="8">
        <v>46155</v>
      </c>
      <c r="S374" s="8">
        <v>401768</v>
      </c>
      <c r="T374" s="7"/>
      <c r="U374" s="9">
        <f t="shared" si="29"/>
        <v>0</v>
      </c>
    </row>
    <row r="375" spans="1:21" x14ac:dyDescent="0.25">
      <c r="A375" s="2" t="s">
        <v>2324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2325</v>
      </c>
      <c r="J375" s="7">
        <v>0</v>
      </c>
      <c r="K375" s="7" t="s">
        <v>2326</v>
      </c>
      <c r="L375" s="7" t="s">
        <v>26</v>
      </c>
      <c r="M375" s="7">
        <v>1.01</v>
      </c>
      <c r="N375" s="7" t="s">
        <v>619</v>
      </c>
      <c r="O375" s="7">
        <v>95</v>
      </c>
      <c r="P375" s="7">
        <f t="shared" si="28"/>
        <v>95.95</v>
      </c>
      <c r="Q375" s="7" t="s">
        <v>28</v>
      </c>
      <c r="R375" s="8">
        <v>46155</v>
      </c>
      <c r="S375" s="8">
        <v>401768</v>
      </c>
      <c r="T375" s="7"/>
      <c r="U375" s="9">
        <f t="shared" si="29"/>
        <v>0</v>
      </c>
    </row>
    <row r="376" spans="1:21" x14ac:dyDescent="0.25">
      <c r="A376" s="2" t="s">
        <v>2327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2328</v>
      </c>
      <c r="J376" s="7">
        <v>0</v>
      </c>
      <c r="K376" s="7" t="s">
        <v>2329</v>
      </c>
      <c r="L376" s="7" t="s">
        <v>26</v>
      </c>
      <c r="M376" s="7">
        <v>2.82</v>
      </c>
      <c r="N376" s="7" t="s">
        <v>619</v>
      </c>
      <c r="O376" s="7">
        <v>95</v>
      </c>
      <c r="P376" s="7">
        <f t="shared" si="28"/>
        <v>267.89999999999998</v>
      </c>
      <c r="Q376" s="7" t="s">
        <v>28</v>
      </c>
      <c r="R376" s="8">
        <v>46155</v>
      </c>
      <c r="S376" s="8">
        <v>401768</v>
      </c>
      <c r="T376" s="7">
        <v>960</v>
      </c>
      <c r="U376" s="9">
        <f t="shared" si="29"/>
        <v>2.5718399999999999</v>
      </c>
    </row>
    <row r="377" spans="1:21" x14ac:dyDescent="0.25">
      <c r="A377" s="2" t="s">
        <v>1447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2330</v>
      </c>
      <c r="J377" s="7">
        <v>0</v>
      </c>
      <c r="K377" s="7" t="s">
        <v>2331</v>
      </c>
      <c r="L377" s="7" t="s">
        <v>26</v>
      </c>
      <c r="M377" s="7">
        <v>2.74</v>
      </c>
      <c r="N377" s="7" t="s">
        <v>619</v>
      </c>
      <c r="O377" s="7">
        <v>95</v>
      </c>
      <c r="P377" s="7">
        <f t="shared" si="28"/>
        <v>260.3</v>
      </c>
      <c r="Q377" s="7" t="s">
        <v>28</v>
      </c>
      <c r="R377" s="8">
        <v>46155</v>
      </c>
      <c r="S377" s="8">
        <v>401768</v>
      </c>
      <c r="T377" s="7"/>
      <c r="U377" s="9">
        <f t="shared" si="29"/>
        <v>0</v>
      </c>
    </row>
    <row r="378" spans="1:21" x14ac:dyDescent="0.25">
      <c r="A378" s="2" t="s">
        <v>2332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2333</v>
      </c>
      <c r="J378" s="7">
        <v>0</v>
      </c>
      <c r="K378" s="7" t="s">
        <v>2334</v>
      </c>
      <c r="L378" s="7" t="s">
        <v>26</v>
      </c>
      <c r="M378" s="7">
        <v>6.33</v>
      </c>
      <c r="N378" s="7" t="s">
        <v>619</v>
      </c>
      <c r="O378" s="7">
        <v>95</v>
      </c>
      <c r="P378" s="7">
        <f t="shared" si="28"/>
        <v>601.35</v>
      </c>
      <c r="Q378" s="7" t="s">
        <v>28</v>
      </c>
      <c r="R378" s="8">
        <v>46155</v>
      </c>
      <c r="S378" s="8">
        <v>401768</v>
      </c>
      <c r="T378" s="7">
        <v>756</v>
      </c>
      <c r="U378" s="9">
        <f t="shared" si="29"/>
        <v>4.5462060000000006</v>
      </c>
    </row>
    <row r="379" spans="1:21" x14ac:dyDescent="0.25">
      <c r="A379" s="2" t="s">
        <v>2335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2336</v>
      </c>
      <c r="J379" s="7">
        <v>0</v>
      </c>
      <c r="K379" s="7" t="s">
        <v>2337</v>
      </c>
      <c r="L379" s="7" t="s">
        <v>26</v>
      </c>
      <c r="M379" s="7">
        <v>3.45</v>
      </c>
      <c r="N379" s="7" t="s">
        <v>619</v>
      </c>
      <c r="O379" s="7">
        <v>95</v>
      </c>
      <c r="P379" s="7">
        <f t="shared" si="28"/>
        <v>327.75</v>
      </c>
      <c r="Q379" s="7" t="s">
        <v>28</v>
      </c>
      <c r="R379" s="8">
        <v>46155</v>
      </c>
      <c r="S379" s="8">
        <v>401768</v>
      </c>
      <c r="T379" s="7">
        <v>960</v>
      </c>
      <c r="U379" s="9">
        <f t="shared" si="29"/>
        <v>3.1463999999999999</v>
      </c>
    </row>
    <row r="380" spans="1:21" x14ac:dyDescent="0.25">
      <c r="A380" s="2" t="s">
        <v>2338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2339</v>
      </c>
      <c r="J380" s="7">
        <v>0</v>
      </c>
      <c r="K380" s="7" t="s">
        <v>2340</v>
      </c>
      <c r="L380" s="7" t="s">
        <v>26</v>
      </c>
      <c r="M380" s="7">
        <v>3.29</v>
      </c>
      <c r="N380" s="7" t="s">
        <v>619</v>
      </c>
      <c r="O380" s="7">
        <v>95</v>
      </c>
      <c r="P380" s="7">
        <f t="shared" si="28"/>
        <v>312.55</v>
      </c>
      <c r="Q380" s="7" t="s">
        <v>28</v>
      </c>
      <c r="R380" s="8">
        <v>46155</v>
      </c>
      <c r="S380" s="8">
        <v>401768</v>
      </c>
      <c r="T380" s="7">
        <v>960</v>
      </c>
      <c r="U380" s="9">
        <f t="shared" si="29"/>
        <v>3.00048</v>
      </c>
    </row>
    <row r="381" spans="1:21" x14ac:dyDescent="0.25">
      <c r="A381" s="2" t="s">
        <v>2341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2342</v>
      </c>
      <c r="J381" s="7">
        <v>0</v>
      </c>
      <c r="K381" s="7" t="s">
        <v>2343</v>
      </c>
      <c r="L381" s="7" t="s">
        <v>26</v>
      </c>
      <c r="M381" s="7">
        <v>3.4</v>
      </c>
      <c r="N381" s="7" t="s">
        <v>619</v>
      </c>
      <c r="O381" s="7">
        <v>95</v>
      </c>
      <c r="P381" s="7">
        <f t="shared" si="28"/>
        <v>323</v>
      </c>
      <c r="Q381" s="7" t="s">
        <v>28</v>
      </c>
      <c r="R381" s="8">
        <v>46155</v>
      </c>
      <c r="S381" s="8">
        <v>401768</v>
      </c>
      <c r="T381" s="7"/>
      <c r="U381" s="9">
        <f t="shared" si="29"/>
        <v>0</v>
      </c>
    </row>
    <row r="382" spans="1:21" x14ac:dyDescent="0.25">
      <c r="A382" s="2" t="s">
        <v>2344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2345</v>
      </c>
      <c r="J382" s="7">
        <v>0</v>
      </c>
      <c r="K382" s="7" t="s">
        <v>2346</v>
      </c>
      <c r="L382" s="7" t="s">
        <v>26</v>
      </c>
      <c r="M382" s="7">
        <v>0.94</v>
      </c>
      <c r="N382" s="7" t="s">
        <v>619</v>
      </c>
      <c r="O382" s="7">
        <v>95</v>
      </c>
      <c r="P382" s="7">
        <f t="shared" si="28"/>
        <v>89.3</v>
      </c>
      <c r="Q382" s="7" t="s">
        <v>28</v>
      </c>
      <c r="R382" s="8">
        <v>46155</v>
      </c>
      <c r="S382" s="8">
        <v>401768</v>
      </c>
      <c r="T382" s="7"/>
      <c r="U382" s="9">
        <f t="shared" si="29"/>
        <v>0</v>
      </c>
    </row>
    <row r="383" spans="1:21" x14ac:dyDescent="0.25">
      <c r="A383" s="2" t="s">
        <v>2347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2348</v>
      </c>
      <c r="J383" s="7">
        <v>0</v>
      </c>
      <c r="K383" s="7" t="s">
        <v>2349</v>
      </c>
      <c r="L383" s="7" t="s">
        <v>26</v>
      </c>
      <c r="M383" s="7">
        <v>0.86</v>
      </c>
      <c r="N383" s="7" t="s">
        <v>619</v>
      </c>
      <c r="O383" s="7">
        <v>95</v>
      </c>
      <c r="P383" s="7">
        <f t="shared" si="28"/>
        <v>81.7</v>
      </c>
      <c r="Q383" s="7" t="s">
        <v>28</v>
      </c>
      <c r="R383" s="8">
        <v>46155</v>
      </c>
      <c r="S383" s="8">
        <v>401768</v>
      </c>
      <c r="T383" s="7"/>
      <c r="U383" s="9">
        <f t="shared" si="29"/>
        <v>0</v>
      </c>
    </row>
    <row r="384" spans="1:21" x14ac:dyDescent="0.25">
      <c r="A384" s="2" t="s">
        <v>1998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2350</v>
      </c>
      <c r="J384" s="7">
        <v>0</v>
      </c>
      <c r="K384" s="7" t="s">
        <v>2351</v>
      </c>
      <c r="L384" s="7" t="s">
        <v>26</v>
      </c>
      <c r="M384" s="7">
        <v>3.64</v>
      </c>
      <c r="N384" s="7" t="s">
        <v>619</v>
      </c>
      <c r="O384" s="7">
        <v>95</v>
      </c>
      <c r="P384" s="7">
        <f t="shared" si="28"/>
        <v>345.8</v>
      </c>
      <c r="Q384" s="7" t="s">
        <v>28</v>
      </c>
      <c r="R384" s="8">
        <v>46155</v>
      </c>
      <c r="S384" s="8">
        <v>401768</v>
      </c>
      <c r="T384" s="7"/>
      <c r="U384" s="9">
        <f t="shared" si="29"/>
        <v>0</v>
      </c>
    </row>
    <row r="385" spans="1:21" x14ac:dyDescent="0.25">
      <c r="A385" s="2" t="s">
        <v>2352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2353</v>
      </c>
      <c r="J385" s="7">
        <v>0</v>
      </c>
      <c r="K385" s="7" t="s">
        <v>2354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8"/>
        <v>345.8</v>
      </c>
      <c r="Q385" s="7" t="s">
        <v>28</v>
      </c>
      <c r="R385" s="8">
        <v>46155</v>
      </c>
      <c r="S385" s="8">
        <v>401768</v>
      </c>
      <c r="T385" s="7"/>
      <c r="U385" s="9">
        <f t="shared" si="29"/>
        <v>0</v>
      </c>
    </row>
    <row r="386" spans="1:21" x14ac:dyDescent="0.25">
      <c r="A386" s="2" t="s">
        <v>2355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2356</v>
      </c>
      <c r="J386" s="7">
        <v>0</v>
      </c>
      <c r="K386" s="7" t="s">
        <v>2357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8"/>
        <v>345.8</v>
      </c>
      <c r="Q386" s="7" t="s">
        <v>28</v>
      </c>
      <c r="R386" s="8">
        <v>46155</v>
      </c>
      <c r="S386" s="8">
        <v>401768</v>
      </c>
      <c r="T386" s="7"/>
      <c r="U386" s="9">
        <f t="shared" si="29"/>
        <v>0</v>
      </c>
    </row>
    <row r="387" spans="1:21" x14ac:dyDescent="0.25">
      <c r="A387" s="2" t="s">
        <v>2358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2359</v>
      </c>
      <c r="J387" s="7">
        <v>0</v>
      </c>
      <c r="K387" s="7" t="s">
        <v>2360</v>
      </c>
      <c r="L387" s="7" t="s">
        <v>26</v>
      </c>
      <c r="M387" s="7">
        <v>4.0599999999999996</v>
      </c>
      <c r="N387" s="7" t="s">
        <v>619</v>
      </c>
      <c r="O387" s="7">
        <v>95</v>
      </c>
      <c r="P387" s="7">
        <f t="shared" ref="P387:P450" si="32">O387*M387</f>
        <v>385.7</v>
      </c>
      <c r="Q387" s="7" t="s">
        <v>28</v>
      </c>
      <c r="R387" s="8">
        <v>46155</v>
      </c>
      <c r="S387" s="8">
        <v>401768</v>
      </c>
      <c r="T387" s="7"/>
      <c r="U387" s="9">
        <f t="shared" ref="U387:U450" si="33">T387*P387/100000</f>
        <v>0</v>
      </c>
    </row>
    <row r="388" spans="1:21" x14ac:dyDescent="0.25">
      <c r="A388" s="2" t="s">
        <v>2361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2362</v>
      </c>
      <c r="J388" s="7">
        <v>0</v>
      </c>
      <c r="K388" s="7" t="s">
        <v>2363</v>
      </c>
      <c r="L388" s="7" t="s">
        <v>26</v>
      </c>
      <c r="M388" s="7">
        <v>2.17</v>
      </c>
      <c r="N388" s="7" t="s">
        <v>619</v>
      </c>
      <c r="O388" s="7">
        <v>95</v>
      </c>
      <c r="P388" s="7">
        <f t="shared" si="32"/>
        <v>206.15</v>
      </c>
      <c r="Q388" s="7" t="s">
        <v>28</v>
      </c>
      <c r="R388" s="8">
        <v>46155</v>
      </c>
      <c r="S388" s="8">
        <v>401768</v>
      </c>
      <c r="T388" s="7"/>
      <c r="U388" s="9">
        <f t="shared" si="33"/>
        <v>0</v>
      </c>
    </row>
    <row r="389" spans="1:21" x14ac:dyDescent="0.25">
      <c r="A389" s="2" t="s">
        <v>1605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2364</v>
      </c>
      <c r="J389" s="7">
        <v>0</v>
      </c>
      <c r="K389" s="7" t="s">
        <v>2365</v>
      </c>
      <c r="L389" s="7" t="s">
        <v>26</v>
      </c>
      <c r="M389" s="7">
        <v>2.59</v>
      </c>
      <c r="N389" s="7" t="s">
        <v>619</v>
      </c>
      <c r="O389" s="7">
        <v>95</v>
      </c>
      <c r="P389" s="7">
        <f t="shared" si="32"/>
        <v>246.04999999999998</v>
      </c>
      <c r="Q389" s="7" t="s">
        <v>28</v>
      </c>
      <c r="R389" s="8">
        <v>46155</v>
      </c>
      <c r="S389" s="8">
        <v>401768</v>
      </c>
      <c r="T389" s="7"/>
      <c r="U389" s="9">
        <f t="shared" si="33"/>
        <v>0</v>
      </c>
    </row>
    <row r="390" spans="1:21" x14ac:dyDescent="0.25">
      <c r="A390" s="2" t="s">
        <v>2366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2367</v>
      </c>
      <c r="J390" s="7">
        <v>0</v>
      </c>
      <c r="K390" s="7" t="s">
        <v>2368</v>
      </c>
      <c r="L390" s="7" t="s">
        <v>26</v>
      </c>
      <c r="M390" s="7">
        <v>5</v>
      </c>
      <c r="N390" s="7" t="s">
        <v>619</v>
      </c>
      <c r="O390" s="7">
        <v>95</v>
      </c>
      <c r="P390" s="7">
        <f t="shared" si="32"/>
        <v>475</v>
      </c>
      <c r="Q390" s="7" t="s">
        <v>28</v>
      </c>
      <c r="R390" s="8">
        <v>41492</v>
      </c>
      <c r="S390" s="8">
        <v>401768</v>
      </c>
      <c r="T390" s="7"/>
      <c r="U390" s="9">
        <f t="shared" si="33"/>
        <v>0</v>
      </c>
    </row>
    <row r="391" spans="1:21" x14ac:dyDescent="0.25">
      <c r="A391" s="2" t="s">
        <v>2369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2370</v>
      </c>
      <c r="J391" s="7">
        <v>0</v>
      </c>
      <c r="K391" s="7" t="s">
        <v>2371</v>
      </c>
      <c r="L391" s="7" t="s">
        <v>26</v>
      </c>
      <c r="M391" s="7">
        <v>0.91</v>
      </c>
      <c r="N391" s="7" t="s">
        <v>619</v>
      </c>
      <c r="O391" s="7">
        <v>95</v>
      </c>
      <c r="P391" s="7">
        <f t="shared" si="32"/>
        <v>86.45</v>
      </c>
      <c r="Q391" s="7" t="s">
        <v>28</v>
      </c>
      <c r="R391" s="8">
        <v>46155</v>
      </c>
      <c r="S391" s="8">
        <v>401768</v>
      </c>
      <c r="T391" s="7"/>
      <c r="U391" s="9">
        <f t="shared" si="33"/>
        <v>0</v>
      </c>
    </row>
    <row r="392" spans="1:21" x14ac:dyDescent="0.25">
      <c r="A392" s="2" t="s">
        <v>2372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2373</v>
      </c>
      <c r="J392" s="7">
        <v>0</v>
      </c>
      <c r="K392" s="7" t="s">
        <v>2374</v>
      </c>
      <c r="L392" s="7" t="s">
        <v>26</v>
      </c>
      <c r="M392" s="7">
        <v>3.99</v>
      </c>
      <c r="N392" s="7" t="s">
        <v>619</v>
      </c>
      <c r="O392" s="7">
        <v>95</v>
      </c>
      <c r="P392" s="7">
        <f t="shared" si="32"/>
        <v>379.05</v>
      </c>
      <c r="Q392" s="7" t="s">
        <v>28</v>
      </c>
      <c r="R392" s="8">
        <v>46155</v>
      </c>
      <c r="S392" s="8">
        <v>401768</v>
      </c>
      <c r="T392" s="7"/>
      <c r="U392" s="9">
        <f t="shared" si="33"/>
        <v>0</v>
      </c>
    </row>
    <row r="393" spans="1:21" x14ac:dyDescent="0.25">
      <c r="A393" s="2" t="s">
        <v>1113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2375</v>
      </c>
      <c r="J393" s="7">
        <v>0</v>
      </c>
      <c r="K393" s="7" t="s">
        <v>2376</v>
      </c>
      <c r="L393" s="7" t="s">
        <v>26</v>
      </c>
      <c r="M393" s="7">
        <v>5.35</v>
      </c>
      <c r="N393" s="7" t="s">
        <v>619</v>
      </c>
      <c r="O393" s="7">
        <v>95</v>
      </c>
      <c r="P393" s="7">
        <f t="shared" si="32"/>
        <v>508.24999999999994</v>
      </c>
      <c r="Q393" s="7" t="s">
        <v>28</v>
      </c>
      <c r="R393" s="8">
        <v>41456</v>
      </c>
      <c r="S393" s="8">
        <v>401768</v>
      </c>
      <c r="T393" s="7"/>
      <c r="U393" s="9">
        <f t="shared" si="33"/>
        <v>0</v>
      </c>
    </row>
    <row r="394" spans="1:21" x14ac:dyDescent="0.25">
      <c r="A394" s="2" t="s">
        <v>2377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2378</v>
      </c>
      <c r="J394" s="7">
        <v>0</v>
      </c>
      <c r="K394" s="7" t="s">
        <v>2379</v>
      </c>
      <c r="L394" s="7" t="s">
        <v>26</v>
      </c>
      <c r="M394" s="7">
        <v>2.82</v>
      </c>
      <c r="N394" s="7" t="s">
        <v>619</v>
      </c>
      <c r="O394" s="7">
        <v>95</v>
      </c>
      <c r="P394" s="7">
        <f t="shared" si="32"/>
        <v>267.89999999999998</v>
      </c>
      <c r="Q394" s="7" t="s">
        <v>28</v>
      </c>
      <c r="R394" s="8">
        <v>41447</v>
      </c>
      <c r="S394" s="8">
        <v>401768</v>
      </c>
      <c r="T394" s="7"/>
      <c r="U394" s="9">
        <f t="shared" si="33"/>
        <v>0</v>
      </c>
    </row>
    <row r="395" spans="1:21" x14ac:dyDescent="0.25">
      <c r="A395" s="2" t="s">
        <v>2380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2381</v>
      </c>
      <c r="J395" s="7">
        <v>0</v>
      </c>
      <c r="K395" s="7" t="s">
        <v>2382</v>
      </c>
      <c r="L395" s="7" t="s">
        <v>26</v>
      </c>
      <c r="M395" s="7">
        <v>1.08</v>
      </c>
      <c r="N395" s="7" t="s">
        <v>619</v>
      </c>
      <c r="O395" s="7">
        <v>95</v>
      </c>
      <c r="P395" s="7">
        <f t="shared" si="32"/>
        <v>102.60000000000001</v>
      </c>
      <c r="Q395" s="7" t="s">
        <v>28</v>
      </c>
      <c r="R395" s="8">
        <v>46155</v>
      </c>
      <c r="S395" s="8">
        <v>401768</v>
      </c>
      <c r="T395" s="7"/>
      <c r="U395" s="9">
        <f t="shared" si="33"/>
        <v>0</v>
      </c>
    </row>
    <row r="396" spans="1:21" x14ac:dyDescent="0.25">
      <c r="A396" s="2" t="s">
        <v>2383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2384</v>
      </c>
      <c r="J396" s="7">
        <v>0</v>
      </c>
      <c r="K396" s="7" t="s">
        <v>2385</v>
      </c>
      <c r="L396" s="7" t="s">
        <v>26</v>
      </c>
      <c r="M396" s="7">
        <v>0.71</v>
      </c>
      <c r="N396" s="7" t="s">
        <v>619</v>
      </c>
      <c r="O396" s="7">
        <v>95</v>
      </c>
      <c r="P396" s="7">
        <f t="shared" si="32"/>
        <v>67.45</v>
      </c>
      <c r="Q396" s="7" t="s">
        <v>28</v>
      </c>
      <c r="R396" s="8">
        <v>46155</v>
      </c>
      <c r="S396" s="8">
        <v>401768</v>
      </c>
      <c r="T396" s="7"/>
      <c r="U396" s="9">
        <f t="shared" si="33"/>
        <v>0</v>
      </c>
    </row>
    <row r="397" spans="1:21" x14ac:dyDescent="0.25">
      <c r="A397" s="2" t="s">
        <v>2386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2387</v>
      </c>
      <c r="J397" s="7">
        <v>0</v>
      </c>
      <c r="K397" s="7" t="s">
        <v>2388</v>
      </c>
      <c r="L397" s="7" t="s">
        <v>26</v>
      </c>
      <c r="M397" s="7">
        <v>0.91</v>
      </c>
      <c r="N397" s="7" t="s">
        <v>619</v>
      </c>
      <c r="O397" s="7">
        <v>95</v>
      </c>
      <c r="P397" s="7">
        <f t="shared" si="32"/>
        <v>86.45</v>
      </c>
      <c r="Q397" s="7" t="s">
        <v>28</v>
      </c>
      <c r="R397" s="8">
        <v>46155</v>
      </c>
      <c r="S397" s="8">
        <v>401768</v>
      </c>
      <c r="T397" s="7"/>
      <c r="U397" s="9">
        <f t="shared" si="33"/>
        <v>0</v>
      </c>
    </row>
    <row r="398" spans="1:21" x14ac:dyDescent="0.25">
      <c r="A398" s="2" t="s">
        <v>2389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2390</v>
      </c>
      <c r="J398" s="7">
        <v>0</v>
      </c>
      <c r="K398" s="7" t="s">
        <v>2391</v>
      </c>
      <c r="L398" s="7" t="s">
        <v>26</v>
      </c>
      <c r="M398" s="7">
        <v>6</v>
      </c>
      <c r="N398" s="7" t="s">
        <v>619</v>
      </c>
      <c r="O398" s="7">
        <v>95</v>
      </c>
      <c r="P398" s="7">
        <f t="shared" si="32"/>
        <v>570</v>
      </c>
      <c r="Q398" s="7" t="s">
        <v>28</v>
      </c>
      <c r="R398" s="8">
        <v>41629</v>
      </c>
      <c r="S398" s="8">
        <v>401768</v>
      </c>
      <c r="T398" s="7"/>
      <c r="U398" s="9">
        <f t="shared" si="33"/>
        <v>0</v>
      </c>
    </row>
    <row r="399" spans="1:21" x14ac:dyDescent="0.25">
      <c r="A399" s="2" t="s">
        <v>2392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2393</v>
      </c>
      <c r="J399" s="7">
        <v>0</v>
      </c>
      <c r="K399" s="7" t="s">
        <v>2394</v>
      </c>
      <c r="L399" s="7" t="s">
        <v>26</v>
      </c>
      <c r="M399" s="7">
        <v>6.36</v>
      </c>
      <c r="N399" s="7" t="s">
        <v>619</v>
      </c>
      <c r="O399" s="7">
        <v>95</v>
      </c>
      <c r="P399" s="7">
        <f t="shared" si="32"/>
        <v>604.20000000000005</v>
      </c>
      <c r="Q399" s="7" t="s">
        <v>28</v>
      </c>
      <c r="R399" s="8">
        <v>46155</v>
      </c>
      <c r="S399" s="8">
        <v>401768</v>
      </c>
      <c r="T399" s="7"/>
      <c r="U399" s="9">
        <f t="shared" si="33"/>
        <v>0</v>
      </c>
    </row>
    <row r="400" spans="1:21" x14ac:dyDescent="0.25">
      <c r="A400" s="2" t="s">
        <v>6899</v>
      </c>
      <c r="B400" s="6">
        <v>45380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7066</v>
      </c>
      <c r="J400" s="7">
        <v>0</v>
      </c>
      <c r="K400" s="7" t="s">
        <v>7067</v>
      </c>
      <c r="L400" s="7" t="s">
        <v>26</v>
      </c>
      <c r="M400" s="7">
        <v>0.82</v>
      </c>
      <c r="N400" s="7" t="s">
        <v>619</v>
      </c>
      <c r="O400" s="7">
        <v>95</v>
      </c>
      <c r="P400" s="7">
        <f t="shared" si="32"/>
        <v>77.899999999999991</v>
      </c>
      <c r="Q400" s="7" t="s">
        <v>28</v>
      </c>
      <c r="R400" s="8">
        <v>46155</v>
      </c>
      <c r="S400" s="8">
        <v>401768</v>
      </c>
      <c r="T400" s="7"/>
      <c r="U400" s="9">
        <f t="shared" si="33"/>
        <v>0</v>
      </c>
    </row>
    <row r="401" spans="1:21" x14ac:dyDescent="0.25">
      <c r="A401" s="2" t="s">
        <v>6900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7068</v>
      </c>
      <c r="J401" s="7">
        <v>0</v>
      </c>
      <c r="K401" s="7" t="s">
        <v>7069</v>
      </c>
      <c r="L401" s="7" t="s">
        <v>26</v>
      </c>
      <c r="M401" s="7">
        <v>2.08</v>
      </c>
      <c r="N401" s="7" t="s">
        <v>619</v>
      </c>
      <c r="O401" s="7">
        <v>95</v>
      </c>
      <c r="P401" s="7">
        <f t="shared" si="32"/>
        <v>197.6</v>
      </c>
      <c r="Q401" s="7" t="s">
        <v>28</v>
      </c>
      <c r="R401" s="8">
        <v>45516</v>
      </c>
      <c r="S401" s="8">
        <v>401768</v>
      </c>
      <c r="T401" s="7"/>
      <c r="U401" s="9">
        <f t="shared" si="33"/>
        <v>0</v>
      </c>
    </row>
    <row r="402" spans="1:21" x14ac:dyDescent="0.25">
      <c r="A402" s="2" t="s">
        <v>7326</v>
      </c>
      <c r="B402" s="6">
        <v>46003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7432</v>
      </c>
      <c r="J402" s="7">
        <v>0</v>
      </c>
      <c r="K402" s="7" t="s">
        <v>7433</v>
      </c>
      <c r="L402" s="7" t="s">
        <v>26</v>
      </c>
      <c r="M402" s="7">
        <v>4.62</v>
      </c>
      <c r="N402" s="7" t="s">
        <v>619</v>
      </c>
      <c r="O402" s="7">
        <v>95</v>
      </c>
      <c r="P402" s="7">
        <f t="shared" si="32"/>
        <v>438.90000000000003</v>
      </c>
      <c r="Q402" s="7" t="s">
        <v>28</v>
      </c>
      <c r="R402" s="8">
        <v>46155</v>
      </c>
      <c r="S402" s="8">
        <v>401768</v>
      </c>
      <c r="T402" s="7">
        <v>10000</v>
      </c>
      <c r="U402" s="9">
        <f t="shared" si="33"/>
        <v>43.89</v>
      </c>
    </row>
    <row r="403" spans="1:21" x14ac:dyDescent="0.25">
      <c r="A403" s="2" t="s">
        <v>2512</v>
      </c>
      <c r="B403" s="6">
        <v>43959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2510</v>
      </c>
      <c r="H403" s="7" t="s">
        <v>2511</v>
      </c>
      <c r="I403" s="7" t="s">
        <v>2313</v>
      </c>
      <c r="J403" s="7">
        <v>0</v>
      </c>
      <c r="K403" s="7" t="s">
        <v>2314</v>
      </c>
      <c r="L403" s="7" t="s">
        <v>26</v>
      </c>
      <c r="M403" s="7">
        <v>0.64</v>
      </c>
      <c r="N403" s="7" t="s">
        <v>619</v>
      </c>
      <c r="O403" s="7">
        <v>95</v>
      </c>
      <c r="P403" s="7">
        <f t="shared" si="32"/>
        <v>60.800000000000004</v>
      </c>
      <c r="Q403" s="7" t="s">
        <v>28</v>
      </c>
      <c r="R403" s="8">
        <v>46154</v>
      </c>
      <c r="S403" s="8">
        <v>401768</v>
      </c>
      <c r="T403" s="7"/>
      <c r="U403" s="9">
        <f t="shared" si="33"/>
        <v>0</v>
      </c>
    </row>
    <row r="404" spans="1:21" x14ac:dyDescent="0.25">
      <c r="A404" s="2" t="s">
        <v>2513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2316</v>
      </c>
      <c r="J404" s="7">
        <v>0</v>
      </c>
      <c r="K404" s="7" t="s">
        <v>2317</v>
      </c>
      <c r="L404" s="7" t="s">
        <v>26</v>
      </c>
      <c r="M404" s="7">
        <v>0.33</v>
      </c>
      <c r="N404" s="7" t="s">
        <v>619</v>
      </c>
      <c r="O404" s="7">
        <v>95</v>
      </c>
      <c r="P404" s="7">
        <f t="shared" si="32"/>
        <v>31.35</v>
      </c>
      <c r="Q404" s="7" t="s">
        <v>28</v>
      </c>
      <c r="R404" s="8">
        <v>46154</v>
      </c>
      <c r="S404" s="8">
        <v>401768</v>
      </c>
      <c r="T404" s="7">
        <v>1000</v>
      </c>
      <c r="U404" s="9">
        <f t="shared" si="33"/>
        <v>0.3135</v>
      </c>
    </row>
    <row r="405" spans="1:21" x14ac:dyDescent="0.25">
      <c r="A405" s="2" t="s">
        <v>2514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2319</v>
      </c>
      <c r="J405" s="7">
        <v>0</v>
      </c>
      <c r="K405" s="7" t="s">
        <v>2320</v>
      </c>
      <c r="L405" s="7" t="s">
        <v>26</v>
      </c>
      <c r="M405" s="7">
        <v>0.37</v>
      </c>
      <c r="N405" s="7" t="s">
        <v>619</v>
      </c>
      <c r="O405" s="7">
        <v>95</v>
      </c>
      <c r="P405" s="7">
        <f t="shared" si="32"/>
        <v>35.15</v>
      </c>
      <c r="Q405" s="7" t="s">
        <v>28</v>
      </c>
      <c r="R405" s="8">
        <v>46154</v>
      </c>
      <c r="S405" s="8">
        <v>401768</v>
      </c>
      <c r="T405" s="7">
        <v>500</v>
      </c>
      <c r="U405" s="9">
        <f t="shared" si="33"/>
        <v>0.17574999999999999</v>
      </c>
    </row>
    <row r="406" spans="1:21" x14ac:dyDescent="0.25">
      <c r="A406" s="2" t="s">
        <v>2515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2322</v>
      </c>
      <c r="J406" s="7">
        <v>0</v>
      </c>
      <c r="K406" s="7" t="s">
        <v>2323</v>
      </c>
      <c r="L406" s="7" t="s">
        <v>26</v>
      </c>
      <c r="M406" s="7">
        <v>1.1399999999999999</v>
      </c>
      <c r="N406" s="7" t="s">
        <v>619</v>
      </c>
      <c r="O406" s="7">
        <v>95</v>
      </c>
      <c r="P406" s="7">
        <f t="shared" si="32"/>
        <v>108.3</v>
      </c>
      <c r="Q406" s="7" t="s">
        <v>28</v>
      </c>
      <c r="R406" s="8">
        <v>46154</v>
      </c>
      <c r="S406" s="8">
        <v>401768</v>
      </c>
      <c r="T406" s="7"/>
      <c r="U406" s="9">
        <f t="shared" si="33"/>
        <v>0</v>
      </c>
    </row>
    <row r="407" spans="1:21" x14ac:dyDescent="0.25">
      <c r="A407" s="2" t="s">
        <v>2516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2333</v>
      </c>
      <c r="J407" s="7">
        <v>0</v>
      </c>
      <c r="K407" s="7" t="s">
        <v>2334</v>
      </c>
      <c r="L407" s="7" t="s">
        <v>26</v>
      </c>
      <c r="M407" s="7">
        <v>6.33</v>
      </c>
      <c r="N407" s="7" t="s">
        <v>619</v>
      </c>
      <c r="O407" s="7">
        <v>95</v>
      </c>
      <c r="P407" s="7">
        <f t="shared" si="32"/>
        <v>601.35</v>
      </c>
      <c r="Q407" s="7" t="s">
        <v>28</v>
      </c>
      <c r="R407" s="8">
        <v>46154</v>
      </c>
      <c r="S407" s="8">
        <v>401768</v>
      </c>
      <c r="T407" s="7"/>
      <c r="U407" s="9">
        <f t="shared" si="33"/>
        <v>0</v>
      </c>
    </row>
    <row r="408" spans="1:21" x14ac:dyDescent="0.25">
      <c r="A408" s="2" t="s">
        <v>2517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2339</v>
      </c>
      <c r="J408" s="7">
        <v>0</v>
      </c>
      <c r="K408" s="7" t="s">
        <v>2340</v>
      </c>
      <c r="L408" s="7" t="s">
        <v>26</v>
      </c>
      <c r="M408" s="7">
        <v>3.23</v>
      </c>
      <c r="N408" s="7" t="s">
        <v>619</v>
      </c>
      <c r="O408" s="7">
        <v>95</v>
      </c>
      <c r="P408" s="7">
        <f t="shared" si="32"/>
        <v>306.85000000000002</v>
      </c>
      <c r="Q408" s="7" t="s">
        <v>28</v>
      </c>
      <c r="R408" s="8">
        <v>46154</v>
      </c>
      <c r="S408" s="8">
        <v>401768</v>
      </c>
      <c r="T408" s="7"/>
      <c r="U408" s="9">
        <f t="shared" si="33"/>
        <v>0</v>
      </c>
    </row>
    <row r="409" spans="1:21" x14ac:dyDescent="0.25">
      <c r="A409" s="2" t="s">
        <v>2518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2495</v>
      </c>
      <c r="J409" s="7">
        <v>0</v>
      </c>
      <c r="K409" s="7" t="s">
        <v>2496</v>
      </c>
      <c r="L409" s="7" t="s">
        <v>26</v>
      </c>
      <c r="M409" s="7">
        <v>0.78</v>
      </c>
      <c r="N409" s="7" t="s">
        <v>619</v>
      </c>
      <c r="O409" s="7">
        <v>95</v>
      </c>
      <c r="P409" s="7">
        <f t="shared" si="32"/>
        <v>74.100000000000009</v>
      </c>
      <c r="Q409" s="7" t="s">
        <v>28</v>
      </c>
      <c r="R409" s="8">
        <v>42060</v>
      </c>
      <c r="S409" s="8">
        <v>401768</v>
      </c>
      <c r="T409" s="7"/>
      <c r="U409" s="9">
        <f t="shared" si="33"/>
        <v>0</v>
      </c>
    </row>
    <row r="410" spans="1:21" x14ac:dyDescent="0.25">
      <c r="A410" s="2" t="s">
        <v>2519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2520</v>
      </c>
      <c r="J410" s="7">
        <v>0</v>
      </c>
      <c r="K410" s="7" t="s">
        <v>2521</v>
      </c>
      <c r="L410" s="7" t="s">
        <v>26</v>
      </c>
      <c r="M410" s="7">
        <v>5.75</v>
      </c>
      <c r="N410" s="7" t="s">
        <v>619</v>
      </c>
      <c r="O410" s="7">
        <v>95</v>
      </c>
      <c r="P410" s="7">
        <f t="shared" si="32"/>
        <v>546.25</v>
      </c>
      <c r="Q410" s="7" t="s">
        <v>28</v>
      </c>
      <c r="R410" s="8">
        <v>46154</v>
      </c>
      <c r="S410" s="8">
        <v>401768</v>
      </c>
      <c r="T410" s="7"/>
      <c r="U410" s="9">
        <f t="shared" si="33"/>
        <v>0</v>
      </c>
    </row>
    <row r="411" spans="1:21" x14ac:dyDescent="0.25">
      <c r="A411" s="2" t="s">
        <v>2522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2498</v>
      </c>
      <c r="J411" s="7">
        <v>0</v>
      </c>
      <c r="K411" s="7" t="s">
        <v>2499</v>
      </c>
      <c r="L411" s="7" t="s">
        <v>26</v>
      </c>
      <c r="M411" s="7">
        <v>0.72</v>
      </c>
      <c r="N411" s="7" t="s">
        <v>619</v>
      </c>
      <c r="O411" s="7">
        <v>95</v>
      </c>
      <c r="P411" s="7">
        <f t="shared" si="32"/>
        <v>68.399999999999991</v>
      </c>
      <c r="Q411" s="7" t="s">
        <v>28</v>
      </c>
      <c r="R411" s="8">
        <v>46154</v>
      </c>
      <c r="S411" s="8">
        <v>401768</v>
      </c>
      <c r="T411" s="7"/>
      <c r="U411" s="9">
        <f t="shared" si="33"/>
        <v>0</v>
      </c>
    </row>
    <row r="412" spans="1:21" x14ac:dyDescent="0.25">
      <c r="A412" s="2" t="s">
        <v>2523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2384</v>
      </c>
      <c r="J412" s="7">
        <v>0</v>
      </c>
      <c r="K412" s="7" t="s">
        <v>2385</v>
      </c>
      <c r="L412" s="7" t="s">
        <v>26</v>
      </c>
      <c r="M412" s="7">
        <v>0.73</v>
      </c>
      <c r="N412" s="7" t="s">
        <v>619</v>
      </c>
      <c r="O412" s="7">
        <v>95</v>
      </c>
      <c r="P412" s="7">
        <f t="shared" si="32"/>
        <v>69.349999999999994</v>
      </c>
      <c r="Q412" s="7" t="s">
        <v>28</v>
      </c>
      <c r="R412" s="8">
        <v>46154</v>
      </c>
      <c r="S412" s="8">
        <v>401768</v>
      </c>
      <c r="T412" s="7"/>
      <c r="U412" s="9">
        <f t="shared" si="33"/>
        <v>0</v>
      </c>
    </row>
    <row r="413" spans="1:21" x14ac:dyDescent="0.25">
      <c r="A413" s="2" t="s">
        <v>2524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2525</v>
      </c>
      <c r="J413" s="7">
        <v>0</v>
      </c>
      <c r="K413" s="7" t="s">
        <v>2526</v>
      </c>
      <c r="L413" s="7" t="s">
        <v>26</v>
      </c>
      <c r="M413" s="7">
        <v>1.0900000000000001</v>
      </c>
      <c r="N413" s="7" t="s">
        <v>619</v>
      </c>
      <c r="O413" s="7">
        <v>95</v>
      </c>
      <c r="P413" s="7">
        <f t="shared" si="32"/>
        <v>103.55000000000001</v>
      </c>
      <c r="Q413" s="7" t="s">
        <v>28</v>
      </c>
      <c r="R413" s="8">
        <v>46154</v>
      </c>
      <c r="S413" s="8">
        <v>401768</v>
      </c>
      <c r="T413" s="7">
        <v>2000</v>
      </c>
      <c r="U413" s="9">
        <f t="shared" si="33"/>
        <v>2.0710000000000002</v>
      </c>
    </row>
    <row r="414" spans="1:21" x14ac:dyDescent="0.25">
      <c r="A414" s="2" t="s">
        <v>6983</v>
      </c>
      <c r="B414" s="6">
        <v>45516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7066</v>
      </c>
      <c r="J414" s="7">
        <v>0</v>
      </c>
      <c r="K414" s="7" t="s">
        <v>7067</v>
      </c>
      <c r="L414" s="7" t="s">
        <v>26</v>
      </c>
      <c r="M414" s="7">
        <v>1.59</v>
      </c>
      <c r="N414" s="7" t="s">
        <v>619</v>
      </c>
      <c r="O414" s="7">
        <v>95</v>
      </c>
      <c r="P414" s="7">
        <f t="shared" si="32"/>
        <v>151.05000000000001</v>
      </c>
      <c r="Q414" s="7" t="s">
        <v>28</v>
      </c>
      <c r="R414" s="8">
        <v>46154</v>
      </c>
      <c r="S414" s="8">
        <v>401768</v>
      </c>
      <c r="T414" s="7">
        <v>5000</v>
      </c>
      <c r="U414" s="9">
        <f t="shared" si="33"/>
        <v>7.5525000000000002</v>
      </c>
    </row>
    <row r="415" spans="1:21" x14ac:dyDescent="0.25">
      <c r="A415" s="2" t="s">
        <v>6987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7068</v>
      </c>
      <c r="J415" s="7">
        <v>0</v>
      </c>
      <c r="K415" s="7" t="s">
        <v>7069</v>
      </c>
      <c r="L415" s="7" t="s">
        <v>26</v>
      </c>
      <c r="M415" s="7">
        <v>6.01</v>
      </c>
      <c r="N415" s="7" t="s">
        <v>619</v>
      </c>
      <c r="O415" s="7">
        <v>95</v>
      </c>
      <c r="P415" s="7">
        <f t="shared" si="32"/>
        <v>570.94999999999993</v>
      </c>
      <c r="Q415" s="7" t="s">
        <v>28</v>
      </c>
      <c r="R415" s="8">
        <v>46154</v>
      </c>
      <c r="S415" s="8">
        <v>401768</v>
      </c>
      <c r="T415" s="7"/>
      <c r="U415" s="9">
        <f t="shared" si="33"/>
        <v>0</v>
      </c>
    </row>
    <row r="416" spans="1:21" x14ac:dyDescent="0.25">
      <c r="A416" s="2" t="s">
        <v>7181</v>
      </c>
      <c r="B416" s="6">
        <v>45735</v>
      </c>
      <c r="C416" s="7" t="s">
        <v>20</v>
      </c>
      <c r="D416" s="7" t="s">
        <v>21</v>
      </c>
      <c r="E416" s="7" t="s">
        <v>28</v>
      </c>
      <c r="F416" s="7" t="s">
        <v>28</v>
      </c>
      <c r="G416" s="7" t="s">
        <v>2510</v>
      </c>
      <c r="H416" s="7" t="s">
        <v>2511</v>
      </c>
      <c r="I416" s="7" t="s">
        <v>2330</v>
      </c>
      <c r="J416" s="7">
        <v>0</v>
      </c>
      <c r="K416" s="7" t="s">
        <v>2331</v>
      </c>
      <c r="L416" s="7" t="s">
        <v>26</v>
      </c>
      <c r="M416" s="7">
        <v>2.5499999999999998</v>
      </c>
      <c r="N416" s="7" t="s">
        <v>619</v>
      </c>
      <c r="O416" s="7">
        <v>95</v>
      </c>
      <c r="P416" s="7">
        <f t="shared" si="32"/>
        <v>242.24999999999997</v>
      </c>
      <c r="Q416" s="7" t="s">
        <v>28</v>
      </c>
      <c r="R416" s="8">
        <v>45735</v>
      </c>
      <c r="S416" s="8">
        <v>401768</v>
      </c>
      <c r="T416" s="7"/>
      <c r="U416" s="9">
        <f t="shared" si="33"/>
        <v>0</v>
      </c>
    </row>
    <row r="417" spans="1:21" x14ac:dyDescent="0.25">
      <c r="A417" s="2" t="s">
        <v>7229</v>
      </c>
      <c r="B417" s="6">
        <v>45786</v>
      </c>
      <c r="C417" s="7" t="s">
        <v>20</v>
      </c>
      <c r="D417" s="7" t="s">
        <v>21</v>
      </c>
      <c r="E417" s="7" t="s">
        <v>20</v>
      </c>
      <c r="F417" s="7" t="s">
        <v>21</v>
      </c>
      <c r="G417" s="7" t="s">
        <v>2510</v>
      </c>
      <c r="H417" s="7" t="s">
        <v>2511</v>
      </c>
      <c r="I417" s="7" t="s">
        <v>7475</v>
      </c>
      <c r="J417" s="7">
        <v>0</v>
      </c>
      <c r="K417" s="7" t="s">
        <v>7476</v>
      </c>
      <c r="L417" s="7" t="s">
        <v>26</v>
      </c>
      <c r="M417" s="7">
        <v>0.3</v>
      </c>
      <c r="N417" s="7" t="s">
        <v>619</v>
      </c>
      <c r="O417" s="7">
        <v>95</v>
      </c>
      <c r="P417" s="7">
        <f t="shared" si="32"/>
        <v>28.5</v>
      </c>
      <c r="Q417" s="7" t="s">
        <v>28</v>
      </c>
      <c r="R417" s="8">
        <v>45789</v>
      </c>
      <c r="S417" s="8">
        <v>401768</v>
      </c>
      <c r="T417" s="7"/>
      <c r="U417" s="9">
        <f t="shared" si="33"/>
        <v>0</v>
      </c>
    </row>
    <row r="418" spans="1:21" x14ac:dyDescent="0.25">
      <c r="A418" s="2" t="s">
        <v>7285</v>
      </c>
      <c r="B418" s="6">
        <v>45895</v>
      </c>
      <c r="C418" s="7" t="s">
        <v>20</v>
      </c>
      <c r="D418" s="7" t="s">
        <v>21</v>
      </c>
      <c r="E418" s="7" t="s">
        <v>28</v>
      </c>
      <c r="F418" s="7" t="s">
        <v>28</v>
      </c>
      <c r="G418" s="7" t="s">
        <v>2510</v>
      </c>
      <c r="H418" s="7" t="s">
        <v>2511</v>
      </c>
      <c r="I418" s="7" t="s">
        <v>7545</v>
      </c>
      <c r="J418" s="7">
        <v>0</v>
      </c>
      <c r="K418" s="7" t="s">
        <v>7546</v>
      </c>
      <c r="L418" s="7" t="s">
        <v>26</v>
      </c>
      <c r="M418" s="7">
        <v>0.85</v>
      </c>
      <c r="N418" s="7" t="s">
        <v>619</v>
      </c>
      <c r="O418" s="7">
        <v>95</v>
      </c>
      <c r="P418" s="7">
        <f t="shared" si="32"/>
        <v>80.75</v>
      </c>
      <c r="Q418" s="7" t="s">
        <v>28</v>
      </c>
      <c r="R418" s="8">
        <v>45895</v>
      </c>
      <c r="S418" s="8">
        <v>401768</v>
      </c>
      <c r="T418" s="7"/>
      <c r="U418" s="9">
        <f t="shared" si="33"/>
        <v>0</v>
      </c>
    </row>
    <row r="419" spans="1:21" x14ac:dyDescent="0.25">
      <c r="A419" s="2" t="s">
        <v>7410</v>
      </c>
      <c r="B419" s="6">
        <v>46078</v>
      </c>
      <c r="C419" s="7" t="s">
        <v>20</v>
      </c>
      <c r="D419" s="7" t="s">
        <v>21</v>
      </c>
      <c r="E419" s="7" t="s">
        <v>20</v>
      </c>
      <c r="F419" s="7" t="s">
        <v>21</v>
      </c>
      <c r="G419" s="7" t="s">
        <v>2510</v>
      </c>
      <c r="H419" s="7" t="s">
        <v>2511</v>
      </c>
      <c r="I419" s="7" t="s">
        <v>7584</v>
      </c>
      <c r="J419" s="7">
        <v>0</v>
      </c>
      <c r="K419" s="7" t="s">
        <v>7585</v>
      </c>
      <c r="L419" s="7" t="s">
        <v>26</v>
      </c>
      <c r="M419" s="7">
        <v>0.98</v>
      </c>
      <c r="N419" s="7" t="s">
        <v>619</v>
      </c>
      <c r="O419" s="7">
        <v>95</v>
      </c>
      <c r="P419" s="7">
        <f t="shared" si="32"/>
        <v>93.1</v>
      </c>
      <c r="Q419" s="7" t="s">
        <v>28</v>
      </c>
      <c r="R419" s="8">
        <v>46154</v>
      </c>
      <c r="S419" s="8">
        <v>401768</v>
      </c>
      <c r="T419" s="7"/>
      <c r="U419" s="9">
        <f t="shared" si="33"/>
        <v>0</v>
      </c>
    </row>
    <row r="420" spans="1:21" x14ac:dyDescent="0.25">
      <c r="A420" s="2" t="s">
        <v>7050</v>
      </c>
      <c r="B420" s="6">
        <v>45570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7306</v>
      </c>
      <c r="H420" s="7" t="s">
        <v>7307</v>
      </c>
      <c r="I420" s="7" t="s">
        <v>7308</v>
      </c>
      <c r="J420" s="7">
        <v>0</v>
      </c>
      <c r="K420" s="7" t="s">
        <v>7309</v>
      </c>
      <c r="L420" s="7" t="s">
        <v>26</v>
      </c>
      <c r="M420" s="7">
        <v>175.63</v>
      </c>
      <c r="N420" s="7" t="s">
        <v>27</v>
      </c>
      <c r="O420" s="7">
        <f t="shared" ref="O420:O421" si="34">M420</f>
        <v>175.63</v>
      </c>
      <c r="P420" s="7">
        <f t="shared" ref="P420:P421" si="35">O420</f>
        <v>175.63</v>
      </c>
      <c r="Q420" s="7" t="s">
        <v>28</v>
      </c>
      <c r="R420" s="8">
        <v>45570</v>
      </c>
      <c r="S420" s="8">
        <v>401768</v>
      </c>
      <c r="T420" s="7"/>
      <c r="U420" s="9">
        <f t="shared" si="33"/>
        <v>0</v>
      </c>
    </row>
    <row r="421" spans="1:21" x14ac:dyDescent="0.25">
      <c r="A421" s="2" t="s">
        <v>7077</v>
      </c>
      <c r="B421" s="6">
        <v>45603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7347</v>
      </c>
      <c r="J421" s="7">
        <v>0</v>
      </c>
      <c r="K421" s="7" t="s">
        <v>7348</v>
      </c>
      <c r="L421" s="7" t="s">
        <v>26</v>
      </c>
      <c r="M421" s="7">
        <v>175.63</v>
      </c>
      <c r="N421" s="7" t="s">
        <v>27</v>
      </c>
      <c r="O421" s="7">
        <f t="shared" si="34"/>
        <v>175.63</v>
      </c>
      <c r="P421" s="7">
        <f t="shared" si="35"/>
        <v>175.63</v>
      </c>
      <c r="Q421" s="7" t="s">
        <v>28</v>
      </c>
      <c r="R421" s="8">
        <v>45603</v>
      </c>
      <c r="S421" s="8">
        <v>401768</v>
      </c>
      <c r="T421" s="7"/>
      <c r="U421" s="9">
        <f t="shared" si="33"/>
        <v>0</v>
      </c>
    </row>
    <row r="422" spans="1:21" x14ac:dyDescent="0.25">
      <c r="A422" s="2" t="s">
        <v>7064</v>
      </c>
      <c r="B422" s="6">
        <v>45603</v>
      </c>
      <c r="C422" s="7" t="s">
        <v>20</v>
      </c>
      <c r="D422" s="7" t="s">
        <v>21</v>
      </c>
      <c r="E422" s="7" t="s">
        <v>28</v>
      </c>
      <c r="F422" s="7" t="s">
        <v>28</v>
      </c>
      <c r="G422" s="7" t="s">
        <v>7306</v>
      </c>
      <c r="H422" s="7" t="s">
        <v>7307</v>
      </c>
      <c r="I422" s="7" t="s">
        <v>7349</v>
      </c>
      <c r="J422" s="7">
        <v>0</v>
      </c>
      <c r="K422" s="7" t="s">
        <v>6133</v>
      </c>
      <c r="L422" s="7" t="s">
        <v>26</v>
      </c>
      <c r="M422" s="7">
        <v>2.5</v>
      </c>
      <c r="N422" s="7" t="s">
        <v>619</v>
      </c>
      <c r="O422" s="7">
        <v>95</v>
      </c>
      <c r="P422" s="7">
        <f t="shared" si="32"/>
        <v>237.5</v>
      </c>
      <c r="Q422" s="7" t="s">
        <v>28</v>
      </c>
      <c r="R422" s="8">
        <v>45603</v>
      </c>
      <c r="S422" s="8">
        <v>401768</v>
      </c>
      <c r="T422" s="7"/>
      <c r="U422" s="9">
        <f t="shared" si="33"/>
        <v>0</v>
      </c>
    </row>
    <row r="423" spans="1:21" x14ac:dyDescent="0.25">
      <c r="A423" s="2" t="s">
        <v>7226</v>
      </c>
      <c r="B423" s="6">
        <v>45786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7477</v>
      </c>
      <c r="J423" s="7">
        <v>0</v>
      </c>
      <c r="K423" s="7" t="s">
        <v>7478</v>
      </c>
      <c r="L423" s="7" t="s">
        <v>26</v>
      </c>
      <c r="M423" s="7">
        <v>0.3</v>
      </c>
      <c r="N423" s="7" t="s">
        <v>619</v>
      </c>
      <c r="O423" s="7">
        <v>95</v>
      </c>
      <c r="P423" s="7">
        <f t="shared" si="32"/>
        <v>28.5</v>
      </c>
      <c r="Q423" s="7" t="s">
        <v>28</v>
      </c>
      <c r="R423" s="8">
        <v>45786</v>
      </c>
      <c r="S423" s="8">
        <v>401768</v>
      </c>
      <c r="T423" s="7"/>
      <c r="U423" s="9">
        <f t="shared" si="33"/>
        <v>0</v>
      </c>
    </row>
    <row r="424" spans="1:21" x14ac:dyDescent="0.25">
      <c r="A424" s="2" t="s">
        <v>7228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7479</v>
      </c>
      <c r="J424" s="7">
        <v>0</v>
      </c>
      <c r="K424" s="7" t="s">
        <v>7480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32"/>
        <v>28.5</v>
      </c>
      <c r="Q424" s="7" t="s">
        <v>28</v>
      </c>
      <c r="R424" s="8">
        <v>45786</v>
      </c>
      <c r="S424" s="8">
        <v>401768</v>
      </c>
      <c r="T424" s="7"/>
      <c r="U424" s="9">
        <f t="shared" si="33"/>
        <v>0</v>
      </c>
    </row>
    <row r="425" spans="1:21" x14ac:dyDescent="0.25">
      <c r="A425" s="2" t="s">
        <v>7291</v>
      </c>
      <c r="B425" s="6">
        <v>45954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2342</v>
      </c>
      <c r="J425" s="7">
        <v>0</v>
      </c>
      <c r="K425" s="7" t="s">
        <v>2343</v>
      </c>
      <c r="L425" s="7" t="s">
        <v>26</v>
      </c>
      <c r="M425" s="7">
        <v>3.0609000000000002</v>
      </c>
      <c r="N425" s="7" t="s">
        <v>619</v>
      </c>
      <c r="O425" s="7">
        <v>95</v>
      </c>
      <c r="P425" s="7">
        <f t="shared" si="32"/>
        <v>290.78550000000001</v>
      </c>
      <c r="Q425" s="7" t="s">
        <v>28</v>
      </c>
      <c r="R425" s="8">
        <v>45954</v>
      </c>
      <c r="S425" s="8">
        <v>401768</v>
      </c>
      <c r="T425" s="7"/>
      <c r="U425" s="9">
        <f t="shared" si="33"/>
        <v>0</v>
      </c>
    </row>
    <row r="426" spans="1:21" x14ac:dyDescent="0.25">
      <c r="A426" s="2" t="s">
        <v>2527</v>
      </c>
      <c r="B426" s="6">
        <v>43959</v>
      </c>
      <c r="C426" s="7" t="s">
        <v>20</v>
      </c>
      <c r="D426" s="7" t="s">
        <v>21</v>
      </c>
      <c r="E426" s="7" t="s">
        <v>20</v>
      </c>
      <c r="F426" s="7" t="s">
        <v>21</v>
      </c>
      <c r="G426" s="7" t="s">
        <v>2528</v>
      </c>
      <c r="H426" s="7" t="s">
        <v>2529</v>
      </c>
      <c r="I426" s="7" t="s">
        <v>2313</v>
      </c>
      <c r="J426" s="7">
        <v>0</v>
      </c>
      <c r="K426" s="7" t="s">
        <v>2314</v>
      </c>
      <c r="L426" s="7" t="s">
        <v>26</v>
      </c>
      <c r="M426" s="7">
        <v>0.6</v>
      </c>
      <c r="N426" s="7" t="s">
        <v>619</v>
      </c>
      <c r="O426" s="7">
        <v>95</v>
      </c>
      <c r="P426" s="7">
        <f t="shared" si="32"/>
        <v>57</v>
      </c>
      <c r="Q426" s="7" t="s">
        <v>28</v>
      </c>
      <c r="R426" s="8">
        <v>45288</v>
      </c>
      <c r="S426" s="8">
        <v>401768</v>
      </c>
      <c r="T426" s="7"/>
      <c r="U426" s="9">
        <f t="shared" si="33"/>
        <v>0</v>
      </c>
    </row>
    <row r="427" spans="1:21" x14ac:dyDescent="0.25">
      <c r="A427" s="2" t="s">
        <v>2530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2319</v>
      </c>
      <c r="J427" s="7">
        <v>0</v>
      </c>
      <c r="K427" s="7" t="s">
        <v>2320</v>
      </c>
      <c r="L427" s="7" t="s">
        <v>26</v>
      </c>
      <c r="M427" s="7">
        <v>0.37</v>
      </c>
      <c r="N427" s="7" t="s">
        <v>619</v>
      </c>
      <c r="O427" s="7">
        <v>95</v>
      </c>
      <c r="P427" s="7">
        <f t="shared" si="32"/>
        <v>35.15</v>
      </c>
      <c r="Q427" s="7" t="s">
        <v>28</v>
      </c>
      <c r="R427" s="8">
        <v>45288</v>
      </c>
      <c r="S427" s="8">
        <v>401768</v>
      </c>
      <c r="T427" s="7"/>
      <c r="U427" s="9">
        <f t="shared" si="33"/>
        <v>0</v>
      </c>
    </row>
    <row r="428" spans="1:21" x14ac:dyDescent="0.25">
      <c r="A428" s="2" t="s">
        <v>1047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2333</v>
      </c>
      <c r="J428" s="7">
        <v>0</v>
      </c>
      <c r="K428" s="7" t="s">
        <v>2334</v>
      </c>
      <c r="L428" s="7" t="s">
        <v>26</v>
      </c>
      <c r="M428" s="7">
        <v>5.17</v>
      </c>
      <c r="N428" s="7" t="s">
        <v>619</v>
      </c>
      <c r="O428" s="7">
        <v>95</v>
      </c>
      <c r="P428" s="7">
        <f t="shared" si="32"/>
        <v>491.15</v>
      </c>
      <c r="Q428" s="7" t="s">
        <v>28</v>
      </c>
      <c r="R428" s="8">
        <v>45321</v>
      </c>
      <c r="S428" s="8">
        <v>401768</v>
      </c>
      <c r="T428" s="7"/>
      <c r="U428" s="9">
        <f t="shared" si="33"/>
        <v>0</v>
      </c>
    </row>
    <row r="429" spans="1:21" x14ac:dyDescent="0.25">
      <c r="A429" s="2" t="s">
        <v>2531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2370</v>
      </c>
      <c r="J429" s="7">
        <v>0</v>
      </c>
      <c r="K429" s="7" t="s">
        <v>2371</v>
      </c>
      <c r="L429" s="7" t="s">
        <v>26</v>
      </c>
      <c r="M429" s="7">
        <v>0.83</v>
      </c>
      <c r="N429" s="7" t="s">
        <v>619</v>
      </c>
      <c r="O429" s="7">
        <v>95</v>
      </c>
      <c r="P429" s="7">
        <f t="shared" si="32"/>
        <v>78.849999999999994</v>
      </c>
      <c r="Q429" s="7" t="s">
        <v>28</v>
      </c>
      <c r="R429" s="8">
        <v>45288</v>
      </c>
      <c r="S429" s="8">
        <v>401768</v>
      </c>
      <c r="T429" s="7"/>
      <c r="U429" s="9">
        <f t="shared" si="33"/>
        <v>0</v>
      </c>
    </row>
    <row r="430" spans="1:21" x14ac:dyDescent="0.25">
      <c r="A430" s="2" t="s">
        <v>620</v>
      </c>
      <c r="B430" s="6">
        <v>44182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2274</v>
      </c>
      <c r="J430" s="7">
        <v>0</v>
      </c>
      <c r="K430" s="7" t="s">
        <v>2275</v>
      </c>
      <c r="L430" s="7" t="s">
        <v>26</v>
      </c>
      <c r="M430" s="7">
        <v>10</v>
      </c>
      <c r="N430" s="7" t="s">
        <v>619</v>
      </c>
      <c r="O430" s="7">
        <v>95</v>
      </c>
      <c r="P430" s="7">
        <f t="shared" si="32"/>
        <v>950</v>
      </c>
      <c r="Q430" s="7" t="s">
        <v>28</v>
      </c>
      <c r="R430" s="8">
        <v>44182</v>
      </c>
      <c r="S430" s="8">
        <v>401768</v>
      </c>
      <c r="T430" s="7"/>
      <c r="U430" s="9">
        <f t="shared" si="33"/>
        <v>0</v>
      </c>
    </row>
    <row r="431" spans="1:21" x14ac:dyDescent="0.25">
      <c r="A431" s="2" t="s">
        <v>5962</v>
      </c>
      <c r="B431" s="6">
        <v>44231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2393</v>
      </c>
      <c r="J431" s="7">
        <v>0</v>
      </c>
      <c r="K431" s="7" t="s">
        <v>2394</v>
      </c>
      <c r="L431" s="7" t="s">
        <v>26</v>
      </c>
      <c r="M431" s="7">
        <v>5.94</v>
      </c>
      <c r="N431" s="7" t="s">
        <v>619</v>
      </c>
      <c r="O431" s="7">
        <v>95</v>
      </c>
      <c r="P431" s="7">
        <f t="shared" si="32"/>
        <v>564.30000000000007</v>
      </c>
      <c r="Q431" s="7" t="s">
        <v>28</v>
      </c>
      <c r="R431" s="8">
        <v>44231</v>
      </c>
      <c r="S431" s="8">
        <v>401768</v>
      </c>
      <c r="T431" s="7"/>
      <c r="U431" s="9">
        <f t="shared" si="33"/>
        <v>0</v>
      </c>
    </row>
    <row r="432" spans="1:21" x14ac:dyDescent="0.25">
      <c r="A432" s="2" t="s">
        <v>204</v>
      </c>
      <c r="B432" s="6">
        <v>44295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2316</v>
      </c>
      <c r="J432" s="7">
        <v>0</v>
      </c>
      <c r="K432" s="7" t="s">
        <v>2317</v>
      </c>
      <c r="L432" s="7" t="s">
        <v>26</v>
      </c>
      <c r="M432" s="7">
        <v>0.31</v>
      </c>
      <c r="N432" s="7" t="s">
        <v>619</v>
      </c>
      <c r="O432" s="7">
        <v>95</v>
      </c>
      <c r="P432" s="7">
        <f t="shared" si="32"/>
        <v>29.45</v>
      </c>
      <c r="Q432" s="7" t="s">
        <v>28</v>
      </c>
      <c r="R432" s="8">
        <v>45288</v>
      </c>
      <c r="S432" s="8">
        <v>401768</v>
      </c>
      <c r="T432" s="7"/>
      <c r="U432" s="9">
        <f t="shared" si="33"/>
        <v>0</v>
      </c>
    </row>
    <row r="433" spans="1:21" x14ac:dyDescent="0.25">
      <c r="A433" s="2" t="s">
        <v>6196</v>
      </c>
      <c r="B433" s="6">
        <v>44592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2339</v>
      </c>
      <c r="J433" s="7">
        <v>0</v>
      </c>
      <c r="K433" s="7" t="s">
        <v>2340</v>
      </c>
      <c r="L433" s="7" t="s">
        <v>26</v>
      </c>
      <c r="M433" s="7">
        <v>2.7387999999999999</v>
      </c>
      <c r="N433" s="7" t="s">
        <v>619</v>
      </c>
      <c r="O433" s="7">
        <v>95</v>
      </c>
      <c r="P433" s="7">
        <f t="shared" si="32"/>
        <v>260.18599999999998</v>
      </c>
      <c r="Q433" s="7" t="s">
        <v>28</v>
      </c>
      <c r="R433" s="8">
        <v>44985</v>
      </c>
      <c r="S433" s="8">
        <v>401768</v>
      </c>
      <c r="T433" s="7"/>
      <c r="U433" s="9">
        <f t="shared" si="33"/>
        <v>0</v>
      </c>
    </row>
    <row r="434" spans="1:21" x14ac:dyDescent="0.25">
      <c r="A434" s="2" t="s">
        <v>6516</v>
      </c>
      <c r="B434" s="6">
        <v>44925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2322</v>
      </c>
      <c r="J434" s="7">
        <v>0</v>
      </c>
      <c r="K434" s="7" t="s">
        <v>2323</v>
      </c>
      <c r="L434" s="7" t="s">
        <v>26</v>
      </c>
      <c r="M434" s="7">
        <v>0.9</v>
      </c>
      <c r="N434" s="7" t="s">
        <v>619</v>
      </c>
      <c r="O434" s="7">
        <v>95</v>
      </c>
      <c r="P434" s="7">
        <f t="shared" si="32"/>
        <v>85.5</v>
      </c>
      <c r="Q434" s="7" t="s">
        <v>28</v>
      </c>
      <c r="R434" s="8">
        <v>45321</v>
      </c>
      <c r="S434" s="8">
        <v>401768</v>
      </c>
      <c r="T434" s="7"/>
      <c r="U434" s="9">
        <f t="shared" si="33"/>
        <v>0</v>
      </c>
    </row>
    <row r="435" spans="1:21" x14ac:dyDescent="0.25">
      <c r="A435" s="2" t="s">
        <v>5976</v>
      </c>
      <c r="B435" s="6">
        <v>44272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5977</v>
      </c>
      <c r="H435" s="7" t="s">
        <v>5978</v>
      </c>
      <c r="I435" s="7" t="s">
        <v>5979</v>
      </c>
      <c r="J435" s="7">
        <v>0</v>
      </c>
      <c r="K435" s="7" t="s">
        <v>5980</v>
      </c>
      <c r="L435" s="7" t="s">
        <v>26</v>
      </c>
      <c r="M435" s="7">
        <v>68.8</v>
      </c>
      <c r="N435" s="7" t="s">
        <v>27</v>
      </c>
      <c r="O435" s="7">
        <f t="shared" ref="O435:O438" si="36">M435</f>
        <v>68.8</v>
      </c>
      <c r="P435" s="7">
        <f t="shared" ref="P435:P438" si="37">O435</f>
        <v>68.8</v>
      </c>
      <c r="Q435" s="7" t="s">
        <v>28</v>
      </c>
      <c r="R435" s="8">
        <v>44644</v>
      </c>
      <c r="S435" s="8">
        <v>401768</v>
      </c>
      <c r="T435" s="7">
        <v>2352</v>
      </c>
      <c r="U435" s="9">
        <f t="shared" si="33"/>
        <v>1.6181760000000001</v>
      </c>
    </row>
    <row r="436" spans="1:21" x14ac:dyDescent="0.25">
      <c r="A436" s="2" t="s">
        <v>6262</v>
      </c>
      <c r="B436" s="6">
        <v>44644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6263</v>
      </c>
      <c r="J436" s="7">
        <v>0</v>
      </c>
      <c r="K436" s="7" t="s">
        <v>6264</v>
      </c>
      <c r="L436" s="7" t="s">
        <v>26</v>
      </c>
      <c r="M436" s="7">
        <v>145</v>
      </c>
      <c r="N436" s="7" t="s">
        <v>27</v>
      </c>
      <c r="O436" s="7">
        <f t="shared" si="36"/>
        <v>145</v>
      </c>
      <c r="P436" s="7">
        <f t="shared" si="37"/>
        <v>145</v>
      </c>
      <c r="Q436" s="7" t="s">
        <v>28</v>
      </c>
      <c r="R436" s="8">
        <v>45974</v>
      </c>
      <c r="S436" s="8">
        <v>401768</v>
      </c>
      <c r="T436" s="7"/>
      <c r="U436" s="9">
        <f t="shared" si="33"/>
        <v>0</v>
      </c>
    </row>
    <row r="437" spans="1:21" x14ac:dyDescent="0.25">
      <c r="A437" s="2" t="s">
        <v>7123</v>
      </c>
      <c r="B437" s="6">
        <v>45700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7413</v>
      </c>
      <c r="H437" s="7" t="s">
        <v>7414</v>
      </c>
      <c r="I437" s="7" t="s">
        <v>5687</v>
      </c>
      <c r="J437" s="7">
        <v>0</v>
      </c>
      <c r="K437" s="7" t="s">
        <v>5688</v>
      </c>
      <c r="L437" s="7" t="s">
        <v>26</v>
      </c>
      <c r="M437" s="7">
        <v>80</v>
      </c>
      <c r="N437" s="7" t="s">
        <v>27</v>
      </c>
      <c r="O437" s="7">
        <f t="shared" si="36"/>
        <v>80</v>
      </c>
      <c r="P437" s="7">
        <f t="shared" si="37"/>
        <v>80</v>
      </c>
      <c r="Q437" s="7" t="s">
        <v>28</v>
      </c>
      <c r="R437" s="8">
        <v>45700</v>
      </c>
      <c r="S437" s="8">
        <v>401768</v>
      </c>
      <c r="T437" s="7"/>
      <c r="U437" s="9">
        <f t="shared" si="33"/>
        <v>0</v>
      </c>
    </row>
    <row r="438" spans="1:21" x14ac:dyDescent="0.25">
      <c r="A438" s="2" t="s">
        <v>7074</v>
      </c>
      <c r="B438" s="6">
        <v>45616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6889</v>
      </c>
      <c r="H438" s="7" t="s">
        <v>6890</v>
      </c>
      <c r="I438" s="7" t="s">
        <v>7353</v>
      </c>
      <c r="J438" s="7">
        <v>0</v>
      </c>
      <c r="K438" s="7" t="s">
        <v>7354</v>
      </c>
      <c r="L438" s="7" t="s">
        <v>26</v>
      </c>
      <c r="M438" s="7">
        <v>550</v>
      </c>
      <c r="N438" s="7" t="s">
        <v>27</v>
      </c>
      <c r="O438" s="7">
        <f t="shared" si="36"/>
        <v>550</v>
      </c>
      <c r="P438" s="7">
        <f t="shared" si="37"/>
        <v>550</v>
      </c>
      <c r="Q438" s="7" t="s">
        <v>28</v>
      </c>
      <c r="R438" s="8">
        <v>45616</v>
      </c>
      <c r="S438" s="8">
        <v>401768</v>
      </c>
      <c r="T438" s="7"/>
      <c r="U438" s="9">
        <f t="shared" si="33"/>
        <v>0</v>
      </c>
    </row>
    <row r="439" spans="1:21" x14ac:dyDescent="0.25">
      <c r="A439" s="2" t="s">
        <v>3260</v>
      </c>
      <c r="B439" s="6">
        <v>43959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3261</v>
      </c>
      <c r="H439" s="7" t="s">
        <v>3262</v>
      </c>
      <c r="I439" s="7" t="s">
        <v>3263</v>
      </c>
      <c r="J439" s="7">
        <v>0</v>
      </c>
      <c r="K439" s="7" t="s">
        <v>3264</v>
      </c>
      <c r="L439" s="7" t="s">
        <v>26</v>
      </c>
      <c r="M439" s="7">
        <v>0.67</v>
      </c>
      <c r="N439" s="7" t="s">
        <v>619</v>
      </c>
      <c r="O439" s="7">
        <v>95</v>
      </c>
      <c r="P439" s="7">
        <f t="shared" si="32"/>
        <v>63.650000000000006</v>
      </c>
      <c r="Q439" s="7" t="s">
        <v>28</v>
      </c>
      <c r="R439" s="8">
        <v>44642</v>
      </c>
      <c r="S439" s="8">
        <v>401768</v>
      </c>
      <c r="T439" s="7"/>
      <c r="U439" s="9">
        <f t="shared" si="33"/>
        <v>0</v>
      </c>
    </row>
    <row r="440" spans="1:21" x14ac:dyDescent="0.25">
      <c r="A440" s="2" t="s">
        <v>3265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3266</v>
      </c>
      <c r="J440" s="7">
        <v>0</v>
      </c>
      <c r="K440" s="7" t="s">
        <v>3267</v>
      </c>
      <c r="L440" s="7" t="s">
        <v>26</v>
      </c>
      <c r="M440" s="7">
        <v>1.1299999999999999</v>
      </c>
      <c r="N440" s="7" t="s">
        <v>619</v>
      </c>
      <c r="O440" s="7">
        <v>95</v>
      </c>
      <c r="P440" s="7">
        <f t="shared" si="32"/>
        <v>107.35</v>
      </c>
      <c r="Q440" s="7" t="s">
        <v>28</v>
      </c>
      <c r="R440" s="8">
        <v>46164</v>
      </c>
      <c r="S440" s="8">
        <v>401768</v>
      </c>
      <c r="T440" s="7"/>
      <c r="U440" s="9">
        <f t="shared" si="33"/>
        <v>0</v>
      </c>
    </row>
    <row r="441" spans="1:21" x14ac:dyDescent="0.25">
      <c r="A441" s="2" t="s">
        <v>3268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3269</v>
      </c>
      <c r="J441" s="7">
        <v>0</v>
      </c>
      <c r="K441" s="7" t="s">
        <v>3270</v>
      </c>
      <c r="L441" s="7" t="s">
        <v>26</v>
      </c>
      <c r="M441" s="7">
        <v>0.7</v>
      </c>
      <c r="N441" s="7" t="s">
        <v>619</v>
      </c>
      <c r="O441" s="7">
        <v>95</v>
      </c>
      <c r="P441" s="7">
        <f t="shared" si="32"/>
        <v>66.5</v>
      </c>
      <c r="Q441" s="7" t="s">
        <v>28</v>
      </c>
      <c r="R441" s="8">
        <v>44690</v>
      </c>
      <c r="S441" s="8">
        <v>401768</v>
      </c>
      <c r="T441" s="7"/>
      <c r="U441" s="9">
        <f t="shared" si="33"/>
        <v>0</v>
      </c>
    </row>
    <row r="442" spans="1:21" x14ac:dyDescent="0.25">
      <c r="A442" s="2" t="s">
        <v>3271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3272</v>
      </c>
      <c r="J442" s="7">
        <v>0</v>
      </c>
      <c r="K442" s="7" t="s">
        <v>3273</v>
      </c>
      <c r="L442" s="7" t="s">
        <v>26</v>
      </c>
      <c r="M442" s="7">
        <v>1.28</v>
      </c>
      <c r="N442" s="7" t="s">
        <v>619</v>
      </c>
      <c r="O442" s="7">
        <v>95</v>
      </c>
      <c r="P442" s="7">
        <f t="shared" si="32"/>
        <v>121.60000000000001</v>
      </c>
      <c r="Q442" s="7" t="s">
        <v>28</v>
      </c>
      <c r="R442" s="8">
        <v>46164</v>
      </c>
      <c r="S442" s="8">
        <v>401768</v>
      </c>
      <c r="T442" s="7"/>
      <c r="U442" s="9">
        <f t="shared" si="33"/>
        <v>0</v>
      </c>
    </row>
    <row r="443" spans="1:21" x14ac:dyDescent="0.25">
      <c r="A443" s="2" t="s">
        <v>3274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3275</v>
      </c>
      <c r="J443" s="7">
        <v>0</v>
      </c>
      <c r="K443" s="7" t="s">
        <v>3276</v>
      </c>
      <c r="L443" s="7" t="s">
        <v>26</v>
      </c>
      <c r="M443" s="7">
        <v>1.31</v>
      </c>
      <c r="N443" s="7" t="s">
        <v>619</v>
      </c>
      <c r="O443" s="7">
        <v>95</v>
      </c>
      <c r="P443" s="7">
        <f t="shared" si="32"/>
        <v>124.45</v>
      </c>
      <c r="Q443" s="7" t="s">
        <v>28</v>
      </c>
      <c r="R443" s="8">
        <v>46164</v>
      </c>
      <c r="S443" s="8">
        <v>401768</v>
      </c>
      <c r="T443" s="7"/>
      <c r="U443" s="9">
        <f t="shared" si="33"/>
        <v>0</v>
      </c>
    </row>
    <row r="444" spans="1:21" x14ac:dyDescent="0.25">
      <c r="A444" s="2" t="s">
        <v>3277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3278</v>
      </c>
      <c r="J444" s="7">
        <v>0</v>
      </c>
      <c r="K444" s="7" t="s">
        <v>3279</v>
      </c>
      <c r="L444" s="7" t="s">
        <v>26</v>
      </c>
      <c r="M444" s="7">
        <v>1.57</v>
      </c>
      <c r="N444" s="7" t="s">
        <v>619</v>
      </c>
      <c r="O444" s="7">
        <v>95</v>
      </c>
      <c r="P444" s="7">
        <f t="shared" si="32"/>
        <v>149.15</v>
      </c>
      <c r="Q444" s="7" t="s">
        <v>28</v>
      </c>
      <c r="R444" s="8">
        <v>46164</v>
      </c>
      <c r="S444" s="8">
        <v>401768</v>
      </c>
      <c r="T444" s="7"/>
      <c r="U444" s="9">
        <f t="shared" si="33"/>
        <v>0</v>
      </c>
    </row>
    <row r="445" spans="1:21" x14ac:dyDescent="0.25">
      <c r="A445" s="2" t="s">
        <v>3280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3281</v>
      </c>
      <c r="J445" s="7">
        <v>0</v>
      </c>
      <c r="K445" s="7" t="s">
        <v>3282</v>
      </c>
      <c r="L445" s="7" t="s">
        <v>26</v>
      </c>
      <c r="M445" s="7">
        <v>1.1399999999999999</v>
      </c>
      <c r="N445" s="7" t="s">
        <v>619</v>
      </c>
      <c r="O445" s="7">
        <v>95</v>
      </c>
      <c r="P445" s="7">
        <f t="shared" si="32"/>
        <v>108.3</v>
      </c>
      <c r="Q445" s="7" t="s">
        <v>28</v>
      </c>
      <c r="R445" s="8">
        <v>46164</v>
      </c>
      <c r="S445" s="8">
        <v>401768</v>
      </c>
      <c r="T445" s="7"/>
      <c r="U445" s="9">
        <f t="shared" si="33"/>
        <v>0</v>
      </c>
    </row>
    <row r="446" spans="1:21" x14ac:dyDescent="0.25">
      <c r="A446" s="2" t="s">
        <v>3283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3284</v>
      </c>
      <c r="J446" s="7">
        <v>0</v>
      </c>
      <c r="K446" s="7" t="s">
        <v>3285</v>
      </c>
      <c r="L446" s="7" t="s">
        <v>26</v>
      </c>
      <c r="M446" s="7">
        <v>1.1299999999999999</v>
      </c>
      <c r="N446" s="7" t="s">
        <v>619</v>
      </c>
      <c r="O446" s="7">
        <v>95</v>
      </c>
      <c r="P446" s="7">
        <f t="shared" si="32"/>
        <v>107.35</v>
      </c>
      <c r="Q446" s="7" t="s">
        <v>28</v>
      </c>
      <c r="R446" s="8">
        <v>46164</v>
      </c>
      <c r="S446" s="8">
        <v>401768</v>
      </c>
      <c r="T446" s="7"/>
      <c r="U446" s="9">
        <f t="shared" si="33"/>
        <v>0</v>
      </c>
    </row>
    <row r="447" spans="1:21" x14ac:dyDescent="0.25">
      <c r="A447" s="2" t="s">
        <v>3286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3287</v>
      </c>
      <c r="J447" s="7">
        <v>0</v>
      </c>
      <c r="K447" s="7" t="s">
        <v>3288</v>
      </c>
      <c r="L447" s="7" t="s">
        <v>26</v>
      </c>
      <c r="M447" s="7">
        <v>1.1499999999999999</v>
      </c>
      <c r="N447" s="7" t="s">
        <v>619</v>
      </c>
      <c r="O447" s="7">
        <v>95</v>
      </c>
      <c r="P447" s="7">
        <f t="shared" si="32"/>
        <v>109.24999999999999</v>
      </c>
      <c r="Q447" s="7" t="s">
        <v>28</v>
      </c>
      <c r="R447" s="8">
        <v>46164</v>
      </c>
      <c r="S447" s="8">
        <v>401768</v>
      </c>
      <c r="T447" s="7"/>
      <c r="U447" s="9">
        <f t="shared" si="33"/>
        <v>0</v>
      </c>
    </row>
    <row r="448" spans="1:21" x14ac:dyDescent="0.25">
      <c r="A448" s="2" t="s">
        <v>1583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3289</v>
      </c>
      <c r="J448" s="7">
        <v>0</v>
      </c>
      <c r="K448" s="7" t="s">
        <v>3290</v>
      </c>
      <c r="L448" s="7" t="s">
        <v>26</v>
      </c>
      <c r="M448" s="7">
        <v>1.28</v>
      </c>
      <c r="N448" s="7" t="s">
        <v>619</v>
      </c>
      <c r="O448" s="7">
        <v>95</v>
      </c>
      <c r="P448" s="7">
        <f t="shared" si="32"/>
        <v>121.60000000000001</v>
      </c>
      <c r="Q448" s="7" t="s">
        <v>28</v>
      </c>
      <c r="R448" s="8">
        <v>46164</v>
      </c>
      <c r="S448" s="8">
        <v>401768</v>
      </c>
      <c r="T448" s="7"/>
      <c r="U448" s="9">
        <f t="shared" si="33"/>
        <v>0</v>
      </c>
    </row>
    <row r="449" spans="1:21" x14ac:dyDescent="0.25">
      <c r="A449" s="2" t="s">
        <v>3291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3292</v>
      </c>
      <c r="J449" s="7">
        <v>0</v>
      </c>
      <c r="K449" s="7" t="s">
        <v>3293</v>
      </c>
      <c r="L449" s="7" t="s">
        <v>26</v>
      </c>
      <c r="M449" s="7">
        <v>1.3</v>
      </c>
      <c r="N449" s="7" t="s">
        <v>619</v>
      </c>
      <c r="O449" s="7">
        <v>95</v>
      </c>
      <c r="P449" s="7">
        <f t="shared" si="32"/>
        <v>123.5</v>
      </c>
      <c r="Q449" s="7" t="s">
        <v>28</v>
      </c>
      <c r="R449" s="8">
        <v>46164</v>
      </c>
      <c r="S449" s="8">
        <v>401768</v>
      </c>
      <c r="T449" s="7"/>
      <c r="U449" s="9">
        <f t="shared" si="33"/>
        <v>0</v>
      </c>
    </row>
    <row r="450" spans="1:21" x14ac:dyDescent="0.25">
      <c r="A450" s="2" t="s">
        <v>3294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3295</v>
      </c>
      <c r="J450" s="7">
        <v>0</v>
      </c>
      <c r="K450" s="7" t="s">
        <v>3296</v>
      </c>
      <c r="L450" s="7" t="s">
        <v>26</v>
      </c>
      <c r="M450" s="7">
        <v>2.14</v>
      </c>
      <c r="N450" s="7" t="s">
        <v>619</v>
      </c>
      <c r="O450" s="7">
        <v>95</v>
      </c>
      <c r="P450" s="7">
        <f t="shared" si="32"/>
        <v>203.3</v>
      </c>
      <c r="Q450" s="7" t="s">
        <v>28</v>
      </c>
      <c r="R450" s="8">
        <v>46164</v>
      </c>
      <c r="S450" s="8">
        <v>401768</v>
      </c>
      <c r="T450" s="7"/>
      <c r="U450" s="9">
        <f t="shared" si="33"/>
        <v>0</v>
      </c>
    </row>
    <row r="451" spans="1:21" x14ac:dyDescent="0.25">
      <c r="A451" s="2" t="s">
        <v>1003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3297</v>
      </c>
      <c r="J451" s="7">
        <v>0</v>
      </c>
      <c r="K451" s="7" t="s">
        <v>3298</v>
      </c>
      <c r="L451" s="7" t="s">
        <v>26</v>
      </c>
      <c r="M451" s="7">
        <v>1.26</v>
      </c>
      <c r="N451" s="7" t="s">
        <v>619</v>
      </c>
      <c r="O451" s="7">
        <v>95</v>
      </c>
      <c r="P451" s="7">
        <f t="shared" ref="P451:P489" si="38">O451*M451</f>
        <v>119.7</v>
      </c>
      <c r="Q451" s="7" t="s">
        <v>28</v>
      </c>
      <c r="R451" s="8">
        <v>46164</v>
      </c>
      <c r="S451" s="8">
        <v>401768</v>
      </c>
      <c r="T451" s="7"/>
      <c r="U451" s="9">
        <f t="shared" ref="U451:U514" si="39">T451*P451/100000</f>
        <v>0</v>
      </c>
    </row>
    <row r="452" spans="1:21" x14ac:dyDescent="0.25">
      <c r="A452" s="2" t="s">
        <v>3299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3300</v>
      </c>
      <c r="J452" s="7">
        <v>0</v>
      </c>
      <c r="K452" s="7" t="s">
        <v>3301</v>
      </c>
      <c r="L452" s="7" t="s">
        <v>26</v>
      </c>
      <c r="M452" s="7">
        <v>1.21</v>
      </c>
      <c r="N452" s="7" t="s">
        <v>619</v>
      </c>
      <c r="O452" s="7">
        <v>95</v>
      </c>
      <c r="P452" s="7">
        <f t="shared" si="38"/>
        <v>114.95</v>
      </c>
      <c r="Q452" s="7" t="s">
        <v>28</v>
      </c>
      <c r="R452" s="8">
        <v>46164</v>
      </c>
      <c r="S452" s="8">
        <v>401768</v>
      </c>
      <c r="T452" s="7"/>
      <c r="U452" s="9">
        <f t="shared" si="39"/>
        <v>0</v>
      </c>
    </row>
    <row r="453" spans="1:21" x14ac:dyDescent="0.25">
      <c r="A453" s="2" t="s">
        <v>3302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3303</v>
      </c>
      <c r="J453" s="7">
        <v>0</v>
      </c>
      <c r="K453" s="7" t="s">
        <v>3304</v>
      </c>
      <c r="L453" s="7" t="s">
        <v>26</v>
      </c>
      <c r="M453" s="7">
        <v>1.25</v>
      </c>
      <c r="N453" s="7" t="s">
        <v>619</v>
      </c>
      <c r="O453" s="7">
        <v>95</v>
      </c>
      <c r="P453" s="7">
        <f t="shared" si="38"/>
        <v>118.75</v>
      </c>
      <c r="Q453" s="7" t="s">
        <v>28</v>
      </c>
      <c r="R453" s="8">
        <v>46164</v>
      </c>
      <c r="S453" s="8">
        <v>401768</v>
      </c>
      <c r="T453" s="7"/>
      <c r="U453" s="9">
        <f t="shared" si="39"/>
        <v>0</v>
      </c>
    </row>
    <row r="454" spans="1:21" x14ac:dyDescent="0.25">
      <c r="A454" s="2" t="s">
        <v>2073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3305</v>
      </c>
      <c r="J454" s="7">
        <v>0</v>
      </c>
      <c r="K454" s="7" t="s">
        <v>3306</v>
      </c>
      <c r="L454" s="7" t="s">
        <v>26</v>
      </c>
      <c r="M454" s="7">
        <v>1.37</v>
      </c>
      <c r="N454" s="7" t="s">
        <v>619</v>
      </c>
      <c r="O454" s="7">
        <v>95</v>
      </c>
      <c r="P454" s="7">
        <f t="shared" si="38"/>
        <v>130.15</v>
      </c>
      <c r="Q454" s="7" t="s">
        <v>28</v>
      </c>
      <c r="R454" s="8">
        <v>46164</v>
      </c>
      <c r="S454" s="8">
        <v>401768</v>
      </c>
      <c r="T454" s="7"/>
      <c r="U454" s="9">
        <f t="shared" si="39"/>
        <v>0</v>
      </c>
    </row>
    <row r="455" spans="1:21" x14ac:dyDescent="0.25">
      <c r="A455" s="2" t="s">
        <v>2873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3307</v>
      </c>
      <c r="J455" s="7">
        <v>0</v>
      </c>
      <c r="K455" s="7" t="s">
        <v>3308</v>
      </c>
      <c r="L455" s="7" t="s">
        <v>26</v>
      </c>
      <c r="M455" s="7">
        <v>1.22</v>
      </c>
      <c r="N455" s="7" t="s">
        <v>619</v>
      </c>
      <c r="O455" s="7">
        <v>95</v>
      </c>
      <c r="P455" s="7">
        <f t="shared" si="38"/>
        <v>115.89999999999999</v>
      </c>
      <c r="Q455" s="7" t="s">
        <v>28</v>
      </c>
      <c r="R455" s="8">
        <v>44739</v>
      </c>
      <c r="S455" s="8">
        <v>401768</v>
      </c>
      <c r="T455" s="7"/>
      <c r="U455" s="9">
        <f t="shared" si="39"/>
        <v>0</v>
      </c>
    </row>
    <row r="456" spans="1:21" x14ac:dyDescent="0.25">
      <c r="A456" s="2" t="s">
        <v>705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3309</v>
      </c>
      <c r="J456" s="7">
        <v>0</v>
      </c>
      <c r="K456" s="7" t="s">
        <v>3310</v>
      </c>
      <c r="L456" s="7" t="s">
        <v>26</v>
      </c>
      <c r="M456" s="7">
        <v>1.53</v>
      </c>
      <c r="N456" s="7" t="s">
        <v>619</v>
      </c>
      <c r="O456" s="7">
        <v>95</v>
      </c>
      <c r="P456" s="7">
        <f t="shared" si="38"/>
        <v>145.35</v>
      </c>
      <c r="Q456" s="7" t="s">
        <v>28</v>
      </c>
      <c r="R456" s="8">
        <v>46164</v>
      </c>
      <c r="S456" s="8">
        <v>401768</v>
      </c>
      <c r="T456" s="7"/>
      <c r="U456" s="9">
        <f t="shared" si="39"/>
        <v>0</v>
      </c>
    </row>
    <row r="457" spans="1:21" x14ac:dyDescent="0.25">
      <c r="A457" s="2" t="s">
        <v>3311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3312</v>
      </c>
      <c r="J457" s="7">
        <v>0</v>
      </c>
      <c r="K457" s="7" t="s">
        <v>3313</v>
      </c>
      <c r="L457" s="7" t="s">
        <v>26</v>
      </c>
      <c r="M457" s="7">
        <v>0.77</v>
      </c>
      <c r="N457" s="7" t="s">
        <v>619</v>
      </c>
      <c r="O457" s="7">
        <v>95</v>
      </c>
      <c r="P457" s="7">
        <f t="shared" si="38"/>
        <v>73.150000000000006</v>
      </c>
      <c r="Q457" s="7" t="s">
        <v>28</v>
      </c>
      <c r="R457" s="8">
        <v>46164</v>
      </c>
      <c r="S457" s="8">
        <v>401768</v>
      </c>
      <c r="T457" s="7"/>
      <c r="U457" s="9">
        <f t="shared" si="39"/>
        <v>0</v>
      </c>
    </row>
    <row r="458" spans="1:21" x14ac:dyDescent="0.25">
      <c r="A458" s="2" t="s">
        <v>3314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3315</v>
      </c>
      <c r="J458" s="7">
        <v>0</v>
      </c>
      <c r="K458" s="7" t="s">
        <v>3316</v>
      </c>
      <c r="L458" s="7" t="s">
        <v>26</v>
      </c>
      <c r="M458" s="7">
        <v>1.54</v>
      </c>
      <c r="N458" s="7" t="s">
        <v>619</v>
      </c>
      <c r="O458" s="7">
        <v>95</v>
      </c>
      <c r="P458" s="7">
        <f t="shared" si="38"/>
        <v>146.30000000000001</v>
      </c>
      <c r="Q458" s="7" t="s">
        <v>28</v>
      </c>
      <c r="R458" s="8">
        <v>46164</v>
      </c>
      <c r="S458" s="8">
        <v>401768</v>
      </c>
      <c r="T458" s="7"/>
      <c r="U458" s="9">
        <f t="shared" si="39"/>
        <v>0</v>
      </c>
    </row>
    <row r="459" spans="1:21" x14ac:dyDescent="0.25">
      <c r="A459" s="2" t="s">
        <v>3317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3318</v>
      </c>
      <c r="J459" s="7">
        <v>0</v>
      </c>
      <c r="K459" s="7" t="s">
        <v>3319</v>
      </c>
      <c r="L459" s="7" t="s">
        <v>26</v>
      </c>
      <c r="M459" s="7">
        <v>1.35</v>
      </c>
      <c r="N459" s="7" t="s">
        <v>619</v>
      </c>
      <c r="O459" s="7">
        <v>95</v>
      </c>
      <c r="P459" s="7">
        <f t="shared" si="38"/>
        <v>128.25</v>
      </c>
      <c r="Q459" s="7" t="s">
        <v>28</v>
      </c>
      <c r="R459" s="8">
        <v>46164</v>
      </c>
      <c r="S459" s="8">
        <v>401768</v>
      </c>
      <c r="T459" s="7"/>
      <c r="U459" s="9">
        <f t="shared" si="39"/>
        <v>0</v>
      </c>
    </row>
    <row r="460" spans="1:21" x14ac:dyDescent="0.25">
      <c r="A460" s="2" t="s">
        <v>56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3320</v>
      </c>
      <c r="J460" s="7">
        <v>0</v>
      </c>
      <c r="K460" s="7" t="s">
        <v>3321</v>
      </c>
      <c r="L460" s="7" t="s">
        <v>26</v>
      </c>
      <c r="M460" s="7">
        <v>2.4</v>
      </c>
      <c r="N460" s="7" t="s">
        <v>619</v>
      </c>
      <c r="O460" s="7">
        <v>95</v>
      </c>
      <c r="P460" s="7">
        <f t="shared" si="38"/>
        <v>228</v>
      </c>
      <c r="Q460" s="7" t="s">
        <v>28</v>
      </c>
      <c r="R460" s="8">
        <v>45681</v>
      </c>
      <c r="S460" s="8">
        <v>401768</v>
      </c>
      <c r="T460" s="7"/>
      <c r="U460" s="9">
        <f t="shared" si="39"/>
        <v>0</v>
      </c>
    </row>
    <row r="461" spans="1:21" x14ac:dyDescent="0.25">
      <c r="A461" s="2" t="s">
        <v>3322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3323</v>
      </c>
      <c r="J461" s="7">
        <v>0</v>
      </c>
      <c r="K461" s="7" t="s">
        <v>3324</v>
      </c>
      <c r="L461" s="7" t="s">
        <v>26</v>
      </c>
      <c r="M461" s="7">
        <v>1.71</v>
      </c>
      <c r="N461" s="7" t="s">
        <v>619</v>
      </c>
      <c r="O461" s="7">
        <v>95</v>
      </c>
      <c r="P461" s="7">
        <f t="shared" si="38"/>
        <v>162.44999999999999</v>
      </c>
      <c r="Q461" s="7" t="s">
        <v>28</v>
      </c>
      <c r="R461" s="8">
        <v>46164</v>
      </c>
      <c r="S461" s="8">
        <v>401768</v>
      </c>
      <c r="T461" s="7"/>
      <c r="U461" s="9">
        <f t="shared" si="39"/>
        <v>0</v>
      </c>
    </row>
    <row r="462" spans="1:21" x14ac:dyDescent="0.25">
      <c r="A462" s="2" t="s">
        <v>3325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3326</v>
      </c>
      <c r="J462" s="7">
        <v>0</v>
      </c>
      <c r="K462" s="7" t="s">
        <v>3327</v>
      </c>
      <c r="L462" s="7" t="s">
        <v>26</v>
      </c>
      <c r="M462" s="7">
        <v>1.86</v>
      </c>
      <c r="N462" s="7" t="s">
        <v>619</v>
      </c>
      <c r="O462" s="7">
        <v>95</v>
      </c>
      <c r="P462" s="7">
        <f t="shared" si="38"/>
        <v>176.70000000000002</v>
      </c>
      <c r="Q462" s="7" t="s">
        <v>28</v>
      </c>
      <c r="R462" s="8">
        <v>46164</v>
      </c>
      <c r="S462" s="8">
        <v>401768</v>
      </c>
      <c r="T462" s="7"/>
      <c r="U462" s="9">
        <f t="shared" si="39"/>
        <v>0</v>
      </c>
    </row>
    <row r="463" spans="1:21" x14ac:dyDescent="0.25">
      <c r="A463" s="2" t="s">
        <v>3328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3329</v>
      </c>
      <c r="J463" s="7">
        <v>0</v>
      </c>
      <c r="K463" s="7" t="s">
        <v>3330</v>
      </c>
      <c r="L463" s="7" t="s">
        <v>26</v>
      </c>
      <c r="M463" s="7">
        <v>0.83</v>
      </c>
      <c r="N463" s="7" t="s">
        <v>619</v>
      </c>
      <c r="O463" s="7">
        <v>95</v>
      </c>
      <c r="P463" s="7">
        <f t="shared" si="38"/>
        <v>78.849999999999994</v>
      </c>
      <c r="Q463" s="7" t="s">
        <v>28</v>
      </c>
      <c r="R463" s="8">
        <v>46164</v>
      </c>
      <c r="S463" s="8">
        <v>401768</v>
      </c>
      <c r="T463" s="7"/>
      <c r="U463" s="9">
        <f t="shared" si="39"/>
        <v>0</v>
      </c>
    </row>
    <row r="464" spans="1:21" x14ac:dyDescent="0.25">
      <c r="A464" s="2" t="s">
        <v>3331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3332</v>
      </c>
      <c r="J464" s="7">
        <v>0</v>
      </c>
      <c r="K464" s="7" t="s">
        <v>3333</v>
      </c>
      <c r="L464" s="7" t="s">
        <v>26</v>
      </c>
      <c r="M464" s="7">
        <v>0.86</v>
      </c>
      <c r="N464" s="7" t="s">
        <v>619</v>
      </c>
      <c r="O464" s="7">
        <v>95</v>
      </c>
      <c r="P464" s="7">
        <f t="shared" si="38"/>
        <v>81.7</v>
      </c>
      <c r="Q464" s="7" t="s">
        <v>28</v>
      </c>
      <c r="R464" s="8">
        <v>46164</v>
      </c>
      <c r="S464" s="8">
        <v>401768</v>
      </c>
      <c r="T464" s="7"/>
      <c r="U464" s="9">
        <f t="shared" si="39"/>
        <v>0</v>
      </c>
    </row>
    <row r="465" spans="1:21" x14ac:dyDescent="0.25">
      <c r="A465" s="2" t="s">
        <v>3334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3335</v>
      </c>
      <c r="J465" s="7">
        <v>0</v>
      </c>
      <c r="K465" s="7" t="s">
        <v>3336</v>
      </c>
      <c r="L465" s="7" t="s">
        <v>26</v>
      </c>
      <c r="M465" s="7">
        <v>0.85</v>
      </c>
      <c r="N465" s="7" t="s">
        <v>619</v>
      </c>
      <c r="O465" s="7">
        <v>95</v>
      </c>
      <c r="P465" s="7">
        <f t="shared" si="38"/>
        <v>80.75</v>
      </c>
      <c r="Q465" s="7" t="s">
        <v>28</v>
      </c>
      <c r="R465" s="8">
        <v>46164</v>
      </c>
      <c r="S465" s="8">
        <v>401768</v>
      </c>
      <c r="T465" s="7"/>
      <c r="U465" s="9">
        <f t="shared" si="39"/>
        <v>0</v>
      </c>
    </row>
    <row r="466" spans="1:21" x14ac:dyDescent="0.25">
      <c r="A466" s="2" t="s">
        <v>1526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3337</v>
      </c>
      <c r="J466" s="7">
        <v>0</v>
      </c>
      <c r="K466" s="7" t="s">
        <v>3338</v>
      </c>
      <c r="L466" s="7" t="s">
        <v>26</v>
      </c>
      <c r="M466" s="7">
        <v>0.98</v>
      </c>
      <c r="N466" s="7" t="s">
        <v>619</v>
      </c>
      <c r="O466" s="7">
        <v>95</v>
      </c>
      <c r="P466" s="7">
        <f t="shared" si="38"/>
        <v>93.1</v>
      </c>
      <c r="Q466" s="7" t="s">
        <v>28</v>
      </c>
      <c r="R466" s="8">
        <v>46164</v>
      </c>
      <c r="S466" s="8">
        <v>401768</v>
      </c>
      <c r="T466" s="7"/>
      <c r="U466" s="9">
        <f t="shared" si="39"/>
        <v>0</v>
      </c>
    </row>
    <row r="467" spans="1:21" x14ac:dyDescent="0.25">
      <c r="A467" s="2" t="s">
        <v>1529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3339</v>
      </c>
      <c r="J467" s="7">
        <v>0</v>
      </c>
      <c r="K467" s="7" t="s">
        <v>3340</v>
      </c>
      <c r="L467" s="7" t="s">
        <v>26</v>
      </c>
      <c r="M467" s="7">
        <v>1.1299999999999999</v>
      </c>
      <c r="N467" s="7" t="s">
        <v>619</v>
      </c>
      <c r="O467" s="7">
        <v>95</v>
      </c>
      <c r="P467" s="7">
        <f t="shared" si="38"/>
        <v>107.35</v>
      </c>
      <c r="Q467" s="7" t="s">
        <v>28</v>
      </c>
      <c r="R467" s="8">
        <v>46164</v>
      </c>
      <c r="S467" s="8">
        <v>401768</v>
      </c>
      <c r="T467" s="7"/>
      <c r="U467" s="9">
        <f t="shared" si="39"/>
        <v>0</v>
      </c>
    </row>
    <row r="468" spans="1:21" x14ac:dyDescent="0.25">
      <c r="A468" s="2" t="s">
        <v>3341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3342</v>
      </c>
      <c r="J468" s="7">
        <v>0</v>
      </c>
      <c r="K468" s="7" t="s">
        <v>3343</v>
      </c>
      <c r="L468" s="7" t="s">
        <v>26</v>
      </c>
      <c r="M468" s="7">
        <v>1.22</v>
      </c>
      <c r="N468" s="7" t="s">
        <v>619</v>
      </c>
      <c r="O468" s="7">
        <v>95</v>
      </c>
      <c r="P468" s="7">
        <f t="shared" si="38"/>
        <v>115.89999999999999</v>
      </c>
      <c r="Q468" s="7" t="s">
        <v>28</v>
      </c>
      <c r="R468" s="8">
        <v>46164</v>
      </c>
      <c r="S468" s="8">
        <v>401768</v>
      </c>
      <c r="T468" s="7"/>
      <c r="U468" s="9">
        <f t="shared" si="39"/>
        <v>0</v>
      </c>
    </row>
    <row r="469" spans="1:21" x14ac:dyDescent="0.25">
      <c r="A469" s="2" t="s">
        <v>3344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3345</v>
      </c>
      <c r="J469" s="7">
        <v>0</v>
      </c>
      <c r="K469" s="7" t="s">
        <v>3346</v>
      </c>
      <c r="L469" s="7" t="s">
        <v>26</v>
      </c>
      <c r="M469" s="7">
        <v>7.0000000000000007E-2</v>
      </c>
      <c r="N469" s="7" t="s">
        <v>619</v>
      </c>
      <c r="O469" s="7">
        <v>95</v>
      </c>
      <c r="P469" s="7">
        <f t="shared" si="38"/>
        <v>6.65</v>
      </c>
      <c r="Q469" s="7" t="s">
        <v>28</v>
      </c>
      <c r="R469" s="8">
        <v>43824</v>
      </c>
      <c r="S469" s="8">
        <v>401768</v>
      </c>
      <c r="T469" s="7"/>
      <c r="U469" s="9">
        <f t="shared" si="39"/>
        <v>0</v>
      </c>
    </row>
    <row r="470" spans="1:21" x14ac:dyDescent="0.25">
      <c r="A470" s="2" t="s">
        <v>3347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3348</v>
      </c>
      <c r="J470" s="7">
        <v>0</v>
      </c>
      <c r="K470" s="7" t="s">
        <v>3349</v>
      </c>
      <c r="L470" s="7" t="s">
        <v>26</v>
      </c>
      <c r="M470" s="7">
        <v>7.0000000000000007E-2</v>
      </c>
      <c r="N470" s="7" t="s">
        <v>619</v>
      </c>
      <c r="O470" s="7">
        <v>95</v>
      </c>
      <c r="P470" s="7">
        <f t="shared" si="38"/>
        <v>6.65</v>
      </c>
      <c r="Q470" s="7" t="s">
        <v>28</v>
      </c>
      <c r="R470" s="8">
        <v>43824</v>
      </c>
      <c r="S470" s="8">
        <v>401768</v>
      </c>
      <c r="T470" s="7"/>
      <c r="U470" s="9">
        <f t="shared" si="39"/>
        <v>0</v>
      </c>
    </row>
    <row r="471" spans="1:21" x14ac:dyDescent="0.25">
      <c r="A471" s="2" t="s">
        <v>3350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3351</v>
      </c>
      <c r="J471" s="7">
        <v>0</v>
      </c>
      <c r="K471" s="7" t="s">
        <v>3352</v>
      </c>
      <c r="L471" s="7" t="s">
        <v>26</v>
      </c>
      <c r="M471" s="7">
        <v>7.0000000000000007E-2</v>
      </c>
      <c r="N471" s="7" t="s">
        <v>619</v>
      </c>
      <c r="O471" s="7">
        <v>95</v>
      </c>
      <c r="P471" s="7">
        <f t="shared" si="38"/>
        <v>6.65</v>
      </c>
      <c r="Q471" s="7" t="s">
        <v>28</v>
      </c>
      <c r="R471" s="8">
        <v>43824</v>
      </c>
      <c r="S471" s="8">
        <v>401768</v>
      </c>
      <c r="T471" s="7"/>
      <c r="U471" s="9">
        <f t="shared" si="39"/>
        <v>0</v>
      </c>
    </row>
    <row r="472" spans="1:21" x14ac:dyDescent="0.25">
      <c r="A472" s="2" t="s">
        <v>5636</v>
      </c>
      <c r="B472" s="6">
        <v>43977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3318</v>
      </c>
      <c r="J472" s="7">
        <v>0</v>
      </c>
      <c r="K472" s="7" t="s">
        <v>3319</v>
      </c>
      <c r="L472" s="7" t="s">
        <v>26</v>
      </c>
      <c r="M472" s="7">
        <v>1.2</v>
      </c>
      <c r="N472" s="7" t="s">
        <v>619</v>
      </c>
      <c r="O472" s="7">
        <v>95</v>
      </c>
      <c r="P472" s="7">
        <f t="shared" si="38"/>
        <v>114</v>
      </c>
      <c r="Q472" s="7" t="s">
        <v>28</v>
      </c>
      <c r="R472" s="8">
        <v>43977</v>
      </c>
      <c r="S472" s="8">
        <v>401768</v>
      </c>
      <c r="T472" s="7"/>
      <c r="U472" s="9">
        <f t="shared" si="39"/>
        <v>0</v>
      </c>
    </row>
    <row r="473" spans="1:21" x14ac:dyDescent="0.25">
      <c r="A473" s="2" t="s">
        <v>7186</v>
      </c>
      <c r="B473" s="6">
        <v>45744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7441</v>
      </c>
      <c r="J473" s="7">
        <v>0</v>
      </c>
      <c r="K473" s="7" t="s">
        <v>7442</v>
      </c>
      <c r="L473" s="7" t="s">
        <v>26</v>
      </c>
      <c r="M473" s="7">
        <v>1.55</v>
      </c>
      <c r="N473" s="7" t="s">
        <v>619</v>
      </c>
      <c r="O473" s="7">
        <v>95</v>
      </c>
      <c r="P473" s="7">
        <f t="shared" si="38"/>
        <v>147.25</v>
      </c>
      <c r="Q473" s="7" t="s">
        <v>28</v>
      </c>
      <c r="R473" s="8">
        <v>46164</v>
      </c>
      <c r="S473" s="8">
        <v>401768</v>
      </c>
      <c r="T473" s="7"/>
      <c r="U473" s="9">
        <f t="shared" si="39"/>
        <v>0</v>
      </c>
    </row>
    <row r="474" spans="1:21" x14ac:dyDescent="0.25">
      <c r="A474" s="2" t="s">
        <v>7188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7443</v>
      </c>
      <c r="J474" s="7">
        <v>0</v>
      </c>
      <c r="K474" s="7" t="s">
        <v>7444</v>
      </c>
      <c r="L474" s="7" t="s">
        <v>26</v>
      </c>
      <c r="M474" s="7">
        <v>1.56</v>
      </c>
      <c r="N474" s="7" t="s">
        <v>619</v>
      </c>
      <c r="O474" s="7">
        <v>95</v>
      </c>
      <c r="P474" s="7">
        <f t="shared" si="38"/>
        <v>148.20000000000002</v>
      </c>
      <c r="Q474" s="7" t="s">
        <v>28</v>
      </c>
      <c r="R474" s="8">
        <v>46164</v>
      </c>
      <c r="S474" s="8">
        <v>401768</v>
      </c>
      <c r="T474" s="7"/>
      <c r="U474" s="9">
        <f t="shared" si="39"/>
        <v>0</v>
      </c>
    </row>
    <row r="475" spans="1:21" x14ac:dyDescent="0.25">
      <c r="A475" s="2" t="s">
        <v>7191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7445</v>
      </c>
      <c r="J475" s="7">
        <v>0</v>
      </c>
      <c r="K475" s="7" t="s">
        <v>7446</v>
      </c>
      <c r="L475" s="7" t="s">
        <v>26</v>
      </c>
      <c r="M475" s="7">
        <v>1.76</v>
      </c>
      <c r="N475" s="7" t="s">
        <v>619</v>
      </c>
      <c r="O475" s="7">
        <v>95</v>
      </c>
      <c r="P475" s="7">
        <f t="shared" si="38"/>
        <v>167.2</v>
      </c>
      <c r="Q475" s="7" t="s">
        <v>28</v>
      </c>
      <c r="R475" s="8">
        <v>46164</v>
      </c>
      <c r="S475" s="8">
        <v>401768</v>
      </c>
      <c r="T475" s="7"/>
      <c r="U475" s="9">
        <f t="shared" si="39"/>
        <v>0</v>
      </c>
    </row>
    <row r="476" spans="1:21" x14ac:dyDescent="0.25">
      <c r="A476" s="2" t="s">
        <v>7196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7447</v>
      </c>
      <c r="J476" s="7">
        <v>0</v>
      </c>
      <c r="K476" s="7" t="s">
        <v>7448</v>
      </c>
      <c r="L476" s="7" t="s">
        <v>26</v>
      </c>
      <c r="M476" s="7">
        <v>1.46</v>
      </c>
      <c r="N476" s="7" t="s">
        <v>619</v>
      </c>
      <c r="O476" s="7">
        <v>95</v>
      </c>
      <c r="P476" s="7">
        <f t="shared" si="38"/>
        <v>138.69999999999999</v>
      </c>
      <c r="Q476" s="7" t="s">
        <v>28</v>
      </c>
      <c r="R476" s="8">
        <v>46164</v>
      </c>
      <c r="S476" s="8">
        <v>401768</v>
      </c>
      <c r="T476" s="7"/>
      <c r="U476" s="9">
        <f t="shared" si="39"/>
        <v>0</v>
      </c>
    </row>
    <row r="477" spans="1:21" x14ac:dyDescent="0.25">
      <c r="A477" s="2" t="s">
        <v>7199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7449</v>
      </c>
      <c r="J477" s="7">
        <v>0</v>
      </c>
      <c r="K477" s="7" t="s">
        <v>7450</v>
      </c>
      <c r="L477" s="7" t="s">
        <v>26</v>
      </c>
      <c r="M477" s="7">
        <v>2.96</v>
      </c>
      <c r="N477" s="7" t="s">
        <v>619</v>
      </c>
      <c r="O477" s="7">
        <v>95</v>
      </c>
      <c r="P477" s="7">
        <f t="shared" si="38"/>
        <v>281.2</v>
      </c>
      <c r="Q477" s="7" t="s">
        <v>28</v>
      </c>
      <c r="R477" s="8">
        <v>46164</v>
      </c>
      <c r="S477" s="8">
        <v>401768</v>
      </c>
      <c r="T477" s="7"/>
      <c r="U477" s="9">
        <f t="shared" si="39"/>
        <v>0</v>
      </c>
    </row>
    <row r="478" spans="1:21" x14ac:dyDescent="0.25">
      <c r="A478" s="2" t="s">
        <v>7206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7451</v>
      </c>
      <c r="J478" s="7">
        <v>0</v>
      </c>
      <c r="K478" s="7" t="s">
        <v>7452</v>
      </c>
      <c r="L478" s="7" t="s">
        <v>26</v>
      </c>
      <c r="M478" s="7">
        <v>2.4</v>
      </c>
      <c r="N478" s="7" t="s">
        <v>619</v>
      </c>
      <c r="O478" s="7">
        <v>95</v>
      </c>
      <c r="P478" s="7">
        <f t="shared" si="38"/>
        <v>228</v>
      </c>
      <c r="Q478" s="7" t="s">
        <v>28</v>
      </c>
      <c r="R478" s="8">
        <v>46164</v>
      </c>
      <c r="S478" s="8">
        <v>401768</v>
      </c>
      <c r="T478" s="7"/>
      <c r="U478" s="9">
        <f t="shared" si="39"/>
        <v>0</v>
      </c>
    </row>
    <row r="479" spans="1:21" x14ac:dyDescent="0.25">
      <c r="A479" s="2" t="s">
        <v>2661</v>
      </c>
      <c r="B479" s="6">
        <v>43959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2662</v>
      </c>
      <c r="H479" s="7" t="s">
        <v>2663</v>
      </c>
      <c r="I479" s="7" t="s">
        <v>1561</v>
      </c>
      <c r="J479" s="7">
        <v>0</v>
      </c>
      <c r="K479" s="7" t="s">
        <v>1562</v>
      </c>
      <c r="L479" s="7" t="s">
        <v>26</v>
      </c>
      <c r="M479" s="7">
        <v>7</v>
      </c>
      <c r="N479" s="7" t="s">
        <v>619</v>
      </c>
      <c r="O479" s="7">
        <v>95</v>
      </c>
      <c r="P479" s="7">
        <f t="shared" si="38"/>
        <v>665</v>
      </c>
      <c r="Q479" s="7" t="s">
        <v>28</v>
      </c>
      <c r="R479" s="8">
        <v>43840</v>
      </c>
      <c r="S479" s="8">
        <v>401768</v>
      </c>
      <c r="T479" s="7"/>
      <c r="U479" s="9">
        <f t="shared" si="39"/>
        <v>0</v>
      </c>
    </row>
    <row r="480" spans="1:21" x14ac:dyDescent="0.25">
      <c r="A480" s="2" t="s">
        <v>2651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2652</v>
      </c>
      <c r="H480" s="7" t="s">
        <v>2653</v>
      </c>
      <c r="I480" s="7" t="s">
        <v>2654</v>
      </c>
      <c r="J480" s="7">
        <v>0</v>
      </c>
      <c r="K480" s="7" t="s">
        <v>2655</v>
      </c>
      <c r="L480" s="7" t="s">
        <v>26</v>
      </c>
      <c r="M480" s="7">
        <v>37.32</v>
      </c>
      <c r="N480" s="7" t="s">
        <v>27</v>
      </c>
      <c r="O480" s="7">
        <f t="shared" ref="O480:O482" si="40">M480</f>
        <v>37.32</v>
      </c>
      <c r="P480" s="7">
        <f t="shared" ref="P480:P482" si="41">O480</f>
        <v>37.32</v>
      </c>
      <c r="Q480" s="7" t="s">
        <v>28</v>
      </c>
      <c r="R480" s="8">
        <v>42917</v>
      </c>
      <c r="S480" s="8">
        <v>401768</v>
      </c>
      <c r="T480" s="7"/>
      <c r="U480" s="9">
        <f t="shared" si="39"/>
        <v>0</v>
      </c>
    </row>
    <row r="481" spans="1:21" x14ac:dyDescent="0.25">
      <c r="A481" s="2" t="s">
        <v>2396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2656</v>
      </c>
      <c r="J481" s="7">
        <v>0</v>
      </c>
      <c r="K481" s="7" t="s">
        <v>2657</v>
      </c>
      <c r="L481" s="7" t="s">
        <v>26</v>
      </c>
      <c r="M481" s="7">
        <v>37.32</v>
      </c>
      <c r="N481" s="7" t="s">
        <v>27</v>
      </c>
      <c r="O481" s="7">
        <f t="shared" si="40"/>
        <v>37.32</v>
      </c>
      <c r="P481" s="7">
        <f t="shared" si="41"/>
        <v>37.32</v>
      </c>
      <c r="Q481" s="7" t="s">
        <v>28</v>
      </c>
      <c r="R481" s="8">
        <v>42917</v>
      </c>
      <c r="S481" s="8">
        <v>401768</v>
      </c>
      <c r="T481" s="7"/>
      <c r="U481" s="9">
        <f t="shared" si="39"/>
        <v>0</v>
      </c>
    </row>
    <row r="482" spans="1:21" x14ac:dyDescent="0.25">
      <c r="A482" s="2" t="s">
        <v>6875</v>
      </c>
      <c r="B482" s="6">
        <v>45229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6922</v>
      </c>
      <c r="J482" s="7">
        <v>0</v>
      </c>
      <c r="K482" s="7" t="s">
        <v>6923</v>
      </c>
      <c r="L482" s="7" t="s">
        <v>26</v>
      </c>
      <c r="M482" s="7">
        <v>69.790000000000006</v>
      </c>
      <c r="N482" s="7" t="s">
        <v>27</v>
      </c>
      <c r="O482" s="7">
        <f t="shared" si="40"/>
        <v>69.790000000000006</v>
      </c>
      <c r="P482" s="7">
        <f t="shared" si="41"/>
        <v>69.790000000000006</v>
      </c>
      <c r="Q482" s="7" t="s">
        <v>28</v>
      </c>
      <c r="R482" s="8">
        <v>46123</v>
      </c>
      <c r="S482" s="8">
        <v>401768</v>
      </c>
      <c r="T482" s="7">
        <v>50000</v>
      </c>
      <c r="U482" s="9">
        <f t="shared" si="39"/>
        <v>34.895000000000003</v>
      </c>
    </row>
    <row r="483" spans="1:21" x14ac:dyDescent="0.25">
      <c r="A483" s="2" t="s">
        <v>2574</v>
      </c>
      <c r="B483" s="6">
        <v>43959</v>
      </c>
      <c r="C483" s="7" t="s">
        <v>20</v>
      </c>
      <c r="D483" s="7" t="s">
        <v>21</v>
      </c>
      <c r="E483" s="7" t="s">
        <v>28</v>
      </c>
      <c r="F483" s="7" t="s">
        <v>28</v>
      </c>
      <c r="G483" s="7" t="s">
        <v>2734</v>
      </c>
      <c r="H483" s="7" t="s">
        <v>2735</v>
      </c>
      <c r="I483" s="7" t="s">
        <v>2736</v>
      </c>
      <c r="J483" s="7">
        <v>0</v>
      </c>
      <c r="K483" s="7" t="s">
        <v>2737</v>
      </c>
      <c r="L483" s="7" t="s">
        <v>26</v>
      </c>
      <c r="M483" s="7">
        <v>2.2400000000000002</v>
      </c>
      <c r="N483" s="7" t="s">
        <v>160</v>
      </c>
      <c r="O483" s="7">
        <v>110</v>
      </c>
      <c r="P483" s="7">
        <f t="shared" si="38"/>
        <v>246.40000000000003</v>
      </c>
      <c r="Q483" s="7" t="s">
        <v>28</v>
      </c>
      <c r="R483" s="8">
        <v>41387</v>
      </c>
      <c r="S483" s="8">
        <v>401768</v>
      </c>
      <c r="T483" s="7"/>
      <c r="U483" s="9">
        <f t="shared" si="39"/>
        <v>0</v>
      </c>
    </row>
    <row r="484" spans="1:21" x14ac:dyDescent="0.25">
      <c r="A484" s="2" t="s">
        <v>2738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2739</v>
      </c>
      <c r="J484" s="7">
        <v>0</v>
      </c>
      <c r="K484" s="7" t="s">
        <v>2740</v>
      </c>
      <c r="L484" s="7" t="s">
        <v>26</v>
      </c>
      <c r="M484" s="7">
        <v>3.66</v>
      </c>
      <c r="N484" s="7" t="s">
        <v>160</v>
      </c>
      <c r="O484" s="7">
        <v>110</v>
      </c>
      <c r="P484" s="7">
        <f t="shared" si="38"/>
        <v>402.6</v>
      </c>
      <c r="Q484" s="7" t="s">
        <v>28</v>
      </c>
      <c r="R484" s="8">
        <v>41387</v>
      </c>
      <c r="S484" s="8">
        <v>401768</v>
      </c>
      <c r="T484" s="7"/>
      <c r="U484" s="9">
        <f t="shared" si="39"/>
        <v>0</v>
      </c>
    </row>
    <row r="485" spans="1:21" x14ac:dyDescent="0.25">
      <c r="A485" s="2" t="s">
        <v>2741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2742</v>
      </c>
      <c r="J485" s="7">
        <v>0</v>
      </c>
      <c r="K485" s="7" t="s">
        <v>2743</v>
      </c>
      <c r="L485" s="7" t="s">
        <v>26</v>
      </c>
      <c r="M485" s="7">
        <v>2.2400000000000002</v>
      </c>
      <c r="N485" s="7" t="s">
        <v>160</v>
      </c>
      <c r="O485" s="7">
        <v>110</v>
      </c>
      <c r="P485" s="7">
        <f t="shared" si="38"/>
        <v>246.40000000000003</v>
      </c>
      <c r="Q485" s="7" t="s">
        <v>28</v>
      </c>
      <c r="R485" s="8">
        <v>41387</v>
      </c>
      <c r="S485" s="8">
        <v>401768</v>
      </c>
      <c r="T485" s="7"/>
      <c r="U485" s="9">
        <f t="shared" si="39"/>
        <v>0</v>
      </c>
    </row>
    <row r="486" spans="1:21" x14ac:dyDescent="0.25">
      <c r="A486" s="2" t="s">
        <v>2744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2745</v>
      </c>
      <c r="J486" s="7">
        <v>0</v>
      </c>
      <c r="K486" s="7" t="s">
        <v>2746</v>
      </c>
      <c r="L486" s="7" t="s">
        <v>26</v>
      </c>
      <c r="M486" s="7">
        <v>3.66</v>
      </c>
      <c r="N486" s="7" t="s">
        <v>160</v>
      </c>
      <c r="O486" s="7">
        <v>110</v>
      </c>
      <c r="P486" s="7">
        <f t="shared" si="38"/>
        <v>402.6</v>
      </c>
      <c r="Q486" s="7" t="s">
        <v>28</v>
      </c>
      <c r="R486" s="8">
        <v>41387</v>
      </c>
      <c r="S486" s="8">
        <v>401768</v>
      </c>
      <c r="T486" s="7"/>
      <c r="U486" s="9">
        <f t="shared" si="39"/>
        <v>0</v>
      </c>
    </row>
    <row r="487" spans="1:21" x14ac:dyDescent="0.25">
      <c r="A487" s="2" t="s">
        <v>2757</v>
      </c>
      <c r="B487" s="6">
        <v>43959</v>
      </c>
      <c r="C487" s="7" t="s">
        <v>20</v>
      </c>
      <c r="D487" s="7" t="s">
        <v>21</v>
      </c>
      <c r="E487" s="7" t="s">
        <v>20</v>
      </c>
      <c r="F487" s="7" t="s">
        <v>21</v>
      </c>
      <c r="G487" s="7" t="s">
        <v>2758</v>
      </c>
      <c r="H487" s="7" t="s">
        <v>2759</v>
      </c>
      <c r="I487" s="7" t="s">
        <v>1561</v>
      </c>
      <c r="J487" s="7">
        <v>0</v>
      </c>
      <c r="K487" s="7" t="s">
        <v>1562</v>
      </c>
      <c r="L487" s="7" t="s">
        <v>26</v>
      </c>
      <c r="M487" s="7">
        <v>5</v>
      </c>
      <c r="N487" s="7" t="s">
        <v>619</v>
      </c>
      <c r="O487" s="7">
        <v>95</v>
      </c>
      <c r="P487" s="7">
        <f t="shared" si="38"/>
        <v>475</v>
      </c>
      <c r="Q487" s="7" t="s">
        <v>28</v>
      </c>
      <c r="R487" s="8">
        <v>43822</v>
      </c>
      <c r="S487" s="8">
        <v>401768</v>
      </c>
      <c r="T487" s="7">
        <v>1500</v>
      </c>
      <c r="U487" s="9">
        <f t="shared" si="39"/>
        <v>7.125</v>
      </c>
    </row>
    <row r="488" spans="1:21" x14ac:dyDescent="0.25">
      <c r="A488" s="2" t="s">
        <v>2433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2760</v>
      </c>
      <c r="J488" s="7">
        <v>0</v>
      </c>
      <c r="K488" s="7" t="s">
        <v>2761</v>
      </c>
      <c r="L488" s="7" t="s">
        <v>26</v>
      </c>
      <c r="M488" s="7">
        <v>34.01</v>
      </c>
      <c r="N488" s="7" t="s">
        <v>619</v>
      </c>
      <c r="O488" s="7">
        <v>95</v>
      </c>
      <c r="P488" s="7">
        <f t="shared" si="38"/>
        <v>3230.95</v>
      </c>
      <c r="Q488" s="7" t="s">
        <v>28</v>
      </c>
      <c r="R488" s="8">
        <v>45541</v>
      </c>
      <c r="S488" s="8">
        <v>401768</v>
      </c>
      <c r="T488" s="7"/>
      <c r="U488" s="9">
        <f t="shared" si="39"/>
        <v>0</v>
      </c>
    </row>
    <row r="489" spans="1:21" x14ac:dyDescent="0.25">
      <c r="A489" s="2" t="s">
        <v>2764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2765</v>
      </c>
      <c r="J489" s="7">
        <v>0</v>
      </c>
      <c r="K489" s="7" t="s">
        <v>2766</v>
      </c>
      <c r="L489" s="7" t="s">
        <v>26</v>
      </c>
      <c r="M489" s="7">
        <v>33.01</v>
      </c>
      <c r="N489" s="7" t="s">
        <v>619</v>
      </c>
      <c r="O489" s="7">
        <v>95</v>
      </c>
      <c r="P489" s="7">
        <f t="shared" si="38"/>
        <v>3135.95</v>
      </c>
      <c r="Q489" s="7" t="s">
        <v>28</v>
      </c>
      <c r="R489" s="8">
        <v>45563</v>
      </c>
      <c r="S489" s="8">
        <v>401768</v>
      </c>
      <c r="T489" s="7">
        <v>300</v>
      </c>
      <c r="U489" s="9">
        <f t="shared" si="39"/>
        <v>9.4078499999999998</v>
      </c>
    </row>
    <row r="490" spans="1:21" x14ac:dyDescent="0.25">
      <c r="A490" s="2" t="s">
        <v>2664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2665</v>
      </c>
      <c r="H490" s="7" t="s">
        <v>2666</v>
      </c>
      <c r="I490" s="7" t="s">
        <v>2667</v>
      </c>
      <c r="J490" s="7">
        <v>0</v>
      </c>
      <c r="K490" s="7" t="s">
        <v>2668</v>
      </c>
      <c r="L490" s="7" t="s">
        <v>26</v>
      </c>
      <c r="M490" s="7">
        <v>39.159999999999997</v>
      </c>
      <c r="N490" s="7" t="s">
        <v>27</v>
      </c>
      <c r="O490" s="7">
        <f t="shared" ref="O490:O519" si="42">M490</f>
        <v>39.159999999999997</v>
      </c>
      <c r="P490" s="7">
        <f t="shared" ref="P490:P519" si="43">O490</f>
        <v>39.159999999999997</v>
      </c>
      <c r="Q490" s="7" t="s">
        <v>28</v>
      </c>
      <c r="R490" s="8">
        <v>43020</v>
      </c>
      <c r="S490" s="8">
        <v>401768</v>
      </c>
      <c r="T490" s="7"/>
      <c r="U490" s="9">
        <f t="shared" si="39"/>
        <v>0</v>
      </c>
    </row>
    <row r="491" spans="1:21" x14ac:dyDescent="0.25">
      <c r="A491" s="2" t="s">
        <v>1376</v>
      </c>
      <c r="B491" s="6">
        <v>43959</v>
      </c>
      <c r="C491" s="7" t="s">
        <v>20</v>
      </c>
      <c r="D491" s="7" t="s">
        <v>21</v>
      </c>
      <c r="E491" s="7" t="s">
        <v>28</v>
      </c>
      <c r="F491" s="7" t="s">
        <v>28</v>
      </c>
      <c r="G491" s="7" t="s">
        <v>2665</v>
      </c>
      <c r="H491" s="7" t="s">
        <v>2666</v>
      </c>
      <c r="I491" s="7" t="s">
        <v>2669</v>
      </c>
      <c r="J491" s="7">
        <v>0</v>
      </c>
      <c r="K491" s="7" t="s">
        <v>28</v>
      </c>
      <c r="L491" s="7" t="s">
        <v>26</v>
      </c>
      <c r="M491" s="7">
        <v>40.840000000000003</v>
      </c>
      <c r="N491" s="7" t="s">
        <v>27</v>
      </c>
      <c r="O491" s="7">
        <f t="shared" si="42"/>
        <v>40.840000000000003</v>
      </c>
      <c r="P491" s="7">
        <f t="shared" si="43"/>
        <v>40.840000000000003</v>
      </c>
      <c r="Q491" s="7" t="s">
        <v>28</v>
      </c>
      <c r="R491" s="8">
        <v>43049</v>
      </c>
      <c r="S491" s="8">
        <v>401768</v>
      </c>
      <c r="T491" s="7"/>
      <c r="U491" s="9">
        <f t="shared" si="39"/>
        <v>0</v>
      </c>
    </row>
    <row r="492" spans="1:21" x14ac:dyDescent="0.25">
      <c r="A492" s="2" t="s">
        <v>2670</v>
      </c>
      <c r="B492" s="6">
        <v>43959</v>
      </c>
      <c r="C492" s="7" t="s">
        <v>20</v>
      </c>
      <c r="D492" s="7" t="s">
        <v>21</v>
      </c>
      <c r="E492" s="7" t="s">
        <v>20</v>
      </c>
      <c r="F492" s="7" t="s">
        <v>21</v>
      </c>
      <c r="G492" s="7" t="s">
        <v>2665</v>
      </c>
      <c r="H492" s="7" t="s">
        <v>2666</v>
      </c>
      <c r="I492" s="7" t="s">
        <v>2671</v>
      </c>
      <c r="J492" s="7">
        <v>0</v>
      </c>
      <c r="K492" s="7" t="s">
        <v>2672</v>
      </c>
      <c r="L492" s="7" t="s">
        <v>26</v>
      </c>
      <c r="M492" s="7">
        <v>42.54</v>
      </c>
      <c r="N492" s="7" t="s">
        <v>27</v>
      </c>
      <c r="O492" s="7">
        <f t="shared" si="42"/>
        <v>42.54</v>
      </c>
      <c r="P492" s="7">
        <f t="shared" si="43"/>
        <v>42.54</v>
      </c>
      <c r="Q492" s="7" t="s">
        <v>28</v>
      </c>
      <c r="R492" s="8">
        <v>43049</v>
      </c>
      <c r="S492" s="8">
        <v>401768</v>
      </c>
      <c r="T492" s="7"/>
      <c r="U492" s="9">
        <f t="shared" si="39"/>
        <v>0</v>
      </c>
    </row>
    <row r="493" spans="1:21" x14ac:dyDescent="0.25">
      <c r="A493" s="2" t="s">
        <v>442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2673</v>
      </c>
      <c r="J493" s="7">
        <v>0</v>
      </c>
      <c r="K493" s="7" t="s">
        <v>2674</v>
      </c>
      <c r="L493" s="7" t="s">
        <v>26</v>
      </c>
      <c r="M493" s="7">
        <v>24.38</v>
      </c>
      <c r="N493" s="7" t="s">
        <v>27</v>
      </c>
      <c r="O493" s="7">
        <f t="shared" si="42"/>
        <v>24.38</v>
      </c>
      <c r="P493" s="7">
        <f t="shared" si="43"/>
        <v>24.38</v>
      </c>
      <c r="Q493" s="7" t="s">
        <v>28</v>
      </c>
      <c r="R493" s="8">
        <v>43227</v>
      </c>
      <c r="S493" s="8">
        <v>401768</v>
      </c>
      <c r="T493" s="7"/>
      <c r="U493" s="9">
        <f t="shared" si="39"/>
        <v>0</v>
      </c>
    </row>
    <row r="494" spans="1:21" x14ac:dyDescent="0.25">
      <c r="A494" s="2" t="s">
        <v>2675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2676</v>
      </c>
      <c r="J494" s="7">
        <v>0</v>
      </c>
      <c r="K494" s="7" t="s">
        <v>2677</v>
      </c>
      <c r="L494" s="7" t="s">
        <v>26</v>
      </c>
      <c r="M494" s="7">
        <v>21.98</v>
      </c>
      <c r="N494" s="7" t="s">
        <v>27</v>
      </c>
      <c r="O494" s="7">
        <f t="shared" si="42"/>
        <v>21.98</v>
      </c>
      <c r="P494" s="7">
        <f t="shared" si="43"/>
        <v>21.98</v>
      </c>
      <c r="Q494" s="7" t="s">
        <v>28</v>
      </c>
      <c r="R494" s="8">
        <v>43390</v>
      </c>
      <c r="S494" s="8">
        <v>401768</v>
      </c>
      <c r="T494" s="7"/>
      <c r="U494" s="9">
        <f t="shared" si="39"/>
        <v>0</v>
      </c>
    </row>
    <row r="495" spans="1:21" x14ac:dyDescent="0.25">
      <c r="A495" s="2" t="s">
        <v>2678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2679</v>
      </c>
      <c r="J495" s="7">
        <v>0</v>
      </c>
      <c r="K495" s="7" t="s">
        <v>2680</v>
      </c>
      <c r="L495" s="7" t="s">
        <v>26</v>
      </c>
      <c r="M495" s="7">
        <v>69.91</v>
      </c>
      <c r="N495" s="7" t="s">
        <v>27</v>
      </c>
      <c r="O495" s="7">
        <f t="shared" si="42"/>
        <v>69.91</v>
      </c>
      <c r="P495" s="7">
        <f t="shared" si="43"/>
        <v>69.91</v>
      </c>
      <c r="Q495" s="7" t="s">
        <v>28</v>
      </c>
      <c r="R495" s="8">
        <v>42986</v>
      </c>
      <c r="S495" s="8">
        <v>401768</v>
      </c>
      <c r="T495" s="7"/>
      <c r="U495" s="9">
        <f t="shared" si="39"/>
        <v>0</v>
      </c>
    </row>
    <row r="496" spans="1:21" x14ac:dyDescent="0.25">
      <c r="A496" s="2" t="s">
        <v>1373</v>
      </c>
      <c r="B496" s="6">
        <v>43959</v>
      </c>
      <c r="C496" s="7" t="s">
        <v>20</v>
      </c>
      <c r="D496" s="7" t="s">
        <v>21</v>
      </c>
      <c r="E496" s="7" t="s">
        <v>28</v>
      </c>
      <c r="F496" s="7" t="s">
        <v>28</v>
      </c>
      <c r="G496" s="7" t="s">
        <v>2665</v>
      </c>
      <c r="H496" s="7" t="s">
        <v>2666</v>
      </c>
      <c r="I496" s="7" t="s">
        <v>2681</v>
      </c>
      <c r="J496" s="7">
        <v>0</v>
      </c>
      <c r="K496" s="7" t="s">
        <v>28</v>
      </c>
      <c r="L496" s="7" t="s">
        <v>26</v>
      </c>
      <c r="M496" s="7">
        <v>61</v>
      </c>
      <c r="N496" s="7" t="s">
        <v>27</v>
      </c>
      <c r="O496" s="7">
        <f t="shared" si="42"/>
        <v>61</v>
      </c>
      <c r="P496" s="7">
        <f t="shared" si="43"/>
        <v>61</v>
      </c>
      <c r="Q496" s="7" t="s">
        <v>28</v>
      </c>
      <c r="R496" s="8">
        <v>43049</v>
      </c>
      <c r="S496" s="8">
        <v>401768</v>
      </c>
      <c r="T496" s="7"/>
      <c r="U496" s="9">
        <f t="shared" si="39"/>
        <v>0</v>
      </c>
    </row>
    <row r="497" spans="1:21" x14ac:dyDescent="0.25">
      <c r="A497" s="2" t="s">
        <v>2682</v>
      </c>
      <c r="B497" s="6">
        <v>43959</v>
      </c>
      <c r="C497" s="7" t="s">
        <v>20</v>
      </c>
      <c r="D497" s="7" t="s">
        <v>21</v>
      </c>
      <c r="E497" s="7" t="s">
        <v>20</v>
      </c>
      <c r="F497" s="7" t="s">
        <v>21</v>
      </c>
      <c r="G497" s="7" t="s">
        <v>2665</v>
      </c>
      <c r="H497" s="7" t="s">
        <v>2666</v>
      </c>
      <c r="I497" s="7" t="s">
        <v>2683</v>
      </c>
      <c r="J497" s="7">
        <v>0</v>
      </c>
      <c r="K497" s="7" t="s">
        <v>2684</v>
      </c>
      <c r="L497" s="7" t="s">
        <v>26</v>
      </c>
      <c r="M497" s="7">
        <v>75.510000000000005</v>
      </c>
      <c r="N497" s="7" t="s">
        <v>27</v>
      </c>
      <c r="O497" s="7">
        <f t="shared" si="42"/>
        <v>75.510000000000005</v>
      </c>
      <c r="P497" s="7">
        <f t="shared" si="43"/>
        <v>75.510000000000005</v>
      </c>
      <c r="Q497" s="7" t="s">
        <v>28</v>
      </c>
      <c r="R497" s="8">
        <v>43312</v>
      </c>
      <c r="S497" s="8">
        <v>401768</v>
      </c>
      <c r="T497" s="7"/>
      <c r="U497" s="9">
        <f t="shared" si="39"/>
        <v>0</v>
      </c>
    </row>
    <row r="498" spans="1:21" x14ac:dyDescent="0.25">
      <c r="A498" s="2" t="s">
        <v>2685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2686</v>
      </c>
      <c r="J498" s="7">
        <v>0</v>
      </c>
      <c r="K498" s="7" t="s">
        <v>2687</v>
      </c>
      <c r="L498" s="7" t="s">
        <v>26</v>
      </c>
      <c r="M498" s="7">
        <v>70.05</v>
      </c>
      <c r="N498" s="7" t="s">
        <v>27</v>
      </c>
      <c r="O498" s="7">
        <f t="shared" si="42"/>
        <v>70.05</v>
      </c>
      <c r="P498" s="7">
        <f t="shared" si="43"/>
        <v>70.05</v>
      </c>
      <c r="Q498" s="7" t="s">
        <v>28</v>
      </c>
      <c r="R498" s="8">
        <v>45528</v>
      </c>
      <c r="S498" s="8">
        <v>401768</v>
      </c>
      <c r="T498" s="7"/>
      <c r="U498" s="9">
        <f t="shared" si="39"/>
        <v>0</v>
      </c>
    </row>
    <row r="499" spans="1:21" x14ac:dyDescent="0.25">
      <c r="A499" s="2" t="s">
        <v>1385</v>
      </c>
      <c r="B499" s="6">
        <v>43959</v>
      </c>
      <c r="C499" s="7" t="s">
        <v>20</v>
      </c>
      <c r="D499" s="7" t="s">
        <v>21</v>
      </c>
      <c r="E499" s="7" t="s">
        <v>28</v>
      </c>
      <c r="F499" s="7" t="s">
        <v>28</v>
      </c>
      <c r="G499" s="7" t="s">
        <v>2665</v>
      </c>
      <c r="H499" s="7" t="s">
        <v>2666</v>
      </c>
      <c r="I499" s="7" t="s">
        <v>2688</v>
      </c>
      <c r="J499" s="7">
        <v>0</v>
      </c>
      <c r="K499" s="7" t="s">
        <v>28</v>
      </c>
      <c r="L499" s="7" t="s">
        <v>26</v>
      </c>
      <c r="M499" s="7">
        <v>80.040000000000006</v>
      </c>
      <c r="N499" s="7" t="s">
        <v>27</v>
      </c>
      <c r="O499" s="7">
        <f t="shared" si="42"/>
        <v>80.040000000000006</v>
      </c>
      <c r="P499" s="7">
        <f t="shared" si="43"/>
        <v>80.040000000000006</v>
      </c>
      <c r="Q499" s="7" t="s">
        <v>28</v>
      </c>
      <c r="R499" s="8">
        <v>43049</v>
      </c>
      <c r="S499" s="8">
        <v>401768</v>
      </c>
      <c r="T499" s="7"/>
      <c r="U499" s="9">
        <f t="shared" si="39"/>
        <v>0</v>
      </c>
    </row>
    <row r="500" spans="1:21" x14ac:dyDescent="0.25">
      <c r="A500" s="2" t="s">
        <v>2121</v>
      </c>
      <c r="B500" s="6">
        <v>43959</v>
      </c>
      <c r="C500" s="7" t="s">
        <v>20</v>
      </c>
      <c r="D500" s="7" t="s">
        <v>21</v>
      </c>
      <c r="E500" s="7" t="s">
        <v>20</v>
      </c>
      <c r="F500" s="7" t="s">
        <v>21</v>
      </c>
      <c r="G500" s="7" t="s">
        <v>2665</v>
      </c>
      <c r="H500" s="7" t="s">
        <v>2666</v>
      </c>
      <c r="I500" s="7" t="s">
        <v>2689</v>
      </c>
      <c r="J500" s="7">
        <v>0</v>
      </c>
      <c r="K500" s="7" t="s">
        <v>2690</v>
      </c>
      <c r="L500" s="7" t="s">
        <v>26</v>
      </c>
      <c r="M500" s="7">
        <v>4000</v>
      </c>
      <c r="N500" s="7" t="s">
        <v>27</v>
      </c>
      <c r="O500" s="7">
        <f t="shared" si="42"/>
        <v>4000</v>
      </c>
      <c r="P500" s="7">
        <f t="shared" si="43"/>
        <v>4000</v>
      </c>
      <c r="Q500" s="7" t="s">
        <v>28</v>
      </c>
      <c r="R500" s="8">
        <v>41716</v>
      </c>
      <c r="S500" s="8">
        <v>401768</v>
      </c>
      <c r="T500" s="7"/>
      <c r="U500" s="9">
        <f t="shared" si="39"/>
        <v>0</v>
      </c>
    </row>
    <row r="501" spans="1:21" x14ac:dyDescent="0.25">
      <c r="A501" s="2" t="s">
        <v>2691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2692</v>
      </c>
      <c r="J501" s="7">
        <v>0</v>
      </c>
      <c r="K501" s="7" t="s">
        <v>2693</v>
      </c>
      <c r="L501" s="7" t="s">
        <v>26</v>
      </c>
      <c r="M501" s="7">
        <v>40000</v>
      </c>
      <c r="N501" s="7" t="s">
        <v>27</v>
      </c>
      <c r="O501" s="7">
        <f t="shared" si="42"/>
        <v>40000</v>
      </c>
      <c r="P501" s="7">
        <f t="shared" si="43"/>
        <v>40000</v>
      </c>
      <c r="Q501" s="7" t="s">
        <v>28</v>
      </c>
      <c r="R501" s="8">
        <v>41705</v>
      </c>
      <c r="S501" s="8">
        <v>401768</v>
      </c>
      <c r="T501" s="7"/>
      <c r="U501" s="9">
        <f t="shared" si="39"/>
        <v>0</v>
      </c>
    </row>
    <row r="502" spans="1:21" x14ac:dyDescent="0.25">
      <c r="A502" s="2" t="s">
        <v>2694</v>
      </c>
      <c r="B502" s="6">
        <v>43959</v>
      </c>
      <c r="C502" s="7" t="s">
        <v>20</v>
      </c>
      <c r="D502" s="7" t="s">
        <v>21</v>
      </c>
      <c r="E502" s="7" t="s">
        <v>28</v>
      </c>
      <c r="F502" s="7" t="s">
        <v>28</v>
      </c>
      <c r="G502" s="7" t="s">
        <v>2665</v>
      </c>
      <c r="H502" s="7" t="s">
        <v>2666</v>
      </c>
      <c r="I502" s="7" t="s">
        <v>2695</v>
      </c>
      <c r="J502" s="7">
        <v>0</v>
      </c>
      <c r="K502" s="7" t="s">
        <v>2696</v>
      </c>
      <c r="L502" s="7" t="s">
        <v>26</v>
      </c>
      <c r="M502" s="7">
        <v>45.7</v>
      </c>
      <c r="N502" s="7" t="s">
        <v>27</v>
      </c>
      <c r="O502" s="7">
        <f t="shared" si="42"/>
        <v>45.7</v>
      </c>
      <c r="P502" s="7">
        <f t="shared" si="43"/>
        <v>45.7</v>
      </c>
      <c r="Q502" s="7" t="s">
        <v>28</v>
      </c>
      <c r="R502" s="8">
        <v>41704</v>
      </c>
      <c r="S502" s="8">
        <v>401768</v>
      </c>
      <c r="T502" s="7"/>
      <c r="U502" s="9">
        <f t="shared" si="39"/>
        <v>0</v>
      </c>
    </row>
    <row r="503" spans="1:21" x14ac:dyDescent="0.25">
      <c r="A503" s="2" t="s">
        <v>2697</v>
      </c>
      <c r="B503" s="6">
        <v>43959</v>
      </c>
      <c r="C503" s="7" t="s">
        <v>20</v>
      </c>
      <c r="D503" s="7" t="s">
        <v>21</v>
      </c>
      <c r="E503" s="7" t="s">
        <v>20</v>
      </c>
      <c r="F503" s="7" t="s">
        <v>21</v>
      </c>
      <c r="G503" s="7" t="s">
        <v>2665</v>
      </c>
      <c r="H503" s="7" t="s">
        <v>2666</v>
      </c>
      <c r="I503" s="7" t="s">
        <v>2698</v>
      </c>
      <c r="J503" s="7">
        <v>0</v>
      </c>
      <c r="K503" s="7" t="s">
        <v>2699</v>
      </c>
      <c r="L503" s="7" t="s">
        <v>26</v>
      </c>
      <c r="M503" s="7">
        <v>48.61</v>
      </c>
      <c r="N503" s="7" t="s">
        <v>27</v>
      </c>
      <c r="O503" s="7">
        <f t="shared" si="42"/>
        <v>48.61</v>
      </c>
      <c r="P503" s="7">
        <f t="shared" si="43"/>
        <v>48.61</v>
      </c>
      <c r="Q503" s="7" t="s">
        <v>28</v>
      </c>
      <c r="R503" s="8">
        <v>45751</v>
      </c>
      <c r="S503" s="8">
        <v>401768</v>
      </c>
      <c r="T503" s="7"/>
      <c r="U503" s="9">
        <f t="shared" si="39"/>
        <v>0</v>
      </c>
    </row>
    <row r="504" spans="1:21" x14ac:dyDescent="0.25">
      <c r="A504" s="2" t="s">
        <v>2106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2700</v>
      </c>
      <c r="J504" s="7">
        <v>0</v>
      </c>
      <c r="K504" s="7" t="s">
        <v>2701</v>
      </c>
      <c r="L504" s="7" t="s">
        <v>26</v>
      </c>
      <c r="M504" s="7">
        <v>52.55</v>
      </c>
      <c r="N504" s="7" t="s">
        <v>27</v>
      </c>
      <c r="O504" s="7">
        <f t="shared" si="42"/>
        <v>52.55</v>
      </c>
      <c r="P504" s="7">
        <f t="shared" si="43"/>
        <v>52.55</v>
      </c>
      <c r="Q504" s="7" t="s">
        <v>28</v>
      </c>
      <c r="R504" s="8">
        <v>43040</v>
      </c>
      <c r="S504" s="8">
        <v>401768</v>
      </c>
      <c r="T504" s="7"/>
      <c r="U504" s="9">
        <f t="shared" si="39"/>
        <v>0</v>
      </c>
    </row>
    <row r="505" spans="1:21" x14ac:dyDescent="0.25">
      <c r="A505" s="2" t="s">
        <v>1392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2702</v>
      </c>
      <c r="J505" s="7">
        <v>0</v>
      </c>
      <c r="K505" s="7" t="s">
        <v>2703</v>
      </c>
      <c r="L505" s="7" t="s">
        <v>26</v>
      </c>
      <c r="M505" s="7">
        <v>39.99</v>
      </c>
      <c r="N505" s="7" t="s">
        <v>27</v>
      </c>
      <c r="O505" s="7">
        <f t="shared" si="42"/>
        <v>39.99</v>
      </c>
      <c r="P505" s="7">
        <f t="shared" si="43"/>
        <v>39.99</v>
      </c>
      <c r="Q505" s="7" t="s">
        <v>28</v>
      </c>
      <c r="R505" s="8">
        <v>42934</v>
      </c>
      <c r="S505" s="8">
        <v>401768</v>
      </c>
      <c r="T505" s="7"/>
      <c r="U505" s="9">
        <f t="shared" si="39"/>
        <v>0</v>
      </c>
    </row>
    <row r="506" spans="1:21" x14ac:dyDescent="0.25">
      <c r="A506" s="2" t="s">
        <v>2704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2705</v>
      </c>
      <c r="J506" s="7">
        <v>0</v>
      </c>
      <c r="K506" s="7" t="s">
        <v>2706</v>
      </c>
      <c r="L506" s="7" t="s">
        <v>26</v>
      </c>
      <c r="M506" s="7">
        <v>28.18</v>
      </c>
      <c r="N506" s="7" t="s">
        <v>27</v>
      </c>
      <c r="O506" s="7">
        <f t="shared" si="42"/>
        <v>28.18</v>
      </c>
      <c r="P506" s="7">
        <f t="shared" si="43"/>
        <v>28.18</v>
      </c>
      <c r="Q506" s="7" t="s">
        <v>28</v>
      </c>
      <c r="R506" s="8">
        <v>45751</v>
      </c>
      <c r="S506" s="8">
        <v>401768</v>
      </c>
      <c r="T506" s="7"/>
      <c r="U506" s="9">
        <f t="shared" si="39"/>
        <v>0</v>
      </c>
    </row>
    <row r="507" spans="1:21" x14ac:dyDescent="0.25">
      <c r="A507" s="2" t="s">
        <v>2707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2708</v>
      </c>
      <c r="J507" s="7">
        <v>0</v>
      </c>
      <c r="K507" s="7" t="s">
        <v>2709</v>
      </c>
      <c r="L507" s="7" t="s">
        <v>26</v>
      </c>
      <c r="M507" s="7">
        <v>70.05</v>
      </c>
      <c r="N507" s="7" t="s">
        <v>27</v>
      </c>
      <c r="O507" s="7">
        <f t="shared" si="42"/>
        <v>70.05</v>
      </c>
      <c r="P507" s="7">
        <f t="shared" si="43"/>
        <v>70.05</v>
      </c>
      <c r="Q507" s="7" t="s">
        <v>28</v>
      </c>
      <c r="R507" s="8">
        <v>45528</v>
      </c>
      <c r="S507" s="8">
        <v>401768</v>
      </c>
      <c r="T507" s="7"/>
      <c r="U507" s="9">
        <f t="shared" si="39"/>
        <v>0</v>
      </c>
    </row>
    <row r="508" spans="1:21" x14ac:dyDescent="0.25">
      <c r="A508" s="2" t="s">
        <v>2710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2711</v>
      </c>
      <c r="J508" s="7">
        <v>0</v>
      </c>
      <c r="K508" s="7" t="s">
        <v>2712</v>
      </c>
      <c r="L508" s="7" t="s">
        <v>26</v>
      </c>
      <c r="M508" s="7">
        <v>71.16</v>
      </c>
      <c r="N508" s="7" t="s">
        <v>27</v>
      </c>
      <c r="O508" s="7">
        <f t="shared" si="42"/>
        <v>71.16</v>
      </c>
      <c r="P508" s="7">
        <f t="shared" si="43"/>
        <v>71.16</v>
      </c>
      <c r="Q508" s="7" t="s">
        <v>28</v>
      </c>
      <c r="R508" s="8">
        <v>42719</v>
      </c>
      <c r="S508" s="8">
        <v>401768</v>
      </c>
      <c r="T508" s="7"/>
      <c r="U508" s="9">
        <f t="shared" si="39"/>
        <v>0</v>
      </c>
    </row>
    <row r="509" spans="1:21" x14ac:dyDescent="0.25">
      <c r="A509" s="2" t="s">
        <v>2713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2714</v>
      </c>
      <c r="J509" s="7">
        <v>0</v>
      </c>
      <c r="K509" s="7" t="s">
        <v>2715</v>
      </c>
      <c r="L509" s="7" t="s">
        <v>26</v>
      </c>
      <c r="M509" s="7">
        <v>77.75</v>
      </c>
      <c r="N509" s="7" t="s">
        <v>27</v>
      </c>
      <c r="O509" s="7">
        <f t="shared" si="42"/>
        <v>77.75</v>
      </c>
      <c r="P509" s="7">
        <f t="shared" si="43"/>
        <v>77.75</v>
      </c>
      <c r="Q509" s="7" t="s">
        <v>28</v>
      </c>
      <c r="R509" s="8">
        <v>43187</v>
      </c>
      <c r="S509" s="8">
        <v>401768</v>
      </c>
      <c r="T509" s="7"/>
      <c r="U509" s="9">
        <f t="shared" si="39"/>
        <v>0</v>
      </c>
    </row>
    <row r="510" spans="1:21" x14ac:dyDescent="0.25">
      <c r="A510" s="2" t="s">
        <v>2716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2717</v>
      </c>
      <c r="J510" s="7">
        <v>0</v>
      </c>
      <c r="K510" s="7" t="s">
        <v>2718</v>
      </c>
      <c r="L510" s="7" t="s">
        <v>26</v>
      </c>
      <c r="M510" s="7">
        <v>77.569999999999993</v>
      </c>
      <c r="N510" s="7" t="s">
        <v>27</v>
      </c>
      <c r="O510" s="7">
        <f t="shared" si="42"/>
        <v>77.569999999999993</v>
      </c>
      <c r="P510" s="7">
        <f t="shared" si="43"/>
        <v>77.569999999999993</v>
      </c>
      <c r="Q510" s="7" t="s">
        <v>28</v>
      </c>
      <c r="R510" s="8">
        <v>43227</v>
      </c>
      <c r="S510" s="8">
        <v>401768</v>
      </c>
      <c r="T510" s="7"/>
      <c r="U510" s="9">
        <f t="shared" si="39"/>
        <v>0</v>
      </c>
    </row>
    <row r="511" spans="1:21" x14ac:dyDescent="0.25">
      <c r="A511" s="2" t="s">
        <v>2719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2720</v>
      </c>
      <c r="J511" s="7">
        <v>0</v>
      </c>
      <c r="K511" s="7" t="s">
        <v>2721</v>
      </c>
      <c r="L511" s="7" t="s">
        <v>26</v>
      </c>
      <c r="M511" s="7">
        <v>10.75</v>
      </c>
      <c r="N511" s="7" t="s">
        <v>27</v>
      </c>
      <c r="O511" s="7">
        <f t="shared" si="42"/>
        <v>10.75</v>
      </c>
      <c r="P511" s="7">
        <f t="shared" si="43"/>
        <v>10.75</v>
      </c>
      <c r="Q511" s="7" t="s">
        <v>28</v>
      </c>
      <c r="R511" s="8">
        <v>42016</v>
      </c>
      <c r="S511" s="8">
        <v>401768</v>
      </c>
      <c r="T511" s="7"/>
      <c r="U511" s="9">
        <f t="shared" si="39"/>
        <v>0</v>
      </c>
    </row>
    <row r="512" spans="1:21" x14ac:dyDescent="0.25">
      <c r="A512" s="2" t="s">
        <v>2722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2723</v>
      </c>
      <c r="J512" s="7">
        <v>0</v>
      </c>
      <c r="K512" s="7" t="s">
        <v>2724</v>
      </c>
      <c r="L512" s="7" t="s">
        <v>26</v>
      </c>
      <c r="M512" s="7">
        <v>2000</v>
      </c>
      <c r="N512" s="7" t="s">
        <v>27</v>
      </c>
      <c r="O512" s="7">
        <f t="shared" si="42"/>
        <v>2000</v>
      </c>
      <c r="P512" s="7">
        <f t="shared" si="43"/>
        <v>2000</v>
      </c>
      <c r="Q512" s="7" t="s">
        <v>28</v>
      </c>
      <c r="R512" s="8">
        <v>41716</v>
      </c>
      <c r="S512" s="8">
        <v>401768</v>
      </c>
      <c r="T512" s="7"/>
      <c r="U512" s="9">
        <f t="shared" si="39"/>
        <v>0</v>
      </c>
    </row>
    <row r="513" spans="1:21" x14ac:dyDescent="0.25">
      <c r="A513" s="2" t="s">
        <v>189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4700</v>
      </c>
      <c r="H513" s="7" t="s">
        <v>4701</v>
      </c>
      <c r="I513" s="7" t="s">
        <v>4705</v>
      </c>
      <c r="J513" s="7">
        <v>0</v>
      </c>
      <c r="K513" s="7" t="s">
        <v>4706</v>
      </c>
      <c r="L513" s="7" t="s">
        <v>26</v>
      </c>
      <c r="M513" s="7">
        <v>57.14</v>
      </c>
      <c r="N513" s="7" t="s">
        <v>27</v>
      </c>
      <c r="O513" s="7">
        <f t="shared" si="42"/>
        <v>57.14</v>
      </c>
      <c r="P513" s="7">
        <f t="shared" si="43"/>
        <v>57.14</v>
      </c>
      <c r="Q513" s="7" t="s">
        <v>28</v>
      </c>
      <c r="R513" s="8">
        <v>44856</v>
      </c>
      <c r="S513" s="8">
        <v>401768</v>
      </c>
      <c r="T513" s="7"/>
      <c r="U513" s="9">
        <f t="shared" si="39"/>
        <v>0</v>
      </c>
    </row>
    <row r="514" spans="1:21" x14ac:dyDescent="0.25">
      <c r="A514" s="2" t="s">
        <v>4707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4708</v>
      </c>
      <c r="J514" s="7">
        <v>0</v>
      </c>
      <c r="K514" s="7" t="s">
        <v>4709</v>
      </c>
      <c r="L514" s="7" t="s">
        <v>26</v>
      </c>
      <c r="M514" s="7">
        <v>43.51</v>
      </c>
      <c r="N514" s="7" t="s">
        <v>27</v>
      </c>
      <c r="O514" s="7">
        <f t="shared" si="42"/>
        <v>43.51</v>
      </c>
      <c r="P514" s="7">
        <f t="shared" si="43"/>
        <v>43.51</v>
      </c>
      <c r="Q514" s="7" t="s">
        <v>28</v>
      </c>
      <c r="R514" s="8">
        <v>44856</v>
      </c>
      <c r="S514" s="8">
        <v>401768</v>
      </c>
      <c r="T514" s="7"/>
      <c r="U514" s="9">
        <f t="shared" si="39"/>
        <v>0</v>
      </c>
    </row>
    <row r="515" spans="1:21" x14ac:dyDescent="0.25">
      <c r="A515" s="2" t="s">
        <v>626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4710</v>
      </c>
      <c r="J515" s="7">
        <v>0</v>
      </c>
      <c r="K515" s="7" t="s">
        <v>4711</v>
      </c>
      <c r="L515" s="7" t="s">
        <v>26</v>
      </c>
      <c r="M515" s="7">
        <v>6.11</v>
      </c>
      <c r="N515" s="7" t="s">
        <v>27</v>
      </c>
      <c r="O515" s="7">
        <f t="shared" si="42"/>
        <v>6.11</v>
      </c>
      <c r="P515" s="7">
        <f t="shared" si="43"/>
        <v>6.11</v>
      </c>
      <c r="Q515" s="7" t="s">
        <v>28</v>
      </c>
      <c r="R515" s="8">
        <v>44856</v>
      </c>
      <c r="S515" s="8">
        <v>401768</v>
      </c>
      <c r="T515" s="7"/>
      <c r="U515" s="9">
        <f t="shared" ref="U515:U578" si="44">T515*P515/100000</f>
        <v>0</v>
      </c>
    </row>
    <row r="516" spans="1:21" x14ac:dyDescent="0.25">
      <c r="A516" s="2" t="s">
        <v>2617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4712</v>
      </c>
      <c r="J516" s="7">
        <v>0</v>
      </c>
      <c r="K516" s="7" t="s">
        <v>4713</v>
      </c>
      <c r="L516" s="7" t="s">
        <v>26</v>
      </c>
      <c r="M516" s="7">
        <v>86</v>
      </c>
      <c r="N516" s="7" t="s">
        <v>27</v>
      </c>
      <c r="O516" s="7">
        <f t="shared" si="42"/>
        <v>86</v>
      </c>
      <c r="P516" s="7">
        <f t="shared" si="43"/>
        <v>86</v>
      </c>
      <c r="Q516" s="7" t="s">
        <v>28</v>
      </c>
      <c r="R516" s="8">
        <v>44856</v>
      </c>
      <c r="S516" s="8">
        <v>401768</v>
      </c>
      <c r="T516" s="7"/>
      <c r="U516" s="9">
        <f t="shared" si="44"/>
        <v>0</v>
      </c>
    </row>
    <row r="517" spans="1:21" x14ac:dyDescent="0.25">
      <c r="A517" s="2" t="s">
        <v>2942</v>
      </c>
      <c r="B517" s="6">
        <v>44861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6442</v>
      </c>
      <c r="J517" s="7">
        <v>0</v>
      </c>
      <c r="K517" s="7" t="s">
        <v>6443</v>
      </c>
      <c r="L517" s="7" t="s">
        <v>26</v>
      </c>
      <c r="M517" s="7">
        <v>613309.19999999995</v>
      </c>
      <c r="N517" s="7" t="s">
        <v>27</v>
      </c>
      <c r="O517" s="7">
        <f t="shared" si="42"/>
        <v>613309.19999999995</v>
      </c>
      <c r="P517" s="7">
        <f t="shared" si="43"/>
        <v>613309.19999999995</v>
      </c>
      <c r="Q517" s="7" t="s">
        <v>28</v>
      </c>
      <c r="R517" s="8">
        <v>44861</v>
      </c>
      <c r="S517" s="8">
        <v>401768</v>
      </c>
      <c r="T517" s="7"/>
      <c r="U517" s="9">
        <f t="shared" si="44"/>
        <v>0</v>
      </c>
    </row>
    <row r="518" spans="1:21" x14ac:dyDescent="0.25">
      <c r="A518" s="2" t="s">
        <v>6859</v>
      </c>
      <c r="B518" s="6">
        <v>45294</v>
      </c>
      <c r="C518" s="7" t="s">
        <v>20</v>
      </c>
      <c r="D518" s="7" t="s">
        <v>21</v>
      </c>
      <c r="E518" s="7" t="s">
        <v>28</v>
      </c>
      <c r="F518" s="7" t="s">
        <v>28</v>
      </c>
      <c r="G518" s="7" t="s">
        <v>4700</v>
      </c>
      <c r="H518" s="7" t="s">
        <v>4701</v>
      </c>
      <c r="I518" s="7" t="s">
        <v>7006</v>
      </c>
      <c r="J518" s="7">
        <v>0</v>
      </c>
      <c r="K518" s="7" t="s">
        <v>7007</v>
      </c>
      <c r="L518" s="7" t="s">
        <v>49</v>
      </c>
      <c r="M518" s="7">
        <v>5800</v>
      </c>
      <c r="N518" s="7" t="s">
        <v>27</v>
      </c>
      <c r="O518" s="7">
        <f t="shared" si="42"/>
        <v>5800</v>
      </c>
      <c r="P518" s="7">
        <f t="shared" si="43"/>
        <v>5800</v>
      </c>
      <c r="Q518" s="7" t="s">
        <v>28</v>
      </c>
      <c r="R518" s="8">
        <v>45294</v>
      </c>
      <c r="S518" s="8">
        <v>401768</v>
      </c>
      <c r="T518" s="7"/>
      <c r="U518" s="9">
        <f t="shared" si="44"/>
        <v>0</v>
      </c>
    </row>
    <row r="519" spans="1:21" x14ac:dyDescent="0.25">
      <c r="A519" s="2" t="s">
        <v>6856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7008</v>
      </c>
      <c r="J519" s="7">
        <v>0</v>
      </c>
      <c r="K519" s="7" t="s">
        <v>7009</v>
      </c>
      <c r="L519" s="7" t="s">
        <v>49</v>
      </c>
      <c r="M519" s="7">
        <v>15300</v>
      </c>
      <c r="N519" s="7" t="s">
        <v>27</v>
      </c>
      <c r="O519" s="7">
        <f t="shared" si="42"/>
        <v>15300</v>
      </c>
      <c r="P519" s="7">
        <f t="shared" si="43"/>
        <v>15300</v>
      </c>
      <c r="Q519" s="7" t="s">
        <v>28</v>
      </c>
      <c r="R519" s="8">
        <v>45294</v>
      </c>
      <c r="S519" s="8">
        <v>401768</v>
      </c>
      <c r="T519" s="7"/>
      <c r="U519" s="9">
        <f t="shared" si="44"/>
        <v>0</v>
      </c>
    </row>
    <row r="520" spans="1:21" x14ac:dyDescent="0.25">
      <c r="A520" s="2" t="s">
        <v>1310</v>
      </c>
      <c r="B520" s="6">
        <v>43959</v>
      </c>
      <c r="C520" s="7" t="s">
        <v>20</v>
      </c>
      <c r="D520" s="7" t="s">
        <v>21</v>
      </c>
      <c r="E520" s="7" t="s">
        <v>20</v>
      </c>
      <c r="F520" s="7" t="s">
        <v>21</v>
      </c>
      <c r="G520" s="7" t="s">
        <v>2780</v>
      </c>
      <c r="H520" s="7" t="s">
        <v>2781</v>
      </c>
      <c r="I520" s="7" t="s">
        <v>2782</v>
      </c>
      <c r="J520" s="7">
        <v>0</v>
      </c>
      <c r="K520" s="7" t="s">
        <v>2783</v>
      </c>
      <c r="L520" s="7" t="s">
        <v>26</v>
      </c>
      <c r="M520" s="7">
        <v>1.1599999999999999</v>
      </c>
      <c r="N520" s="7" t="s">
        <v>619</v>
      </c>
      <c r="O520" s="7">
        <v>95</v>
      </c>
      <c r="P520" s="7">
        <f t="shared" ref="P520:P557" si="45">O520*M520</f>
        <v>110.19999999999999</v>
      </c>
      <c r="Q520" s="7" t="s">
        <v>28</v>
      </c>
      <c r="R520" s="8">
        <v>46170</v>
      </c>
      <c r="S520" s="8">
        <v>401768</v>
      </c>
      <c r="T520" s="7"/>
      <c r="U520" s="9">
        <f t="shared" si="44"/>
        <v>0</v>
      </c>
    </row>
    <row r="521" spans="1:21" x14ac:dyDescent="0.25">
      <c r="A521" s="2" t="s">
        <v>1313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2784</v>
      </c>
      <c r="J521" s="7">
        <v>0</v>
      </c>
      <c r="K521" s="7" t="s">
        <v>2785</v>
      </c>
      <c r="L521" s="7" t="s">
        <v>26</v>
      </c>
      <c r="M521" s="7">
        <v>2.8</v>
      </c>
      <c r="N521" s="7" t="s">
        <v>619</v>
      </c>
      <c r="O521" s="7">
        <v>95</v>
      </c>
      <c r="P521" s="7">
        <f t="shared" si="45"/>
        <v>266</v>
      </c>
      <c r="Q521" s="7" t="s">
        <v>28</v>
      </c>
      <c r="R521" s="8">
        <v>46170</v>
      </c>
      <c r="S521" s="8">
        <v>401768</v>
      </c>
      <c r="T521" s="7"/>
      <c r="U521" s="9">
        <f t="shared" si="44"/>
        <v>0</v>
      </c>
    </row>
    <row r="522" spans="1:21" x14ac:dyDescent="0.25">
      <c r="A522" s="2" t="s">
        <v>2786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2787</v>
      </c>
      <c r="J522" s="7">
        <v>0</v>
      </c>
      <c r="K522" s="7" t="s">
        <v>2788</v>
      </c>
      <c r="L522" s="7" t="s">
        <v>26</v>
      </c>
      <c r="M522" s="7">
        <v>0.94</v>
      </c>
      <c r="N522" s="7" t="s">
        <v>619</v>
      </c>
      <c r="O522" s="7">
        <v>95</v>
      </c>
      <c r="P522" s="7">
        <f t="shared" si="45"/>
        <v>89.3</v>
      </c>
      <c r="Q522" s="7" t="s">
        <v>28</v>
      </c>
      <c r="R522" s="8">
        <v>46170</v>
      </c>
      <c r="S522" s="8">
        <v>401768</v>
      </c>
      <c r="T522" s="7"/>
      <c r="U522" s="9">
        <f t="shared" si="44"/>
        <v>0</v>
      </c>
    </row>
    <row r="523" spans="1:21" x14ac:dyDescent="0.25">
      <c r="A523" s="2" t="s">
        <v>2789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2790</v>
      </c>
      <c r="J523" s="7">
        <v>0</v>
      </c>
      <c r="K523" s="7" t="s">
        <v>2791</v>
      </c>
      <c r="L523" s="7" t="s">
        <v>26</v>
      </c>
      <c r="M523" s="7">
        <v>2.8</v>
      </c>
      <c r="N523" s="7" t="s">
        <v>619</v>
      </c>
      <c r="O523" s="7">
        <v>95</v>
      </c>
      <c r="P523" s="7">
        <f t="shared" si="45"/>
        <v>266</v>
      </c>
      <c r="Q523" s="7" t="s">
        <v>28</v>
      </c>
      <c r="R523" s="8">
        <v>46139</v>
      </c>
      <c r="S523" s="8">
        <v>401768</v>
      </c>
      <c r="T523" s="7"/>
      <c r="U523" s="9">
        <f t="shared" si="44"/>
        <v>0</v>
      </c>
    </row>
    <row r="524" spans="1:21" x14ac:dyDescent="0.25">
      <c r="A524" s="2" t="s">
        <v>2949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2950</v>
      </c>
      <c r="H524" s="7" t="s">
        <v>2951</v>
      </c>
      <c r="I524" s="7" t="s">
        <v>2952</v>
      </c>
      <c r="J524" s="7">
        <v>0</v>
      </c>
      <c r="K524" s="7" t="s">
        <v>2953</v>
      </c>
      <c r="L524" s="7" t="s">
        <v>26</v>
      </c>
      <c r="M524" s="7">
        <v>57.88</v>
      </c>
      <c r="N524" s="7" t="s">
        <v>27</v>
      </c>
      <c r="O524" s="7">
        <f t="shared" ref="O524:O551" si="46">M524</f>
        <v>57.88</v>
      </c>
      <c r="P524" s="7">
        <f t="shared" ref="P524:P551" si="47">O524</f>
        <v>57.88</v>
      </c>
      <c r="Q524" s="7" t="s">
        <v>28</v>
      </c>
      <c r="R524" s="8">
        <v>42181</v>
      </c>
      <c r="S524" s="8">
        <v>401768</v>
      </c>
      <c r="T524" s="7"/>
      <c r="U524" s="9">
        <f t="shared" si="44"/>
        <v>0</v>
      </c>
    </row>
    <row r="525" spans="1:21" x14ac:dyDescent="0.25">
      <c r="A525" s="2" t="s">
        <v>2954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2955</v>
      </c>
      <c r="J525" s="7">
        <v>0</v>
      </c>
      <c r="K525" s="7" t="s">
        <v>2956</v>
      </c>
      <c r="L525" s="7" t="s">
        <v>26</v>
      </c>
      <c r="M525" s="7">
        <v>54.78</v>
      </c>
      <c r="N525" s="7" t="s">
        <v>27</v>
      </c>
      <c r="O525" s="7">
        <f t="shared" si="46"/>
        <v>54.78</v>
      </c>
      <c r="P525" s="7">
        <f t="shared" si="47"/>
        <v>54.78</v>
      </c>
      <c r="Q525" s="7" t="s">
        <v>28</v>
      </c>
      <c r="R525" s="8">
        <v>41717</v>
      </c>
      <c r="S525" s="8">
        <v>401768</v>
      </c>
      <c r="T525" s="7"/>
      <c r="U525" s="9">
        <f t="shared" si="44"/>
        <v>0</v>
      </c>
    </row>
    <row r="526" spans="1:21" x14ac:dyDescent="0.25">
      <c r="A526" s="2" t="s">
        <v>3080</v>
      </c>
      <c r="B526" s="6">
        <v>44021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5690</v>
      </c>
      <c r="H526" s="7" t="s">
        <v>5691</v>
      </c>
      <c r="I526" s="7" t="s">
        <v>5692</v>
      </c>
      <c r="J526" s="7">
        <v>0</v>
      </c>
      <c r="K526" s="7" t="s">
        <v>5693</v>
      </c>
      <c r="L526" s="7" t="s">
        <v>26</v>
      </c>
      <c r="M526" s="7">
        <v>236.12</v>
      </c>
      <c r="N526" s="7" t="s">
        <v>27</v>
      </c>
      <c r="O526" s="7">
        <f t="shared" si="46"/>
        <v>236.12</v>
      </c>
      <c r="P526" s="7">
        <f t="shared" si="47"/>
        <v>236.12</v>
      </c>
      <c r="Q526" s="7" t="s">
        <v>28</v>
      </c>
      <c r="R526" s="8">
        <v>46144</v>
      </c>
      <c r="S526" s="8">
        <v>401768</v>
      </c>
      <c r="T526" s="7">
        <v>24064</v>
      </c>
      <c r="U526" s="9">
        <f t="shared" si="44"/>
        <v>56.819916799999994</v>
      </c>
    </row>
    <row r="527" spans="1:21" x14ac:dyDescent="0.25">
      <c r="A527" s="2" t="s">
        <v>2866</v>
      </c>
      <c r="B527" s="6">
        <v>44539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6158</v>
      </c>
      <c r="J527" s="7">
        <v>0</v>
      </c>
      <c r="K527" s="7" t="s">
        <v>6159</v>
      </c>
      <c r="L527" s="7" t="s">
        <v>26</v>
      </c>
      <c r="M527" s="7">
        <v>53.15</v>
      </c>
      <c r="N527" s="7" t="s">
        <v>27</v>
      </c>
      <c r="O527" s="7">
        <f t="shared" si="46"/>
        <v>53.15</v>
      </c>
      <c r="P527" s="7">
        <f t="shared" si="47"/>
        <v>53.15</v>
      </c>
      <c r="Q527" s="7" t="s">
        <v>28</v>
      </c>
      <c r="R527" s="8">
        <v>46144</v>
      </c>
      <c r="S527" s="8">
        <v>401768</v>
      </c>
      <c r="T527" s="7">
        <v>9360</v>
      </c>
      <c r="U527" s="9">
        <f t="shared" si="44"/>
        <v>4.9748400000000004</v>
      </c>
    </row>
    <row r="528" spans="1:21" x14ac:dyDescent="0.25">
      <c r="A528" s="2" t="s">
        <v>6177</v>
      </c>
      <c r="B528" s="6">
        <v>44572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6178</v>
      </c>
      <c r="J528" s="7">
        <v>0</v>
      </c>
      <c r="K528" s="7" t="s">
        <v>6179</v>
      </c>
      <c r="L528" s="7" t="s">
        <v>26</v>
      </c>
      <c r="M528" s="7">
        <v>267.93</v>
      </c>
      <c r="N528" s="7" t="s">
        <v>27</v>
      </c>
      <c r="O528" s="7">
        <f t="shared" si="46"/>
        <v>267.93</v>
      </c>
      <c r="P528" s="7">
        <f t="shared" si="47"/>
        <v>267.93</v>
      </c>
      <c r="Q528" s="7" t="s">
        <v>28</v>
      </c>
      <c r="R528" s="8">
        <v>46144</v>
      </c>
      <c r="S528" s="8">
        <v>401768</v>
      </c>
      <c r="T528" s="7">
        <v>1924</v>
      </c>
      <c r="U528" s="9">
        <f t="shared" si="44"/>
        <v>5.1549731999999997</v>
      </c>
    </row>
    <row r="529" spans="1:21" x14ac:dyDescent="0.25">
      <c r="A529" s="2" t="s">
        <v>3059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6180</v>
      </c>
      <c r="J529" s="7">
        <v>0</v>
      </c>
      <c r="K529" s="7" t="s">
        <v>6181</v>
      </c>
      <c r="L529" s="7" t="s">
        <v>26</v>
      </c>
      <c r="M529" s="7">
        <v>592.5</v>
      </c>
      <c r="N529" s="7" t="s">
        <v>27</v>
      </c>
      <c r="O529" s="7">
        <f t="shared" si="46"/>
        <v>592.5</v>
      </c>
      <c r="P529" s="7">
        <f t="shared" si="47"/>
        <v>592.5</v>
      </c>
      <c r="Q529" s="7" t="s">
        <v>28</v>
      </c>
      <c r="R529" s="8">
        <v>44740</v>
      </c>
      <c r="S529" s="8">
        <v>401768</v>
      </c>
      <c r="T529" s="7"/>
      <c r="U529" s="9">
        <f t="shared" si="44"/>
        <v>0</v>
      </c>
    </row>
    <row r="530" spans="1:21" x14ac:dyDescent="0.25">
      <c r="A530" s="2" t="s">
        <v>6228</v>
      </c>
      <c r="B530" s="6">
        <v>44614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6229</v>
      </c>
      <c r="J530" s="7">
        <v>0</v>
      </c>
      <c r="K530" s="7" t="s">
        <v>6230</v>
      </c>
      <c r="L530" s="7" t="s">
        <v>26</v>
      </c>
      <c r="M530" s="7">
        <v>37.1</v>
      </c>
      <c r="N530" s="7" t="s">
        <v>27</v>
      </c>
      <c r="O530" s="7">
        <f t="shared" si="46"/>
        <v>37.1</v>
      </c>
      <c r="P530" s="7">
        <f t="shared" si="47"/>
        <v>37.1</v>
      </c>
      <c r="Q530" s="7" t="s">
        <v>28</v>
      </c>
      <c r="R530" s="8">
        <v>46144</v>
      </c>
      <c r="S530" s="8">
        <v>401768</v>
      </c>
      <c r="T530" s="7">
        <v>74140</v>
      </c>
      <c r="U530" s="9">
        <f t="shared" si="44"/>
        <v>27.505939999999999</v>
      </c>
    </row>
    <row r="531" spans="1:21" x14ac:dyDescent="0.25">
      <c r="A531" s="2" t="s">
        <v>3760</v>
      </c>
      <c r="B531" s="6">
        <v>44786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6403</v>
      </c>
      <c r="J531" s="7">
        <v>0</v>
      </c>
      <c r="K531" s="7" t="s">
        <v>6404</v>
      </c>
      <c r="L531" s="7" t="s">
        <v>26</v>
      </c>
      <c r="M531" s="7">
        <v>348.2</v>
      </c>
      <c r="N531" s="7" t="s">
        <v>27</v>
      </c>
      <c r="O531" s="7">
        <f t="shared" si="46"/>
        <v>348.2</v>
      </c>
      <c r="P531" s="7">
        <f t="shared" si="47"/>
        <v>348.2</v>
      </c>
      <c r="Q531" s="7" t="s">
        <v>28</v>
      </c>
      <c r="R531" s="8">
        <v>44786</v>
      </c>
      <c r="S531" s="8">
        <v>401768</v>
      </c>
      <c r="T531" s="7"/>
      <c r="U531" s="9">
        <f t="shared" si="44"/>
        <v>0</v>
      </c>
    </row>
    <row r="532" spans="1:21" x14ac:dyDescent="0.25">
      <c r="A532" s="2" t="s">
        <v>4608</v>
      </c>
      <c r="B532" s="6">
        <v>44797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6408</v>
      </c>
      <c r="J532" s="7">
        <v>0</v>
      </c>
      <c r="K532" s="7" t="s">
        <v>6409</v>
      </c>
      <c r="L532" s="7" t="s">
        <v>26</v>
      </c>
      <c r="M532" s="7">
        <v>995</v>
      </c>
      <c r="N532" s="7" t="s">
        <v>27</v>
      </c>
      <c r="O532" s="7">
        <f t="shared" si="46"/>
        <v>995</v>
      </c>
      <c r="P532" s="7">
        <f t="shared" si="47"/>
        <v>995</v>
      </c>
      <c r="Q532" s="7" t="s">
        <v>28</v>
      </c>
      <c r="R532" s="8">
        <v>44797</v>
      </c>
      <c r="S532" s="8">
        <v>401768</v>
      </c>
      <c r="T532" s="7"/>
      <c r="U532" s="9">
        <f t="shared" si="44"/>
        <v>0</v>
      </c>
    </row>
    <row r="533" spans="1:21" x14ac:dyDescent="0.25">
      <c r="A533" s="2" t="s">
        <v>1423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6410</v>
      </c>
      <c r="J533" s="7">
        <v>0</v>
      </c>
      <c r="K533" s="7" t="s">
        <v>6411</v>
      </c>
      <c r="L533" s="7" t="s">
        <v>26</v>
      </c>
      <c r="M533" s="7">
        <v>627</v>
      </c>
      <c r="N533" s="7" t="s">
        <v>27</v>
      </c>
      <c r="O533" s="7">
        <f t="shared" si="46"/>
        <v>627</v>
      </c>
      <c r="P533" s="7">
        <f t="shared" si="47"/>
        <v>627</v>
      </c>
      <c r="Q533" s="7" t="s">
        <v>28</v>
      </c>
      <c r="R533" s="8">
        <v>44862</v>
      </c>
      <c r="S533" s="8">
        <v>401768</v>
      </c>
      <c r="T533" s="7"/>
      <c r="U533" s="9">
        <f t="shared" si="44"/>
        <v>0</v>
      </c>
    </row>
    <row r="534" spans="1:21" x14ac:dyDescent="0.25">
      <c r="A534" s="2" t="s">
        <v>3693</v>
      </c>
      <c r="B534" s="6">
        <v>44959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6526</v>
      </c>
      <c r="J534" s="7">
        <v>0</v>
      </c>
      <c r="K534" s="7" t="s">
        <v>6527</v>
      </c>
      <c r="L534" s="7" t="s">
        <v>26</v>
      </c>
      <c r="M534" s="7">
        <v>51.51</v>
      </c>
      <c r="N534" s="7" t="s">
        <v>27</v>
      </c>
      <c r="O534" s="7">
        <f t="shared" si="46"/>
        <v>51.51</v>
      </c>
      <c r="P534" s="7">
        <f t="shared" si="47"/>
        <v>51.51</v>
      </c>
      <c r="Q534" s="7" t="s">
        <v>28</v>
      </c>
      <c r="R534" s="8">
        <v>46144</v>
      </c>
      <c r="S534" s="8">
        <v>401768</v>
      </c>
      <c r="T534" s="7">
        <v>25392</v>
      </c>
      <c r="U534" s="9">
        <f t="shared" si="44"/>
        <v>13.079419199999998</v>
      </c>
    </row>
    <row r="535" spans="1:21" x14ac:dyDescent="0.25">
      <c r="A535" s="2" t="s">
        <v>6613</v>
      </c>
      <c r="B535" s="6">
        <v>45045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6614</v>
      </c>
      <c r="J535" s="7">
        <v>0</v>
      </c>
      <c r="K535" s="7" t="s">
        <v>6615</v>
      </c>
      <c r="L535" s="7" t="s">
        <v>26</v>
      </c>
      <c r="M535" s="7">
        <v>570.16999999999996</v>
      </c>
      <c r="N535" s="7" t="s">
        <v>27</v>
      </c>
      <c r="O535" s="7">
        <f t="shared" si="46"/>
        <v>570.16999999999996</v>
      </c>
      <c r="P535" s="7">
        <f t="shared" si="47"/>
        <v>570.16999999999996</v>
      </c>
      <c r="Q535" s="7" t="s">
        <v>28</v>
      </c>
      <c r="R535" s="8">
        <v>46144</v>
      </c>
      <c r="S535" s="8">
        <v>401768</v>
      </c>
      <c r="T535" s="7">
        <v>12320</v>
      </c>
      <c r="U535" s="9">
        <f t="shared" si="44"/>
        <v>70.24494399999999</v>
      </c>
    </row>
    <row r="536" spans="1:21" x14ac:dyDescent="0.25">
      <c r="A536" s="2" t="s">
        <v>6682</v>
      </c>
      <c r="B536" s="6">
        <v>45096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6683</v>
      </c>
      <c r="J536" s="7">
        <v>0</v>
      </c>
      <c r="K536" s="7" t="s">
        <v>6684</v>
      </c>
      <c r="L536" s="7" t="s">
        <v>26</v>
      </c>
      <c r="M536" s="7">
        <v>81.400000000000006</v>
      </c>
      <c r="N536" s="7" t="s">
        <v>27</v>
      </c>
      <c r="O536" s="7">
        <f t="shared" si="46"/>
        <v>81.400000000000006</v>
      </c>
      <c r="P536" s="7">
        <f t="shared" si="47"/>
        <v>81.400000000000006</v>
      </c>
      <c r="Q536" s="7" t="s">
        <v>28</v>
      </c>
      <c r="R536" s="8">
        <v>45302</v>
      </c>
      <c r="S536" s="8">
        <v>401768</v>
      </c>
      <c r="T536" s="7"/>
      <c r="U536" s="9">
        <f t="shared" si="44"/>
        <v>0</v>
      </c>
    </row>
    <row r="537" spans="1:21" x14ac:dyDescent="0.25">
      <c r="A537" s="2" t="s">
        <v>6685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6686</v>
      </c>
      <c r="J537" s="7">
        <v>0</v>
      </c>
      <c r="K537" s="7" t="s">
        <v>6687</v>
      </c>
      <c r="L537" s="7" t="s">
        <v>26</v>
      </c>
      <c r="M537" s="7">
        <v>62.64</v>
      </c>
      <c r="N537" s="7" t="s">
        <v>27</v>
      </c>
      <c r="O537" s="7">
        <f t="shared" si="46"/>
        <v>62.64</v>
      </c>
      <c r="P537" s="7">
        <f t="shared" si="47"/>
        <v>62.64</v>
      </c>
      <c r="Q537" s="7" t="s">
        <v>28</v>
      </c>
      <c r="R537" s="8">
        <v>46144</v>
      </c>
      <c r="S537" s="8">
        <v>401768</v>
      </c>
      <c r="T537" s="7">
        <v>34615</v>
      </c>
      <c r="U537" s="9">
        <f t="shared" si="44"/>
        <v>21.682836000000002</v>
      </c>
    </row>
    <row r="538" spans="1:21" x14ac:dyDescent="0.25">
      <c r="A538" s="2" t="s">
        <v>3827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6688</v>
      </c>
      <c r="J538" s="7">
        <v>0</v>
      </c>
      <c r="K538" s="7" t="s">
        <v>6689</v>
      </c>
      <c r="L538" s="7" t="s">
        <v>26</v>
      </c>
      <c r="M538" s="7">
        <v>89.16</v>
      </c>
      <c r="N538" s="7" t="s">
        <v>27</v>
      </c>
      <c r="O538" s="7">
        <f t="shared" si="46"/>
        <v>89.16</v>
      </c>
      <c r="P538" s="7">
        <f t="shared" si="47"/>
        <v>89.16</v>
      </c>
      <c r="Q538" s="7" t="s">
        <v>28</v>
      </c>
      <c r="R538" s="8">
        <v>46144</v>
      </c>
      <c r="S538" s="8">
        <v>401768</v>
      </c>
      <c r="T538" s="7">
        <v>23884</v>
      </c>
      <c r="U538" s="9">
        <f t="shared" si="44"/>
        <v>21.294974400000001</v>
      </c>
    </row>
    <row r="539" spans="1:21" x14ac:dyDescent="0.25">
      <c r="A539" s="2" t="s">
        <v>6874</v>
      </c>
      <c r="B539" s="6">
        <v>45227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6916</v>
      </c>
      <c r="J539" s="7">
        <v>0</v>
      </c>
      <c r="K539" s="7" t="s">
        <v>6917</v>
      </c>
      <c r="L539" s="7" t="s">
        <v>26</v>
      </c>
      <c r="M539" s="7">
        <v>99.44</v>
      </c>
      <c r="N539" s="7" t="s">
        <v>27</v>
      </c>
      <c r="O539" s="7">
        <f t="shared" si="46"/>
        <v>99.44</v>
      </c>
      <c r="P539" s="7">
        <f t="shared" si="47"/>
        <v>99.44</v>
      </c>
      <c r="Q539" s="7" t="s">
        <v>28</v>
      </c>
      <c r="R539" s="8">
        <v>46144</v>
      </c>
      <c r="S539" s="8">
        <v>401768</v>
      </c>
      <c r="T539" s="7">
        <v>11477</v>
      </c>
      <c r="U539" s="9">
        <f t="shared" si="44"/>
        <v>11.412728799999998</v>
      </c>
    </row>
    <row r="540" spans="1:21" x14ac:dyDescent="0.25">
      <c r="A540" s="2" t="s">
        <v>6865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6918</v>
      </c>
      <c r="J540" s="7">
        <v>0</v>
      </c>
      <c r="K540" s="7" t="s">
        <v>6919</v>
      </c>
      <c r="L540" s="7" t="s">
        <v>26</v>
      </c>
      <c r="M540" s="7">
        <v>716.49</v>
      </c>
      <c r="N540" s="7" t="s">
        <v>27</v>
      </c>
      <c r="O540" s="7">
        <f t="shared" si="46"/>
        <v>716.49</v>
      </c>
      <c r="P540" s="7">
        <f t="shared" si="47"/>
        <v>716.49</v>
      </c>
      <c r="Q540" s="7" t="s">
        <v>28</v>
      </c>
      <c r="R540" s="8">
        <v>46144</v>
      </c>
      <c r="S540" s="8">
        <v>401768</v>
      </c>
      <c r="T540" s="7">
        <v>1180</v>
      </c>
      <c r="U540" s="9">
        <f t="shared" si="44"/>
        <v>8.4545820000000003</v>
      </c>
    </row>
    <row r="541" spans="1:21" x14ac:dyDescent="0.25">
      <c r="A541" s="2" t="s">
        <v>6864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6920</v>
      </c>
      <c r="J541" s="7">
        <v>0</v>
      </c>
      <c r="K541" s="7" t="s">
        <v>6921</v>
      </c>
      <c r="L541" s="7" t="s">
        <v>26</v>
      </c>
      <c r="M541" s="7">
        <v>325.44</v>
      </c>
      <c r="N541" s="7" t="s">
        <v>27</v>
      </c>
      <c r="O541" s="7">
        <f t="shared" si="46"/>
        <v>325.44</v>
      </c>
      <c r="P541" s="7">
        <f t="shared" si="47"/>
        <v>325.44</v>
      </c>
      <c r="Q541" s="7" t="s">
        <v>28</v>
      </c>
      <c r="R541" s="8">
        <v>46144</v>
      </c>
      <c r="S541" s="8">
        <v>401768</v>
      </c>
      <c r="T541" s="7">
        <v>2007</v>
      </c>
      <c r="U541" s="9">
        <f t="shared" si="44"/>
        <v>6.5315807999999995</v>
      </c>
    </row>
    <row r="542" spans="1:21" x14ac:dyDescent="0.25">
      <c r="A542" s="2" t="s">
        <v>6990</v>
      </c>
      <c r="B542" s="6">
        <v>45525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7242</v>
      </c>
      <c r="J542" s="7">
        <v>0</v>
      </c>
      <c r="K542" s="7" t="s">
        <v>6919</v>
      </c>
      <c r="L542" s="7" t="s">
        <v>26</v>
      </c>
      <c r="M542" s="7">
        <v>50</v>
      </c>
      <c r="N542" s="7" t="s">
        <v>27</v>
      </c>
      <c r="O542" s="7">
        <f t="shared" si="46"/>
        <v>50</v>
      </c>
      <c r="P542" s="7">
        <f t="shared" si="47"/>
        <v>50</v>
      </c>
      <c r="Q542" s="7" t="s">
        <v>28</v>
      </c>
      <c r="R542" s="8">
        <v>46036</v>
      </c>
      <c r="S542" s="8">
        <v>401768</v>
      </c>
      <c r="T542" s="7"/>
      <c r="U542" s="9">
        <f t="shared" si="44"/>
        <v>0</v>
      </c>
    </row>
    <row r="543" spans="1:21" x14ac:dyDescent="0.25">
      <c r="A543" s="2" t="s">
        <v>6933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7243</v>
      </c>
      <c r="J543" s="7">
        <v>0</v>
      </c>
      <c r="K543" s="7" t="s">
        <v>7244</v>
      </c>
      <c r="L543" s="7" t="s">
        <v>26</v>
      </c>
      <c r="M543" s="7">
        <v>50</v>
      </c>
      <c r="N543" s="7" t="s">
        <v>27</v>
      </c>
      <c r="O543" s="7">
        <f t="shared" si="46"/>
        <v>50</v>
      </c>
      <c r="P543" s="7">
        <f t="shared" si="47"/>
        <v>50</v>
      </c>
      <c r="Q543" s="7" t="s">
        <v>28</v>
      </c>
      <c r="R543" s="8">
        <v>46036</v>
      </c>
      <c r="S543" s="8">
        <v>401768</v>
      </c>
      <c r="T543" s="7"/>
      <c r="U543" s="9">
        <f t="shared" si="44"/>
        <v>0</v>
      </c>
    </row>
    <row r="544" spans="1:21" x14ac:dyDescent="0.25">
      <c r="A544" s="2" t="s">
        <v>7039</v>
      </c>
      <c r="B544" s="6">
        <v>45541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7265</v>
      </c>
      <c r="J544" s="7">
        <v>0</v>
      </c>
      <c r="K544" s="7" t="s">
        <v>7266</v>
      </c>
      <c r="L544" s="7" t="s">
        <v>26</v>
      </c>
      <c r="M544" s="7">
        <v>278.95999999999998</v>
      </c>
      <c r="N544" s="7" t="s">
        <v>27</v>
      </c>
      <c r="O544" s="7">
        <f t="shared" si="46"/>
        <v>278.95999999999998</v>
      </c>
      <c r="P544" s="7">
        <f t="shared" si="47"/>
        <v>278.95999999999998</v>
      </c>
      <c r="Q544" s="7" t="s">
        <v>28</v>
      </c>
      <c r="R544" s="8">
        <v>45541</v>
      </c>
      <c r="S544" s="8">
        <v>401768</v>
      </c>
      <c r="T544" s="7"/>
      <c r="U544" s="9">
        <f t="shared" si="44"/>
        <v>0</v>
      </c>
    </row>
    <row r="545" spans="1:21" x14ac:dyDescent="0.25">
      <c r="A545" s="2" t="s">
        <v>7061</v>
      </c>
      <c r="B545" s="6">
        <v>45583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7316</v>
      </c>
      <c r="J545" s="7">
        <v>0</v>
      </c>
      <c r="K545" s="7" t="s">
        <v>7317</v>
      </c>
      <c r="L545" s="7" t="s">
        <v>26</v>
      </c>
      <c r="M545" s="7">
        <v>337.09</v>
      </c>
      <c r="N545" s="7" t="s">
        <v>27</v>
      </c>
      <c r="O545" s="7">
        <f t="shared" si="46"/>
        <v>337.09</v>
      </c>
      <c r="P545" s="7">
        <f t="shared" si="47"/>
        <v>337.09</v>
      </c>
      <c r="Q545" s="7" t="s">
        <v>28</v>
      </c>
      <c r="R545" s="8">
        <v>46144</v>
      </c>
      <c r="S545" s="8">
        <v>401768</v>
      </c>
      <c r="T545" s="7">
        <v>10480</v>
      </c>
      <c r="U545" s="9">
        <f t="shared" si="44"/>
        <v>35.327031999999996</v>
      </c>
    </row>
    <row r="546" spans="1:21" x14ac:dyDescent="0.25">
      <c r="A546" s="2" t="s">
        <v>7093</v>
      </c>
      <c r="B546" s="6">
        <v>45666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7384</v>
      </c>
      <c r="J546" s="7">
        <v>0</v>
      </c>
      <c r="K546" s="7" t="s">
        <v>7385</v>
      </c>
      <c r="L546" s="7" t="s">
        <v>26</v>
      </c>
      <c r="M546" s="7">
        <v>278.95999999999998</v>
      </c>
      <c r="N546" s="7" t="s">
        <v>27</v>
      </c>
      <c r="O546" s="7">
        <f t="shared" si="46"/>
        <v>278.95999999999998</v>
      </c>
      <c r="P546" s="7">
        <f t="shared" si="47"/>
        <v>278.95999999999998</v>
      </c>
      <c r="Q546" s="7" t="s">
        <v>28</v>
      </c>
      <c r="R546" s="8">
        <v>45666</v>
      </c>
      <c r="S546" s="8">
        <v>401768</v>
      </c>
      <c r="T546" s="7"/>
      <c r="U546" s="9">
        <f t="shared" si="44"/>
        <v>0</v>
      </c>
    </row>
    <row r="547" spans="1:21" x14ac:dyDescent="0.25">
      <c r="A547" s="2" t="s">
        <v>7209</v>
      </c>
      <c r="B547" s="6">
        <v>45754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7459</v>
      </c>
      <c r="J547" s="7">
        <v>0</v>
      </c>
      <c r="K547" s="7" t="s">
        <v>7460</v>
      </c>
      <c r="L547" s="7" t="s">
        <v>26</v>
      </c>
      <c r="M547" s="7">
        <v>279.70999999999998</v>
      </c>
      <c r="N547" s="7" t="s">
        <v>27</v>
      </c>
      <c r="O547" s="7">
        <f t="shared" si="46"/>
        <v>279.70999999999998</v>
      </c>
      <c r="P547" s="7">
        <f t="shared" si="47"/>
        <v>279.70999999999998</v>
      </c>
      <c r="Q547" s="7" t="s">
        <v>28</v>
      </c>
      <c r="R547" s="8">
        <v>45754</v>
      </c>
      <c r="S547" s="8">
        <v>401768</v>
      </c>
      <c r="T547" s="7"/>
      <c r="U547" s="9">
        <f t="shared" si="44"/>
        <v>0</v>
      </c>
    </row>
    <row r="548" spans="1:21" x14ac:dyDescent="0.25">
      <c r="A548" s="2" t="s">
        <v>7227</v>
      </c>
      <c r="B548" s="6">
        <v>45793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7481</v>
      </c>
      <c r="J548" s="7">
        <v>0</v>
      </c>
      <c r="K548" s="7" t="s">
        <v>7482</v>
      </c>
      <c r="L548" s="7" t="s">
        <v>26</v>
      </c>
      <c r="M548" s="7">
        <v>100</v>
      </c>
      <c r="N548" s="7" t="s">
        <v>27</v>
      </c>
      <c r="O548" s="7">
        <f t="shared" si="46"/>
        <v>100</v>
      </c>
      <c r="P548" s="7">
        <f t="shared" si="47"/>
        <v>100</v>
      </c>
      <c r="Q548" s="7" t="s">
        <v>28</v>
      </c>
      <c r="R548" s="8">
        <v>45793</v>
      </c>
      <c r="S548" s="8">
        <v>401768</v>
      </c>
      <c r="T548" s="7"/>
      <c r="U548" s="9">
        <f t="shared" si="44"/>
        <v>0</v>
      </c>
    </row>
    <row r="549" spans="1:21" x14ac:dyDescent="0.25">
      <c r="A549" s="2" t="s">
        <v>7336</v>
      </c>
      <c r="B549" s="6">
        <v>46030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7594</v>
      </c>
      <c r="J549" s="7">
        <v>0</v>
      </c>
      <c r="K549" s="7" t="s">
        <v>7595</v>
      </c>
      <c r="L549" s="7" t="s">
        <v>26</v>
      </c>
      <c r="M549" s="7">
        <v>325.47000000000003</v>
      </c>
      <c r="N549" s="7" t="s">
        <v>27</v>
      </c>
      <c r="O549" s="7">
        <f t="shared" si="46"/>
        <v>325.47000000000003</v>
      </c>
      <c r="P549" s="7">
        <f t="shared" si="47"/>
        <v>325.47000000000003</v>
      </c>
      <c r="Q549" s="7" t="s">
        <v>28</v>
      </c>
      <c r="R549" s="8">
        <v>46030</v>
      </c>
      <c r="S549" s="8">
        <v>401768</v>
      </c>
      <c r="T549" s="7"/>
      <c r="U549" s="9">
        <f t="shared" si="44"/>
        <v>0</v>
      </c>
    </row>
    <row r="550" spans="1:21" x14ac:dyDescent="0.25">
      <c r="A550" s="2" t="s">
        <v>7415</v>
      </c>
      <c r="B550" s="6">
        <v>46093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7652</v>
      </c>
      <c r="J550" s="7">
        <v>0</v>
      </c>
      <c r="K550" s="7" t="s">
        <v>7653</v>
      </c>
      <c r="L550" s="7" t="s">
        <v>26</v>
      </c>
      <c r="M550" s="7">
        <v>296.51</v>
      </c>
      <c r="N550" s="7" t="s">
        <v>27</v>
      </c>
      <c r="O550" s="7">
        <f t="shared" si="46"/>
        <v>296.51</v>
      </c>
      <c r="P550" s="7">
        <f t="shared" si="47"/>
        <v>296.51</v>
      </c>
      <c r="Q550" s="7" t="s">
        <v>28</v>
      </c>
      <c r="R550" s="8">
        <v>46144</v>
      </c>
      <c r="S550" s="8">
        <v>401768</v>
      </c>
      <c r="T550" s="7">
        <v>10480</v>
      </c>
      <c r="U550" s="9">
        <f t="shared" si="44"/>
        <v>31.074247999999997</v>
      </c>
    </row>
    <row r="551" spans="1:21" x14ac:dyDescent="0.25">
      <c r="A551" s="2" t="s">
        <v>7102</v>
      </c>
      <c r="B551" s="6">
        <v>45681</v>
      </c>
      <c r="C551" s="7" t="s">
        <v>20</v>
      </c>
      <c r="D551" s="7" t="s">
        <v>21</v>
      </c>
      <c r="E551" s="7" t="s">
        <v>28</v>
      </c>
      <c r="F551" s="7" t="s">
        <v>28</v>
      </c>
      <c r="G551" s="7" t="s">
        <v>7390</v>
      </c>
      <c r="H551" s="7" t="s">
        <v>7391</v>
      </c>
      <c r="I551" s="7" t="s">
        <v>7353</v>
      </c>
      <c r="J551" s="7">
        <v>0</v>
      </c>
      <c r="K551" s="7" t="s">
        <v>7354</v>
      </c>
      <c r="L551" s="7" t="s">
        <v>26</v>
      </c>
      <c r="M551" s="7">
        <v>550</v>
      </c>
      <c r="N551" s="7" t="s">
        <v>27</v>
      </c>
      <c r="O551" s="7">
        <f t="shared" si="46"/>
        <v>550</v>
      </c>
      <c r="P551" s="7">
        <f t="shared" si="47"/>
        <v>550</v>
      </c>
      <c r="Q551" s="7" t="s">
        <v>28</v>
      </c>
      <c r="R551" s="8">
        <v>45681</v>
      </c>
      <c r="S551" s="8">
        <v>401768</v>
      </c>
      <c r="T551" s="7"/>
      <c r="U551" s="9">
        <f t="shared" si="44"/>
        <v>0</v>
      </c>
    </row>
    <row r="552" spans="1:21" x14ac:dyDescent="0.25">
      <c r="A552" s="2" t="s">
        <v>3037</v>
      </c>
      <c r="B552" s="6">
        <v>43959</v>
      </c>
      <c r="C552" s="7" t="s">
        <v>20</v>
      </c>
      <c r="D552" s="7" t="s">
        <v>21</v>
      </c>
      <c r="E552" s="7" t="s">
        <v>20</v>
      </c>
      <c r="F552" s="7" t="s">
        <v>21</v>
      </c>
      <c r="G552" s="7" t="s">
        <v>3038</v>
      </c>
      <c r="H552" s="7" t="s">
        <v>3039</v>
      </c>
      <c r="I552" s="7" t="s">
        <v>1009</v>
      </c>
      <c r="J552" s="7">
        <v>0</v>
      </c>
      <c r="K552" s="7" t="s">
        <v>1010</v>
      </c>
      <c r="L552" s="7" t="s">
        <v>26</v>
      </c>
      <c r="M552" s="7">
        <v>0.81200000000000006</v>
      </c>
      <c r="N552" s="7" t="s">
        <v>160</v>
      </c>
      <c r="O552" s="7">
        <v>110</v>
      </c>
      <c r="P552" s="7">
        <f t="shared" si="45"/>
        <v>89.320000000000007</v>
      </c>
      <c r="Q552" s="7" t="s">
        <v>28</v>
      </c>
      <c r="R552" s="8">
        <v>43421</v>
      </c>
      <c r="S552" s="8">
        <v>401768</v>
      </c>
      <c r="T552" s="7"/>
      <c r="U552" s="9">
        <f t="shared" si="44"/>
        <v>0</v>
      </c>
    </row>
    <row r="553" spans="1:21" x14ac:dyDescent="0.25">
      <c r="A553" s="2" t="s">
        <v>3040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1012</v>
      </c>
      <c r="J553" s="7">
        <v>0</v>
      </c>
      <c r="K553" s="7" t="s">
        <v>1013</v>
      </c>
      <c r="L553" s="7" t="s">
        <v>26</v>
      </c>
      <c r="M553" s="7">
        <v>1.56</v>
      </c>
      <c r="N553" s="7" t="s">
        <v>160</v>
      </c>
      <c r="O553" s="7">
        <v>110</v>
      </c>
      <c r="P553" s="7">
        <f t="shared" si="45"/>
        <v>171.6</v>
      </c>
      <c r="Q553" s="7" t="s">
        <v>28</v>
      </c>
      <c r="R553" s="8">
        <v>43421</v>
      </c>
      <c r="S553" s="8">
        <v>401768</v>
      </c>
      <c r="T553" s="7"/>
      <c r="U553" s="9">
        <f t="shared" si="44"/>
        <v>0</v>
      </c>
    </row>
    <row r="554" spans="1:21" x14ac:dyDescent="0.25">
      <c r="A554" s="2" t="s">
        <v>3041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1015</v>
      </c>
      <c r="J554" s="7">
        <v>0</v>
      </c>
      <c r="K554" s="7" t="s">
        <v>1016</v>
      </c>
      <c r="L554" s="7" t="s">
        <v>26</v>
      </c>
      <c r="M554" s="7">
        <v>1.18</v>
      </c>
      <c r="N554" s="7" t="s">
        <v>160</v>
      </c>
      <c r="O554" s="7">
        <v>110</v>
      </c>
      <c r="P554" s="7">
        <f t="shared" si="45"/>
        <v>129.79999999999998</v>
      </c>
      <c r="Q554" s="7" t="s">
        <v>28</v>
      </c>
      <c r="R554" s="8">
        <v>43421</v>
      </c>
      <c r="S554" s="8">
        <v>401768</v>
      </c>
      <c r="T554" s="7"/>
      <c r="U554" s="9">
        <f t="shared" si="44"/>
        <v>0</v>
      </c>
    </row>
    <row r="555" spans="1:21" x14ac:dyDescent="0.25">
      <c r="A555" s="2" t="s">
        <v>3042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1018</v>
      </c>
      <c r="J555" s="7">
        <v>0</v>
      </c>
      <c r="K555" s="7" t="s">
        <v>1019</v>
      </c>
      <c r="L555" s="7" t="s">
        <v>26</v>
      </c>
      <c r="M555" s="7">
        <v>3.2</v>
      </c>
      <c r="N555" s="7" t="s">
        <v>160</v>
      </c>
      <c r="O555" s="7">
        <v>110</v>
      </c>
      <c r="P555" s="7">
        <f t="shared" si="45"/>
        <v>352</v>
      </c>
      <c r="Q555" s="7" t="s">
        <v>28</v>
      </c>
      <c r="R555" s="8">
        <v>43712</v>
      </c>
      <c r="S555" s="8">
        <v>401768</v>
      </c>
      <c r="T555" s="7"/>
      <c r="U555" s="9">
        <f t="shared" si="44"/>
        <v>0</v>
      </c>
    </row>
    <row r="556" spans="1:21" x14ac:dyDescent="0.25">
      <c r="A556" s="2" t="s">
        <v>6958</v>
      </c>
      <c r="B556" s="6">
        <v>45477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7174</v>
      </c>
      <c r="H556" s="7" t="s">
        <v>7175</v>
      </c>
      <c r="I556" s="7" t="s">
        <v>7176</v>
      </c>
      <c r="J556" s="7">
        <v>0</v>
      </c>
      <c r="K556" s="7" t="s">
        <v>7177</v>
      </c>
      <c r="L556" s="7" t="s">
        <v>26</v>
      </c>
      <c r="M556" s="7">
        <v>153.72</v>
      </c>
      <c r="N556" s="7" t="s">
        <v>27</v>
      </c>
      <c r="O556" s="7">
        <f>M556</f>
        <v>153.72</v>
      </c>
      <c r="P556" s="7">
        <f>O556</f>
        <v>153.72</v>
      </c>
      <c r="Q556" s="7" t="s">
        <v>28</v>
      </c>
      <c r="R556" s="8">
        <v>46142</v>
      </c>
      <c r="S556" s="8">
        <v>401768</v>
      </c>
      <c r="T556" s="7">
        <v>16000</v>
      </c>
      <c r="U556" s="9">
        <f t="shared" si="44"/>
        <v>24.595199999999998</v>
      </c>
    </row>
    <row r="557" spans="1:21" x14ac:dyDescent="0.25">
      <c r="A557" s="2" t="s">
        <v>6790</v>
      </c>
      <c r="B557" s="6">
        <v>45133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1595</v>
      </c>
      <c r="H557" s="7" t="s">
        <v>1596</v>
      </c>
      <c r="I557" s="7" t="s">
        <v>6791</v>
      </c>
      <c r="J557" s="7">
        <v>0</v>
      </c>
      <c r="K557" s="7" t="s">
        <v>6792</v>
      </c>
      <c r="L557" s="7" t="s">
        <v>26</v>
      </c>
      <c r="M557" s="7">
        <v>35</v>
      </c>
      <c r="N557" s="7" t="s">
        <v>619</v>
      </c>
      <c r="O557" s="7">
        <v>95</v>
      </c>
      <c r="P557" s="7">
        <f t="shared" si="45"/>
        <v>3325</v>
      </c>
      <c r="Q557" s="7" t="s">
        <v>28</v>
      </c>
      <c r="R557" s="8">
        <v>45133</v>
      </c>
      <c r="S557" s="8">
        <v>401768</v>
      </c>
      <c r="T557" s="7"/>
      <c r="U557" s="9">
        <f t="shared" si="44"/>
        <v>0</v>
      </c>
    </row>
    <row r="558" spans="1:21" x14ac:dyDescent="0.25">
      <c r="A558" s="2" t="s">
        <v>5739</v>
      </c>
      <c r="B558" s="6">
        <v>44053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5740</v>
      </c>
      <c r="H558" s="7" t="s">
        <v>5741</v>
      </c>
      <c r="I558" s="7" t="s">
        <v>5742</v>
      </c>
      <c r="J558" s="7">
        <v>0</v>
      </c>
      <c r="K558" s="7" t="s">
        <v>5743</v>
      </c>
      <c r="L558" s="7" t="s">
        <v>26</v>
      </c>
      <c r="M558" s="7">
        <v>153</v>
      </c>
      <c r="N558" s="7" t="s">
        <v>27</v>
      </c>
      <c r="O558" s="7">
        <f t="shared" ref="O558:O610" si="48">M558</f>
        <v>153</v>
      </c>
      <c r="P558" s="7">
        <f t="shared" ref="P558:P610" si="49">O558</f>
        <v>153</v>
      </c>
      <c r="Q558" s="7" t="s">
        <v>28</v>
      </c>
      <c r="R558" s="8">
        <v>44345</v>
      </c>
      <c r="S558" s="8">
        <v>401768</v>
      </c>
      <c r="T558" s="7">
        <v>1656</v>
      </c>
      <c r="U558" s="9">
        <f t="shared" si="44"/>
        <v>2.5336799999999999</v>
      </c>
    </row>
    <row r="559" spans="1:21" x14ac:dyDescent="0.25">
      <c r="A559" s="2" t="s">
        <v>3105</v>
      </c>
      <c r="B559" s="6">
        <v>44054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2283</v>
      </c>
      <c r="J559" s="7">
        <v>0</v>
      </c>
      <c r="K559" s="7" t="s">
        <v>2284</v>
      </c>
      <c r="L559" s="7" t="s">
        <v>26</v>
      </c>
      <c r="M559" s="7">
        <v>145</v>
      </c>
      <c r="N559" s="7" t="s">
        <v>27</v>
      </c>
      <c r="O559" s="7">
        <f t="shared" si="48"/>
        <v>145</v>
      </c>
      <c r="P559" s="7">
        <f t="shared" si="49"/>
        <v>145</v>
      </c>
      <c r="Q559" s="7" t="s">
        <v>28</v>
      </c>
      <c r="R559" s="8">
        <v>44810</v>
      </c>
      <c r="S559" s="8">
        <v>401768</v>
      </c>
      <c r="T559" s="7"/>
      <c r="U559" s="9">
        <f t="shared" si="44"/>
        <v>0</v>
      </c>
    </row>
    <row r="560" spans="1:21" x14ac:dyDescent="0.25">
      <c r="A560" s="2" t="s">
        <v>6428</v>
      </c>
      <c r="B560" s="6">
        <v>44810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2286</v>
      </c>
      <c r="J560" s="7">
        <v>0</v>
      </c>
      <c r="K560" s="7" t="s">
        <v>2287</v>
      </c>
      <c r="L560" s="7" t="s">
        <v>26</v>
      </c>
      <c r="M560" s="7">
        <v>145</v>
      </c>
      <c r="N560" s="7" t="s">
        <v>27</v>
      </c>
      <c r="O560" s="7">
        <f t="shared" si="48"/>
        <v>145</v>
      </c>
      <c r="P560" s="7">
        <f t="shared" si="49"/>
        <v>145</v>
      </c>
      <c r="Q560" s="7" t="s">
        <v>28</v>
      </c>
      <c r="R560" s="8">
        <v>44810</v>
      </c>
      <c r="S560" s="8">
        <v>401768</v>
      </c>
      <c r="T560" s="7"/>
      <c r="U560" s="9">
        <f t="shared" si="44"/>
        <v>0</v>
      </c>
    </row>
    <row r="561" spans="1:21" x14ac:dyDescent="0.25">
      <c r="A561" s="2" t="s">
        <v>7063</v>
      </c>
      <c r="B561" s="6">
        <v>45603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7343</v>
      </c>
      <c r="J561" s="7">
        <v>0</v>
      </c>
      <c r="K561" s="7" t="s">
        <v>7344</v>
      </c>
      <c r="L561" s="7" t="s">
        <v>26</v>
      </c>
      <c r="M561" s="7">
        <v>210</v>
      </c>
      <c r="N561" s="7" t="s">
        <v>27</v>
      </c>
      <c r="O561" s="7">
        <f t="shared" si="48"/>
        <v>210</v>
      </c>
      <c r="P561" s="7">
        <f t="shared" si="49"/>
        <v>210</v>
      </c>
      <c r="Q561" s="7" t="s">
        <v>28</v>
      </c>
      <c r="R561" s="8">
        <v>45603</v>
      </c>
      <c r="S561" s="8">
        <v>401768</v>
      </c>
      <c r="T561" s="7">
        <v>2386</v>
      </c>
      <c r="U561" s="9">
        <f t="shared" si="44"/>
        <v>5.0106000000000002</v>
      </c>
    </row>
    <row r="562" spans="1:21" x14ac:dyDescent="0.25">
      <c r="A562" s="2" t="s">
        <v>7065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7345</v>
      </c>
      <c r="J562" s="7">
        <v>0</v>
      </c>
      <c r="K562" s="7" t="s">
        <v>7346</v>
      </c>
      <c r="L562" s="7" t="s">
        <v>26</v>
      </c>
      <c r="M562" s="7">
        <v>210</v>
      </c>
      <c r="N562" s="7" t="s">
        <v>27</v>
      </c>
      <c r="O562" s="7">
        <f t="shared" si="48"/>
        <v>210</v>
      </c>
      <c r="P562" s="7">
        <f t="shared" si="49"/>
        <v>210</v>
      </c>
      <c r="Q562" s="7" t="s">
        <v>28</v>
      </c>
      <c r="R562" s="8">
        <v>45603</v>
      </c>
      <c r="S562" s="8">
        <v>401768</v>
      </c>
      <c r="T562" s="7">
        <v>432</v>
      </c>
      <c r="U562" s="9">
        <f t="shared" si="44"/>
        <v>0.90720000000000001</v>
      </c>
    </row>
    <row r="563" spans="1:21" x14ac:dyDescent="0.25">
      <c r="A563" s="2" t="s">
        <v>7267</v>
      </c>
      <c r="B563" s="6">
        <v>45803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7483</v>
      </c>
      <c r="J563" s="7">
        <v>0</v>
      </c>
      <c r="K563" s="7" t="s">
        <v>7484</v>
      </c>
      <c r="L563" s="7" t="s">
        <v>26</v>
      </c>
      <c r="M563" s="7">
        <v>10</v>
      </c>
      <c r="N563" s="7" t="s">
        <v>27</v>
      </c>
      <c r="O563" s="7">
        <f t="shared" si="48"/>
        <v>10</v>
      </c>
      <c r="P563" s="7">
        <f t="shared" si="49"/>
        <v>10</v>
      </c>
      <c r="Q563" s="7" t="s">
        <v>28</v>
      </c>
      <c r="R563" s="8">
        <v>45803</v>
      </c>
      <c r="S563" s="8">
        <v>401768</v>
      </c>
      <c r="T563" s="7"/>
      <c r="U563" s="9">
        <f t="shared" si="44"/>
        <v>0</v>
      </c>
    </row>
    <row r="564" spans="1:21" x14ac:dyDescent="0.25">
      <c r="A564" s="2" t="s">
        <v>7245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7485</v>
      </c>
      <c r="J564" s="7">
        <v>0</v>
      </c>
      <c r="K564" s="7" t="s">
        <v>7486</v>
      </c>
      <c r="L564" s="7" t="s">
        <v>26</v>
      </c>
      <c r="M564" s="7">
        <v>10</v>
      </c>
      <c r="N564" s="7" t="s">
        <v>27</v>
      </c>
      <c r="O564" s="7">
        <f t="shared" si="48"/>
        <v>10</v>
      </c>
      <c r="P564" s="7">
        <f t="shared" si="49"/>
        <v>10</v>
      </c>
      <c r="Q564" s="7" t="s">
        <v>28</v>
      </c>
      <c r="R564" s="8">
        <v>45803</v>
      </c>
      <c r="S564" s="8">
        <v>401768</v>
      </c>
      <c r="T564" s="7"/>
      <c r="U564" s="9">
        <f t="shared" si="44"/>
        <v>0</v>
      </c>
    </row>
    <row r="565" spans="1:21" x14ac:dyDescent="0.25">
      <c r="A565" s="2" t="s">
        <v>7250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7487</v>
      </c>
      <c r="J565" s="7">
        <v>0</v>
      </c>
      <c r="K565" s="7" t="s">
        <v>7488</v>
      </c>
      <c r="L565" s="7" t="s">
        <v>26</v>
      </c>
      <c r="M565" s="7">
        <v>10</v>
      </c>
      <c r="N565" s="7" t="s">
        <v>27</v>
      </c>
      <c r="O565" s="7">
        <f t="shared" si="48"/>
        <v>10</v>
      </c>
      <c r="P565" s="7">
        <f t="shared" si="49"/>
        <v>10</v>
      </c>
      <c r="Q565" s="7" t="s">
        <v>28</v>
      </c>
      <c r="R565" s="8">
        <v>45803</v>
      </c>
      <c r="S565" s="8">
        <v>401768</v>
      </c>
      <c r="T565" s="7"/>
      <c r="U565" s="9">
        <f t="shared" si="44"/>
        <v>0</v>
      </c>
    </row>
    <row r="566" spans="1:21" x14ac:dyDescent="0.25">
      <c r="A566" s="2" t="s">
        <v>1586</v>
      </c>
      <c r="B566" s="6">
        <v>43959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3897</v>
      </c>
      <c r="H566" s="7" t="s">
        <v>3898</v>
      </c>
      <c r="I566" s="7" t="s">
        <v>3942</v>
      </c>
      <c r="J566" s="7">
        <v>0</v>
      </c>
      <c r="K566" s="7" t="s">
        <v>3943</v>
      </c>
      <c r="L566" s="7" t="s">
        <v>26</v>
      </c>
      <c r="M566" s="7">
        <v>250</v>
      </c>
      <c r="N566" s="7" t="s">
        <v>27</v>
      </c>
      <c r="O566" s="7">
        <f t="shared" si="48"/>
        <v>250</v>
      </c>
      <c r="P566" s="7">
        <f t="shared" si="49"/>
        <v>250</v>
      </c>
      <c r="Q566" s="7" t="s">
        <v>28</v>
      </c>
      <c r="R566" s="8">
        <v>41639</v>
      </c>
      <c r="S566" s="8">
        <v>401768</v>
      </c>
      <c r="T566" s="7"/>
      <c r="U566" s="9">
        <f t="shared" si="44"/>
        <v>0</v>
      </c>
    </row>
    <row r="567" spans="1:21" x14ac:dyDescent="0.25">
      <c r="A567" s="2" t="s">
        <v>2401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3944</v>
      </c>
      <c r="J567" s="7">
        <v>0</v>
      </c>
      <c r="K567" s="7" t="s">
        <v>3945</v>
      </c>
      <c r="L567" s="7" t="s">
        <v>26</v>
      </c>
      <c r="M567" s="7">
        <v>213</v>
      </c>
      <c r="N567" s="7" t="s">
        <v>27</v>
      </c>
      <c r="O567" s="7">
        <f t="shared" si="48"/>
        <v>213</v>
      </c>
      <c r="P567" s="7">
        <f t="shared" si="49"/>
        <v>213</v>
      </c>
      <c r="Q567" s="7" t="s">
        <v>28</v>
      </c>
      <c r="R567" s="8">
        <v>41639</v>
      </c>
      <c r="S567" s="8">
        <v>401768</v>
      </c>
      <c r="T567" s="7"/>
      <c r="U567" s="9">
        <f t="shared" si="44"/>
        <v>0</v>
      </c>
    </row>
    <row r="568" spans="1:21" x14ac:dyDescent="0.25">
      <c r="A568" s="2" t="s">
        <v>3946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3947</v>
      </c>
      <c r="J568" s="7">
        <v>0</v>
      </c>
      <c r="K568" s="7" t="s">
        <v>3948</v>
      </c>
      <c r="L568" s="7" t="s">
        <v>26</v>
      </c>
      <c r="M568" s="7">
        <v>213</v>
      </c>
      <c r="N568" s="7" t="s">
        <v>27</v>
      </c>
      <c r="O568" s="7">
        <f t="shared" si="48"/>
        <v>213</v>
      </c>
      <c r="P568" s="7">
        <f t="shared" si="49"/>
        <v>213</v>
      </c>
      <c r="Q568" s="7" t="s">
        <v>28</v>
      </c>
      <c r="R568" s="8">
        <v>41639</v>
      </c>
      <c r="S568" s="8">
        <v>401768</v>
      </c>
      <c r="T568" s="7"/>
      <c r="U568" s="9">
        <f t="shared" si="44"/>
        <v>0</v>
      </c>
    </row>
    <row r="569" spans="1:21" x14ac:dyDescent="0.25">
      <c r="A569" s="2" t="s">
        <v>2747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3949</v>
      </c>
      <c r="J569" s="7">
        <v>0</v>
      </c>
      <c r="K569" s="7" t="s">
        <v>3950</v>
      </c>
      <c r="L569" s="7" t="s">
        <v>26</v>
      </c>
      <c r="M569" s="7">
        <v>213</v>
      </c>
      <c r="N569" s="7" t="s">
        <v>27</v>
      </c>
      <c r="O569" s="7">
        <f t="shared" si="48"/>
        <v>213</v>
      </c>
      <c r="P569" s="7">
        <f t="shared" si="49"/>
        <v>213</v>
      </c>
      <c r="Q569" s="7" t="s">
        <v>28</v>
      </c>
      <c r="R569" s="8">
        <v>41696</v>
      </c>
      <c r="S569" s="8">
        <v>401768</v>
      </c>
      <c r="T569" s="7"/>
      <c r="U569" s="9">
        <f t="shared" si="44"/>
        <v>0</v>
      </c>
    </row>
    <row r="570" spans="1:21" x14ac:dyDescent="0.25">
      <c r="A570" s="2" t="s">
        <v>3951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3952</v>
      </c>
      <c r="J570" s="7">
        <v>0</v>
      </c>
      <c r="K570" s="7" t="s">
        <v>3953</v>
      </c>
      <c r="L570" s="7" t="s">
        <v>26</v>
      </c>
      <c r="M570" s="7">
        <v>213</v>
      </c>
      <c r="N570" s="7" t="s">
        <v>27</v>
      </c>
      <c r="O570" s="7">
        <f t="shared" si="48"/>
        <v>213</v>
      </c>
      <c r="P570" s="7">
        <f t="shared" si="49"/>
        <v>213</v>
      </c>
      <c r="Q570" s="7" t="s">
        <v>28</v>
      </c>
      <c r="R570" s="8">
        <v>41723</v>
      </c>
      <c r="S570" s="8">
        <v>401768</v>
      </c>
      <c r="T570" s="7"/>
      <c r="U570" s="9">
        <f t="shared" si="44"/>
        <v>0</v>
      </c>
    </row>
    <row r="571" spans="1:21" x14ac:dyDescent="0.25">
      <c r="A571" s="2" t="s">
        <v>3954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3955</v>
      </c>
      <c r="J571" s="7">
        <v>0</v>
      </c>
      <c r="K571" s="7" t="s">
        <v>3956</v>
      </c>
      <c r="L571" s="7" t="s">
        <v>26</v>
      </c>
      <c r="M571" s="7">
        <v>15</v>
      </c>
      <c r="N571" s="7" t="s">
        <v>27</v>
      </c>
      <c r="O571" s="7">
        <f t="shared" si="48"/>
        <v>15</v>
      </c>
      <c r="P571" s="7">
        <f t="shared" si="49"/>
        <v>15</v>
      </c>
      <c r="Q571" s="7" t="s">
        <v>28</v>
      </c>
      <c r="R571" s="8">
        <v>41639</v>
      </c>
      <c r="S571" s="8">
        <v>401768</v>
      </c>
      <c r="T571" s="7"/>
      <c r="U571" s="9">
        <f t="shared" si="44"/>
        <v>0</v>
      </c>
    </row>
    <row r="572" spans="1:21" x14ac:dyDescent="0.25">
      <c r="A572" s="2" t="s">
        <v>2863</v>
      </c>
      <c r="B572" s="6">
        <v>44526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6146</v>
      </c>
      <c r="H572" s="7" t="s">
        <v>6147</v>
      </c>
      <c r="I572" s="7" t="s">
        <v>241</v>
      </c>
      <c r="J572" s="7">
        <v>0</v>
      </c>
      <c r="K572" s="7" t="s">
        <v>242</v>
      </c>
      <c r="L572" s="7" t="s">
        <v>26</v>
      </c>
      <c r="M572" s="7">
        <v>275</v>
      </c>
      <c r="N572" s="7" t="s">
        <v>27</v>
      </c>
      <c r="O572" s="7">
        <f t="shared" si="48"/>
        <v>275</v>
      </c>
      <c r="P572" s="7">
        <f t="shared" si="49"/>
        <v>275</v>
      </c>
      <c r="Q572" s="7" t="s">
        <v>28</v>
      </c>
      <c r="R572" s="8">
        <v>45710</v>
      </c>
      <c r="S572" s="8">
        <v>401768</v>
      </c>
      <c r="T572" s="7"/>
      <c r="U572" s="9">
        <f t="shared" si="44"/>
        <v>0</v>
      </c>
    </row>
    <row r="573" spans="1:21" x14ac:dyDescent="0.25">
      <c r="A573" s="2" t="s">
        <v>2854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247</v>
      </c>
      <c r="J573" s="7">
        <v>0</v>
      </c>
      <c r="K573" s="7" t="s">
        <v>248</v>
      </c>
      <c r="L573" s="7" t="s">
        <v>26</v>
      </c>
      <c r="M573" s="7">
        <v>78.260000000000005</v>
      </c>
      <c r="N573" s="7" t="s">
        <v>27</v>
      </c>
      <c r="O573" s="7">
        <f t="shared" si="48"/>
        <v>78.260000000000005</v>
      </c>
      <c r="P573" s="7">
        <f t="shared" si="49"/>
        <v>78.260000000000005</v>
      </c>
      <c r="Q573" s="7" t="s">
        <v>28</v>
      </c>
      <c r="R573" s="8">
        <v>45300</v>
      </c>
      <c r="S573" s="8">
        <v>401768</v>
      </c>
      <c r="T573" s="7"/>
      <c r="U573" s="9">
        <f t="shared" si="44"/>
        <v>0</v>
      </c>
    </row>
    <row r="574" spans="1:21" x14ac:dyDescent="0.25">
      <c r="A574" s="2" t="s">
        <v>2848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256</v>
      </c>
      <c r="J574" s="7">
        <v>0</v>
      </c>
      <c r="K574" s="7" t="s">
        <v>257</v>
      </c>
      <c r="L574" s="7" t="s">
        <v>26</v>
      </c>
      <c r="M574" s="7">
        <v>25.99</v>
      </c>
      <c r="N574" s="7" t="s">
        <v>27</v>
      </c>
      <c r="O574" s="7">
        <f t="shared" si="48"/>
        <v>25.99</v>
      </c>
      <c r="P574" s="7">
        <f t="shared" si="49"/>
        <v>25.99</v>
      </c>
      <c r="Q574" s="7" t="s">
        <v>28</v>
      </c>
      <c r="R574" s="8">
        <v>45300</v>
      </c>
      <c r="S574" s="8">
        <v>401768</v>
      </c>
      <c r="T574" s="7"/>
      <c r="U574" s="9">
        <f t="shared" si="44"/>
        <v>0</v>
      </c>
    </row>
    <row r="575" spans="1:21" x14ac:dyDescent="0.25">
      <c r="A575" s="2" t="s">
        <v>2948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259</v>
      </c>
      <c r="J575" s="7">
        <v>0</v>
      </c>
      <c r="K575" s="7" t="s">
        <v>260</v>
      </c>
      <c r="L575" s="7" t="s">
        <v>26</v>
      </c>
      <c r="M575" s="7">
        <v>76.349999999999994</v>
      </c>
      <c r="N575" s="7" t="s">
        <v>27</v>
      </c>
      <c r="O575" s="7">
        <f t="shared" si="48"/>
        <v>76.349999999999994</v>
      </c>
      <c r="P575" s="7">
        <f t="shared" si="49"/>
        <v>76.349999999999994</v>
      </c>
      <c r="Q575" s="7" t="s">
        <v>28</v>
      </c>
      <c r="R575" s="8">
        <v>45300</v>
      </c>
      <c r="S575" s="8">
        <v>401768</v>
      </c>
      <c r="T575" s="7"/>
      <c r="U575" s="9">
        <f t="shared" si="44"/>
        <v>0</v>
      </c>
    </row>
    <row r="576" spans="1:21" x14ac:dyDescent="0.25">
      <c r="A576" s="2" t="s">
        <v>4595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271</v>
      </c>
      <c r="J576" s="7">
        <v>0</v>
      </c>
      <c r="K576" s="7" t="s">
        <v>272</v>
      </c>
      <c r="L576" s="7" t="s">
        <v>26</v>
      </c>
      <c r="M576" s="7">
        <v>319.41000000000003</v>
      </c>
      <c r="N576" s="7" t="s">
        <v>27</v>
      </c>
      <c r="O576" s="7">
        <f t="shared" si="48"/>
        <v>319.41000000000003</v>
      </c>
      <c r="P576" s="7">
        <f t="shared" si="49"/>
        <v>319.41000000000003</v>
      </c>
      <c r="Q576" s="7" t="s">
        <v>28</v>
      </c>
      <c r="R576" s="8">
        <v>44840</v>
      </c>
      <c r="S576" s="8">
        <v>401768</v>
      </c>
      <c r="T576" s="7"/>
      <c r="U576" s="9">
        <f t="shared" si="44"/>
        <v>0</v>
      </c>
    </row>
    <row r="577" spans="1:21" x14ac:dyDescent="0.25">
      <c r="A577" s="2" t="s">
        <v>6148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274</v>
      </c>
      <c r="J577" s="7">
        <v>0</v>
      </c>
      <c r="K577" s="7" t="s">
        <v>275</v>
      </c>
      <c r="L577" s="7" t="s">
        <v>26</v>
      </c>
      <c r="M577" s="7">
        <v>65.27</v>
      </c>
      <c r="N577" s="7" t="s">
        <v>27</v>
      </c>
      <c r="O577" s="7">
        <f t="shared" si="48"/>
        <v>65.27</v>
      </c>
      <c r="P577" s="7">
        <f t="shared" si="49"/>
        <v>65.27</v>
      </c>
      <c r="Q577" s="7" t="s">
        <v>28</v>
      </c>
      <c r="R577" s="8">
        <v>44840</v>
      </c>
      <c r="S577" s="8">
        <v>401768</v>
      </c>
      <c r="T577" s="7"/>
      <c r="U577" s="9">
        <f t="shared" si="44"/>
        <v>0</v>
      </c>
    </row>
    <row r="578" spans="1:21" x14ac:dyDescent="0.25">
      <c r="A578" s="2" t="s">
        <v>867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277</v>
      </c>
      <c r="J578" s="7">
        <v>0</v>
      </c>
      <c r="K578" s="7" t="s">
        <v>278</v>
      </c>
      <c r="L578" s="7" t="s">
        <v>26</v>
      </c>
      <c r="M578" s="7">
        <v>65.27</v>
      </c>
      <c r="N578" s="7" t="s">
        <v>27</v>
      </c>
      <c r="O578" s="7">
        <f t="shared" si="48"/>
        <v>65.27</v>
      </c>
      <c r="P578" s="7">
        <f t="shared" si="49"/>
        <v>65.27</v>
      </c>
      <c r="Q578" s="7" t="s">
        <v>28</v>
      </c>
      <c r="R578" s="8">
        <v>44840</v>
      </c>
      <c r="S578" s="8">
        <v>401768</v>
      </c>
      <c r="T578" s="7"/>
      <c r="U578" s="9">
        <f t="shared" si="44"/>
        <v>0</v>
      </c>
    </row>
    <row r="579" spans="1:21" x14ac:dyDescent="0.25">
      <c r="A579" s="2" t="s">
        <v>2851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286</v>
      </c>
      <c r="J579" s="7">
        <v>0</v>
      </c>
      <c r="K579" s="7" t="s">
        <v>287</v>
      </c>
      <c r="L579" s="7" t="s">
        <v>26</v>
      </c>
      <c r="M579" s="7">
        <v>80.03</v>
      </c>
      <c r="N579" s="7" t="s">
        <v>27</v>
      </c>
      <c r="O579" s="7">
        <f t="shared" si="48"/>
        <v>80.03</v>
      </c>
      <c r="P579" s="7">
        <f t="shared" si="49"/>
        <v>80.03</v>
      </c>
      <c r="Q579" s="7" t="s">
        <v>28</v>
      </c>
      <c r="R579" s="8">
        <v>45300</v>
      </c>
      <c r="S579" s="8">
        <v>401768</v>
      </c>
      <c r="T579" s="7"/>
      <c r="U579" s="9">
        <f t="shared" ref="U579:U642" si="50">T579*P579/100000</f>
        <v>0</v>
      </c>
    </row>
    <row r="580" spans="1:21" x14ac:dyDescent="0.25">
      <c r="A580" s="2" t="s">
        <v>3062</v>
      </c>
      <c r="B580" s="6">
        <v>44566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250</v>
      </c>
      <c r="J580" s="7">
        <v>0</v>
      </c>
      <c r="K580" s="7" t="s">
        <v>251</v>
      </c>
      <c r="L580" s="7" t="s">
        <v>26</v>
      </c>
      <c r="M580" s="7">
        <v>84.14</v>
      </c>
      <c r="N580" s="7" t="s">
        <v>27</v>
      </c>
      <c r="O580" s="7">
        <f t="shared" si="48"/>
        <v>84.14</v>
      </c>
      <c r="P580" s="7">
        <f t="shared" si="49"/>
        <v>84.14</v>
      </c>
      <c r="Q580" s="7" t="s">
        <v>28</v>
      </c>
      <c r="R580" s="8">
        <v>45300</v>
      </c>
      <c r="S580" s="8">
        <v>401768</v>
      </c>
      <c r="T580" s="7"/>
      <c r="U580" s="9">
        <f t="shared" si="50"/>
        <v>0</v>
      </c>
    </row>
    <row r="581" spans="1:21" x14ac:dyDescent="0.25">
      <c r="A581" s="2" t="s">
        <v>6167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253</v>
      </c>
      <c r="J581" s="7">
        <v>0</v>
      </c>
      <c r="K581" s="7" t="s">
        <v>254</v>
      </c>
      <c r="L581" s="7" t="s">
        <v>26</v>
      </c>
      <c r="M581" s="7">
        <v>85.14</v>
      </c>
      <c r="N581" s="7" t="s">
        <v>27</v>
      </c>
      <c r="O581" s="7">
        <f t="shared" si="48"/>
        <v>85.14</v>
      </c>
      <c r="P581" s="7">
        <f t="shared" si="49"/>
        <v>85.14</v>
      </c>
      <c r="Q581" s="7" t="s">
        <v>28</v>
      </c>
      <c r="R581" s="8">
        <v>45300</v>
      </c>
      <c r="S581" s="8">
        <v>401768</v>
      </c>
      <c r="T581" s="7"/>
      <c r="U581" s="9">
        <f t="shared" si="50"/>
        <v>0</v>
      </c>
    </row>
    <row r="582" spans="1:21" x14ac:dyDescent="0.25">
      <c r="A582" s="2" t="s">
        <v>3777</v>
      </c>
      <c r="B582" s="6">
        <v>44658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235</v>
      </c>
      <c r="J582" s="7">
        <v>0</v>
      </c>
      <c r="K582" s="7" t="s">
        <v>236</v>
      </c>
      <c r="L582" s="7" t="s">
        <v>26</v>
      </c>
      <c r="M582" s="7">
        <v>209.8</v>
      </c>
      <c r="N582" s="7" t="s">
        <v>27</v>
      </c>
      <c r="O582" s="7">
        <f t="shared" si="48"/>
        <v>209.8</v>
      </c>
      <c r="P582" s="7">
        <f t="shared" si="49"/>
        <v>209.8</v>
      </c>
      <c r="Q582" s="7" t="s">
        <v>28</v>
      </c>
      <c r="R582" s="8">
        <v>45300</v>
      </c>
      <c r="S582" s="8">
        <v>401768</v>
      </c>
      <c r="T582" s="7"/>
      <c r="U582" s="9">
        <f t="shared" si="50"/>
        <v>0</v>
      </c>
    </row>
    <row r="583" spans="1:21" x14ac:dyDescent="0.25">
      <c r="A583" s="2" t="s">
        <v>6272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238</v>
      </c>
      <c r="J583" s="7">
        <v>0</v>
      </c>
      <c r="K583" s="7" t="s">
        <v>239</v>
      </c>
      <c r="L583" s="7" t="s">
        <v>26</v>
      </c>
      <c r="M583" s="7">
        <v>44.42</v>
      </c>
      <c r="N583" s="7" t="s">
        <v>27</v>
      </c>
      <c r="O583" s="7">
        <f t="shared" si="48"/>
        <v>44.42</v>
      </c>
      <c r="P583" s="7">
        <f t="shared" si="49"/>
        <v>44.42</v>
      </c>
      <c r="Q583" s="7" t="s">
        <v>28</v>
      </c>
      <c r="R583" s="8">
        <v>45300</v>
      </c>
      <c r="S583" s="8">
        <v>401768</v>
      </c>
      <c r="T583" s="7"/>
      <c r="U583" s="9">
        <f t="shared" si="50"/>
        <v>0</v>
      </c>
    </row>
    <row r="584" spans="1:21" x14ac:dyDescent="0.25">
      <c r="A584" s="2" t="s">
        <v>4835</v>
      </c>
      <c r="B584" s="6">
        <v>44776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244</v>
      </c>
      <c r="J584" s="7">
        <v>0</v>
      </c>
      <c r="K584" s="7" t="s">
        <v>245</v>
      </c>
      <c r="L584" s="7" t="s">
        <v>26</v>
      </c>
      <c r="M584" s="7">
        <v>77.19</v>
      </c>
      <c r="N584" s="7" t="s">
        <v>27</v>
      </c>
      <c r="O584" s="7">
        <f t="shared" si="48"/>
        <v>77.19</v>
      </c>
      <c r="P584" s="7">
        <f t="shared" si="49"/>
        <v>77.19</v>
      </c>
      <c r="Q584" s="7" t="s">
        <v>28</v>
      </c>
      <c r="R584" s="8">
        <v>45300</v>
      </c>
      <c r="S584" s="8">
        <v>401768</v>
      </c>
      <c r="T584" s="7"/>
      <c r="U584" s="9">
        <f t="shared" si="50"/>
        <v>0</v>
      </c>
    </row>
    <row r="585" spans="1:21" x14ac:dyDescent="0.25">
      <c r="A585" s="2" t="s">
        <v>4605</v>
      </c>
      <c r="B585" s="6">
        <v>44792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6102</v>
      </c>
      <c r="J585" s="7">
        <v>0</v>
      </c>
      <c r="K585" s="7" t="s">
        <v>6103</v>
      </c>
      <c r="L585" s="7" t="s">
        <v>26</v>
      </c>
      <c r="M585" s="7">
        <v>45500</v>
      </c>
      <c r="N585" s="7" t="s">
        <v>27</v>
      </c>
      <c r="O585" s="7">
        <f t="shared" si="48"/>
        <v>45500</v>
      </c>
      <c r="P585" s="7">
        <f t="shared" si="49"/>
        <v>45500</v>
      </c>
      <c r="Q585" s="7" t="s">
        <v>28</v>
      </c>
      <c r="R585" s="8">
        <v>44840</v>
      </c>
      <c r="S585" s="8">
        <v>401768</v>
      </c>
      <c r="T585" s="7"/>
      <c r="U585" s="9">
        <f t="shared" si="50"/>
        <v>0</v>
      </c>
    </row>
    <row r="586" spans="1:21" x14ac:dyDescent="0.25">
      <c r="A586" s="2" t="s">
        <v>5017</v>
      </c>
      <c r="B586" s="6">
        <v>44832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6442</v>
      </c>
      <c r="J586" s="7">
        <v>0</v>
      </c>
      <c r="K586" s="7" t="s">
        <v>6443</v>
      </c>
      <c r="L586" s="7" t="s">
        <v>26</v>
      </c>
      <c r="M586" s="7">
        <v>143848.4</v>
      </c>
      <c r="N586" s="7" t="s">
        <v>27</v>
      </c>
      <c r="O586" s="7">
        <f t="shared" si="48"/>
        <v>143848.4</v>
      </c>
      <c r="P586" s="7">
        <f t="shared" si="49"/>
        <v>143848.4</v>
      </c>
      <c r="Q586" s="7" t="s">
        <v>28</v>
      </c>
      <c r="R586" s="8">
        <v>44840</v>
      </c>
      <c r="S586" s="8">
        <v>401768</v>
      </c>
      <c r="T586" s="7"/>
      <c r="U586" s="9">
        <f t="shared" si="50"/>
        <v>0</v>
      </c>
    </row>
    <row r="587" spans="1:21" x14ac:dyDescent="0.25">
      <c r="A587" s="2" t="s">
        <v>6809</v>
      </c>
      <c r="B587" s="6">
        <v>45155</v>
      </c>
      <c r="C587" s="7" t="s">
        <v>20</v>
      </c>
      <c r="D587" s="7" t="s">
        <v>21</v>
      </c>
      <c r="E587" s="7" t="s">
        <v>28</v>
      </c>
      <c r="F587" s="7" t="s">
        <v>28</v>
      </c>
      <c r="G587" s="7" t="s">
        <v>6146</v>
      </c>
      <c r="H587" s="7" t="s">
        <v>6147</v>
      </c>
      <c r="I587" s="7" t="s">
        <v>6810</v>
      </c>
      <c r="J587" s="7">
        <v>0</v>
      </c>
      <c r="K587" s="7" t="s">
        <v>6811</v>
      </c>
      <c r="L587" s="7" t="s">
        <v>26</v>
      </c>
      <c r="M587" s="7">
        <v>18180</v>
      </c>
      <c r="N587" s="7" t="s">
        <v>27</v>
      </c>
      <c r="O587" s="7">
        <f t="shared" si="48"/>
        <v>18180</v>
      </c>
      <c r="P587" s="7">
        <f t="shared" si="49"/>
        <v>18180</v>
      </c>
      <c r="Q587" s="7" t="s">
        <v>28</v>
      </c>
      <c r="R587" s="8">
        <v>45155</v>
      </c>
      <c r="S587" s="8">
        <v>401768</v>
      </c>
      <c r="T587" s="7"/>
      <c r="U587" s="9">
        <f t="shared" si="50"/>
        <v>0</v>
      </c>
    </row>
    <row r="588" spans="1:21" x14ac:dyDescent="0.25">
      <c r="A588" s="2" t="s">
        <v>6812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6813</v>
      </c>
      <c r="J588" s="7">
        <v>0</v>
      </c>
      <c r="K588" s="7" t="s">
        <v>6814</v>
      </c>
      <c r="L588" s="7" t="s">
        <v>26</v>
      </c>
      <c r="M588" s="7">
        <v>71802</v>
      </c>
      <c r="N588" s="7" t="s">
        <v>27</v>
      </c>
      <c r="O588" s="7">
        <f t="shared" si="48"/>
        <v>71802</v>
      </c>
      <c r="P588" s="7">
        <f t="shared" si="49"/>
        <v>71802</v>
      </c>
      <c r="Q588" s="7" t="s">
        <v>28</v>
      </c>
      <c r="R588" s="8">
        <v>45155</v>
      </c>
      <c r="S588" s="8">
        <v>401768</v>
      </c>
      <c r="T588" s="7"/>
      <c r="U588" s="9">
        <f t="shared" si="50"/>
        <v>0</v>
      </c>
    </row>
    <row r="589" spans="1:21" x14ac:dyDescent="0.25">
      <c r="A589" s="2" t="s">
        <v>6872</v>
      </c>
      <c r="B589" s="6">
        <v>45285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6993</v>
      </c>
      <c r="J589" s="7">
        <v>0</v>
      </c>
      <c r="K589" s="7" t="s">
        <v>6994</v>
      </c>
      <c r="L589" s="7" t="s">
        <v>49</v>
      </c>
      <c r="M589" s="7">
        <v>33791</v>
      </c>
      <c r="N589" s="7" t="s">
        <v>27</v>
      </c>
      <c r="O589" s="7">
        <f t="shared" si="48"/>
        <v>33791</v>
      </c>
      <c r="P589" s="7">
        <f t="shared" si="49"/>
        <v>33791</v>
      </c>
      <c r="Q589" s="7" t="s">
        <v>28</v>
      </c>
      <c r="R589" s="8">
        <v>45285</v>
      </c>
      <c r="S589" s="8">
        <v>401768</v>
      </c>
      <c r="T589" s="7"/>
      <c r="U589" s="9">
        <f t="shared" si="50"/>
        <v>0</v>
      </c>
    </row>
    <row r="590" spans="1:21" x14ac:dyDescent="0.25">
      <c r="A590" s="2" t="s">
        <v>6866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6995</v>
      </c>
      <c r="J590" s="7">
        <v>0</v>
      </c>
      <c r="K590" s="7" t="s">
        <v>6996</v>
      </c>
      <c r="L590" s="7" t="s">
        <v>49</v>
      </c>
      <c r="M590" s="7">
        <v>82554</v>
      </c>
      <c r="N590" s="7" t="s">
        <v>27</v>
      </c>
      <c r="O590" s="7">
        <f t="shared" si="48"/>
        <v>82554</v>
      </c>
      <c r="P590" s="7">
        <f t="shared" si="49"/>
        <v>82554</v>
      </c>
      <c r="Q590" s="7" t="s">
        <v>28</v>
      </c>
      <c r="R590" s="8">
        <v>45285</v>
      </c>
      <c r="S590" s="8">
        <v>401768</v>
      </c>
      <c r="T590" s="7"/>
      <c r="U590" s="9">
        <f t="shared" si="50"/>
        <v>0</v>
      </c>
    </row>
    <row r="591" spans="1:21" x14ac:dyDescent="0.25">
      <c r="A591" s="2" t="s">
        <v>6873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6997</v>
      </c>
      <c r="J591" s="7">
        <v>0</v>
      </c>
      <c r="K591" s="7" t="s">
        <v>6998</v>
      </c>
      <c r="L591" s="7" t="s">
        <v>49</v>
      </c>
      <c r="M591" s="7">
        <v>23688</v>
      </c>
      <c r="N591" s="7" t="s">
        <v>27</v>
      </c>
      <c r="O591" s="7">
        <f t="shared" si="48"/>
        <v>23688</v>
      </c>
      <c r="P591" s="7">
        <f t="shared" si="49"/>
        <v>23688</v>
      </c>
      <c r="Q591" s="7" t="s">
        <v>28</v>
      </c>
      <c r="R591" s="8">
        <v>45285</v>
      </c>
      <c r="S591" s="8">
        <v>401768</v>
      </c>
      <c r="T591" s="7"/>
      <c r="U591" s="9">
        <f t="shared" si="50"/>
        <v>0</v>
      </c>
    </row>
    <row r="592" spans="1:21" x14ac:dyDescent="0.25">
      <c r="A592" s="2" t="s">
        <v>6861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6999</v>
      </c>
      <c r="J592" s="7">
        <v>0</v>
      </c>
      <c r="K592" s="7" t="s">
        <v>7000</v>
      </c>
      <c r="L592" s="7" t="s">
        <v>49</v>
      </c>
      <c r="M592" s="7">
        <v>56942</v>
      </c>
      <c r="N592" s="7" t="s">
        <v>27</v>
      </c>
      <c r="O592" s="7">
        <f t="shared" si="48"/>
        <v>56942</v>
      </c>
      <c r="P592" s="7">
        <f t="shared" si="49"/>
        <v>56942</v>
      </c>
      <c r="Q592" s="7" t="s">
        <v>28</v>
      </c>
      <c r="R592" s="8">
        <v>45285</v>
      </c>
      <c r="S592" s="8">
        <v>401768</v>
      </c>
      <c r="T592" s="7"/>
      <c r="U592" s="9">
        <f t="shared" si="50"/>
        <v>0</v>
      </c>
    </row>
    <row r="593" spans="1:21" x14ac:dyDescent="0.25">
      <c r="A593" s="2" t="s">
        <v>6888</v>
      </c>
      <c r="B593" s="6">
        <v>45315</v>
      </c>
      <c r="C593" s="7" t="s">
        <v>20</v>
      </c>
      <c r="D593" s="7" t="s">
        <v>21</v>
      </c>
      <c r="E593" s="7" t="s">
        <v>20</v>
      </c>
      <c r="F593" s="7" t="s">
        <v>21</v>
      </c>
      <c r="G593" s="7" t="s">
        <v>6146</v>
      </c>
      <c r="H593" s="7" t="s">
        <v>6147</v>
      </c>
      <c r="I593" s="7" t="s">
        <v>7015</v>
      </c>
      <c r="J593" s="7">
        <v>0</v>
      </c>
      <c r="K593" s="7" t="s">
        <v>7016</v>
      </c>
      <c r="L593" s="7" t="s">
        <v>26</v>
      </c>
      <c r="M593" s="7">
        <v>75</v>
      </c>
      <c r="N593" s="7" t="s">
        <v>27</v>
      </c>
      <c r="O593" s="7">
        <f t="shared" si="48"/>
        <v>75</v>
      </c>
      <c r="P593" s="7">
        <f t="shared" si="49"/>
        <v>75</v>
      </c>
      <c r="Q593" s="7" t="s">
        <v>28</v>
      </c>
      <c r="R593" s="8">
        <v>45315</v>
      </c>
      <c r="S593" s="8">
        <v>401768</v>
      </c>
      <c r="T593" s="7"/>
      <c r="U593" s="9">
        <f t="shared" si="50"/>
        <v>0</v>
      </c>
    </row>
    <row r="594" spans="1:21" x14ac:dyDescent="0.25">
      <c r="A594" s="2" t="s">
        <v>6986</v>
      </c>
      <c r="B594" s="6">
        <v>45493</v>
      </c>
      <c r="C594" s="7" t="s">
        <v>20</v>
      </c>
      <c r="D594" s="7" t="s">
        <v>21</v>
      </c>
      <c r="E594" s="7" t="s">
        <v>28</v>
      </c>
      <c r="F594" s="7" t="s">
        <v>28</v>
      </c>
      <c r="G594" s="7" t="s">
        <v>6146</v>
      </c>
      <c r="H594" s="7" t="s">
        <v>6147</v>
      </c>
      <c r="I594" s="7" t="s">
        <v>7202</v>
      </c>
      <c r="J594" s="7">
        <v>0</v>
      </c>
      <c r="K594" s="7" t="s">
        <v>7203</v>
      </c>
      <c r="L594" s="7" t="s">
        <v>26</v>
      </c>
      <c r="M594" s="7">
        <v>40</v>
      </c>
      <c r="N594" s="7" t="s">
        <v>27</v>
      </c>
      <c r="O594" s="7">
        <f t="shared" si="48"/>
        <v>40</v>
      </c>
      <c r="P594" s="7">
        <f t="shared" si="49"/>
        <v>40</v>
      </c>
      <c r="Q594" s="7" t="s">
        <v>28</v>
      </c>
      <c r="R594" s="8">
        <v>45493</v>
      </c>
      <c r="S594" s="8">
        <v>401768</v>
      </c>
      <c r="T594" s="7"/>
      <c r="U594" s="9">
        <f t="shared" si="50"/>
        <v>0</v>
      </c>
    </row>
    <row r="595" spans="1:21" x14ac:dyDescent="0.25">
      <c r="A595" s="2" t="s">
        <v>6989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7204</v>
      </c>
      <c r="J595" s="7">
        <v>0</v>
      </c>
      <c r="K595" s="7" t="s">
        <v>7205</v>
      </c>
      <c r="L595" s="7" t="s">
        <v>26</v>
      </c>
      <c r="M595" s="7">
        <v>40</v>
      </c>
      <c r="N595" s="7" t="s">
        <v>27</v>
      </c>
      <c r="O595" s="7">
        <f t="shared" si="48"/>
        <v>40</v>
      </c>
      <c r="P595" s="7">
        <f t="shared" si="49"/>
        <v>40</v>
      </c>
      <c r="Q595" s="7" t="s">
        <v>28</v>
      </c>
      <c r="R595" s="8">
        <v>45493</v>
      </c>
      <c r="S595" s="8">
        <v>401768</v>
      </c>
      <c r="T595" s="7"/>
      <c r="U595" s="9">
        <f t="shared" si="50"/>
        <v>0</v>
      </c>
    </row>
    <row r="596" spans="1:21" x14ac:dyDescent="0.25">
      <c r="A596" s="2" t="s">
        <v>7152</v>
      </c>
      <c r="B596" s="6">
        <v>45719</v>
      </c>
      <c r="C596" s="7" t="s">
        <v>20</v>
      </c>
      <c r="D596" s="7" t="s">
        <v>21</v>
      </c>
      <c r="E596" s="7" t="s">
        <v>20</v>
      </c>
      <c r="F596" s="7" t="s">
        <v>21</v>
      </c>
      <c r="G596" s="7" t="s">
        <v>6146</v>
      </c>
      <c r="H596" s="7" t="s">
        <v>6147</v>
      </c>
      <c r="I596" s="7" t="s">
        <v>7394</v>
      </c>
      <c r="J596" s="7">
        <v>0</v>
      </c>
      <c r="K596" s="7" t="s">
        <v>7395</v>
      </c>
      <c r="L596" s="7" t="s">
        <v>26</v>
      </c>
      <c r="M596" s="7">
        <v>40</v>
      </c>
      <c r="N596" s="7" t="s">
        <v>27</v>
      </c>
      <c r="O596" s="7">
        <f t="shared" si="48"/>
        <v>40</v>
      </c>
      <c r="P596" s="7">
        <f t="shared" si="49"/>
        <v>40</v>
      </c>
      <c r="Q596" s="7" t="s">
        <v>28</v>
      </c>
      <c r="R596" s="8">
        <v>45719</v>
      </c>
      <c r="S596" s="8">
        <v>401768</v>
      </c>
      <c r="T596" s="7"/>
      <c r="U596" s="9">
        <f t="shared" si="50"/>
        <v>0</v>
      </c>
    </row>
    <row r="597" spans="1:21" x14ac:dyDescent="0.25">
      <c r="A597" s="2" t="s">
        <v>7158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48"/>
        <v>40</v>
      </c>
      <c r="P597" s="7">
        <f t="shared" si="49"/>
        <v>40</v>
      </c>
      <c r="Q597" s="7" t="s">
        <v>28</v>
      </c>
      <c r="R597" s="8">
        <v>45719</v>
      </c>
      <c r="S597" s="8">
        <v>401768</v>
      </c>
      <c r="T597" s="7"/>
      <c r="U597" s="9">
        <f t="shared" si="50"/>
        <v>0</v>
      </c>
    </row>
    <row r="598" spans="1:21" x14ac:dyDescent="0.25">
      <c r="A598" s="2" t="s">
        <v>7155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7398</v>
      </c>
      <c r="J598" s="7">
        <v>0</v>
      </c>
      <c r="K598" s="7" t="s">
        <v>7399</v>
      </c>
      <c r="L598" s="7" t="s">
        <v>26</v>
      </c>
      <c r="M598" s="7">
        <v>40</v>
      </c>
      <c r="N598" s="7" t="s">
        <v>27</v>
      </c>
      <c r="O598" s="7">
        <f t="shared" si="48"/>
        <v>40</v>
      </c>
      <c r="P598" s="7">
        <f t="shared" si="49"/>
        <v>40</v>
      </c>
      <c r="Q598" s="7" t="s">
        <v>28</v>
      </c>
      <c r="R598" s="8">
        <v>45719</v>
      </c>
      <c r="S598" s="8">
        <v>401768</v>
      </c>
      <c r="T598" s="7"/>
      <c r="U598" s="9">
        <f t="shared" si="50"/>
        <v>0</v>
      </c>
    </row>
    <row r="599" spans="1:21" x14ac:dyDescent="0.25">
      <c r="A599" s="2" t="s">
        <v>7162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48"/>
        <v>40</v>
      </c>
      <c r="P599" s="7">
        <f t="shared" si="49"/>
        <v>40</v>
      </c>
      <c r="Q599" s="7" t="s">
        <v>28</v>
      </c>
      <c r="R599" s="8">
        <v>45719</v>
      </c>
      <c r="S599" s="8">
        <v>401768</v>
      </c>
      <c r="T599" s="7"/>
      <c r="U599" s="9">
        <f t="shared" si="50"/>
        <v>0</v>
      </c>
    </row>
    <row r="600" spans="1:21" x14ac:dyDescent="0.25">
      <c r="A600" s="2" t="s">
        <v>3182</v>
      </c>
      <c r="B600" s="6">
        <v>43959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4044</v>
      </c>
      <c r="H600" s="7" t="s">
        <v>4045</v>
      </c>
      <c r="I600" s="7" t="s">
        <v>4046</v>
      </c>
      <c r="J600" s="7">
        <v>0</v>
      </c>
      <c r="K600" s="7" t="s">
        <v>4047</v>
      </c>
      <c r="L600" s="7" t="s">
        <v>26</v>
      </c>
      <c r="M600" s="7">
        <v>7.55</v>
      </c>
      <c r="N600" s="7" t="s">
        <v>27</v>
      </c>
      <c r="O600" s="7">
        <f t="shared" si="48"/>
        <v>7.55</v>
      </c>
      <c r="P600" s="7">
        <f t="shared" si="49"/>
        <v>7.55</v>
      </c>
      <c r="Q600" s="7" t="s">
        <v>28</v>
      </c>
      <c r="R600" s="8">
        <v>41365</v>
      </c>
      <c r="S600" s="8">
        <v>401768</v>
      </c>
      <c r="T600" s="7"/>
      <c r="U600" s="9">
        <f t="shared" si="50"/>
        <v>0</v>
      </c>
    </row>
    <row r="601" spans="1:21" x14ac:dyDescent="0.25">
      <c r="A601" s="2" t="s">
        <v>4048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4049</v>
      </c>
      <c r="J601" s="7">
        <v>0</v>
      </c>
      <c r="K601" s="7" t="s">
        <v>4050</v>
      </c>
      <c r="L601" s="7" t="s">
        <v>26</v>
      </c>
      <c r="M601" s="7">
        <v>26.3</v>
      </c>
      <c r="N601" s="7" t="s">
        <v>27</v>
      </c>
      <c r="O601" s="7">
        <f t="shared" si="48"/>
        <v>26.3</v>
      </c>
      <c r="P601" s="7">
        <f t="shared" si="49"/>
        <v>26.3</v>
      </c>
      <c r="Q601" s="7" t="s">
        <v>28</v>
      </c>
      <c r="R601" s="8">
        <v>41487</v>
      </c>
      <c r="S601" s="8">
        <v>401768</v>
      </c>
      <c r="T601" s="7"/>
      <c r="U601" s="9">
        <f t="shared" si="50"/>
        <v>0</v>
      </c>
    </row>
    <row r="602" spans="1:21" x14ac:dyDescent="0.25">
      <c r="A602" s="2" t="s">
        <v>4051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4052</v>
      </c>
      <c r="J602" s="7">
        <v>0</v>
      </c>
      <c r="K602" s="7" t="s">
        <v>4053</v>
      </c>
      <c r="L602" s="7" t="s">
        <v>26</v>
      </c>
      <c r="M602" s="7">
        <v>11.11</v>
      </c>
      <c r="N602" s="7" t="s">
        <v>27</v>
      </c>
      <c r="O602" s="7">
        <f t="shared" si="48"/>
        <v>11.11</v>
      </c>
      <c r="P602" s="7">
        <f t="shared" si="49"/>
        <v>11.11</v>
      </c>
      <c r="Q602" s="7" t="s">
        <v>28</v>
      </c>
      <c r="R602" s="8">
        <v>42004</v>
      </c>
      <c r="S602" s="8">
        <v>401768</v>
      </c>
      <c r="T602" s="7"/>
      <c r="U602" s="9">
        <f t="shared" si="50"/>
        <v>0</v>
      </c>
    </row>
    <row r="603" spans="1:21" x14ac:dyDescent="0.25">
      <c r="A603" s="2" t="s">
        <v>2395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4054</v>
      </c>
      <c r="J603" s="7">
        <v>0</v>
      </c>
      <c r="K603" s="7" t="s">
        <v>4055</v>
      </c>
      <c r="L603" s="7" t="s">
        <v>26</v>
      </c>
      <c r="M603" s="7">
        <v>33.79</v>
      </c>
      <c r="N603" s="7" t="s">
        <v>27</v>
      </c>
      <c r="O603" s="7">
        <f t="shared" si="48"/>
        <v>33.79</v>
      </c>
      <c r="P603" s="7">
        <f t="shared" si="49"/>
        <v>33.79</v>
      </c>
      <c r="Q603" s="7" t="s">
        <v>28</v>
      </c>
      <c r="R603" s="8">
        <v>41678</v>
      </c>
      <c r="S603" s="8">
        <v>401768</v>
      </c>
      <c r="T603" s="7"/>
      <c r="U603" s="9">
        <f t="shared" si="50"/>
        <v>0</v>
      </c>
    </row>
    <row r="604" spans="1:21" x14ac:dyDescent="0.25">
      <c r="A604" s="2" t="s">
        <v>1050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4056</v>
      </c>
      <c r="J604" s="7">
        <v>0</v>
      </c>
      <c r="K604" s="7" t="s">
        <v>4057</v>
      </c>
      <c r="L604" s="7" t="s">
        <v>26</v>
      </c>
      <c r="M604" s="7">
        <v>10.01</v>
      </c>
      <c r="N604" s="7" t="s">
        <v>27</v>
      </c>
      <c r="O604" s="7">
        <f t="shared" si="48"/>
        <v>10.01</v>
      </c>
      <c r="P604" s="7">
        <f t="shared" si="49"/>
        <v>10.01</v>
      </c>
      <c r="Q604" s="7" t="s">
        <v>28</v>
      </c>
      <c r="R604" s="8">
        <v>41678</v>
      </c>
      <c r="S604" s="8">
        <v>401768</v>
      </c>
      <c r="T604" s="7"/>
      <c r="U604" s="9">
        <f t="shared" si="50"/>
        <v>0</v>
      </c>
    </row>
    <row r="605" spans="1:21" x14ac:dyDescent="0.25">
      <c r="A605" s="2" t="s">
        <v>4058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4059</v>
      </c>
      <c r="J605" s="7">
        <v>0</v>
      </c>
      <c r="K605" s="7" t="s">
        <v>4060</v>
      </c>
      <c r="L605" s="7" t="s">
        <v>26</v>
      </c>
      <c r="M605" s="7">
        <v>32.94</v>
      </c>
      <c r="N605" s="7" t="s">
        <v>27</v>
      </c>
      <c r="O605" s="7">
        <f t="shared" si="48"/>
        <v>32.94</v>
      </c>
      <c r="P605" s="7">
        <f t="shared" si="49"/>
        <v>32.94</v>
      </c>
      <c r="Q605" s="7" t="s">
        <v>28</v>
      </c>
      <c r="R605" s="8">
        <v>41503</v>
      </c>
      <c r="S605" s="8">
        <v>401768</v>
      </c>
      <c r="T605" s="7"/>
      <c r="U605" s="9">
        <f t="shared" si="50"/>
        <v>0</v>
      </c>
    </row>
    <row r="606" spans="1:21" x14ac:dyDescent="0.25">
      <c r="A606" s="2" t="s">
        <v>4061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4062</v>
      </c>
      <c r="J606" s="7">
        <v>0</v>
      </c>
      <c r="K606" s="7" t="s">
        <v>4063</v>
      </c>
      <c r="L606" s="7" t="s">
        <v>26</v>
      </c>
      <c r="M606" s="7">
        <v>9.82</v>
      </c>
      <c r="N606" s="7" t="s">
        <v>27</v>
      </c>
      <c r="O606" s="7">
        <f t="shared" si="48"/>
        <v>9.82</v>
      </c>
      <c r="P606" s="7">
        <f t="shared" si="49"/>
        <v>9.82</v>
      </c>
      <c r="Q606" s="7" t="s">
        <v>28</v>
      </c>
      <c r="R606" s="8">
        <v>41503</v>
      </c>
      <c r="S606" s="8">
        <v>401768</v>
      </c>
      <c r="T606" s="7"/>
      <c r="U606" s="9">
        <f t="shared" si="50"/>
        <v>0</v>
      </c>
    </row>
    <row r="607" spans="1:21" x14ac:dyDescent="0.25">
      <c r="A607" s="2" t="s">
        <v>2589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4064</v>
      </c>
      <c r="J607" s="7">
        <v>0</v>
      </c>
      <c r="K607" s="7" t="s">
        <v>4065</v>
      </c>
      <c r="L607" s="7" t="s">
        <v>26</v>
      </c>
      <c r="M607" s="7">
        <v>27.85</v>
      </c>
      <c r="N607" s="7" t="s">
        <v>27</v>
      </c>
      <c r="O607" s="7">
        <f t="shared" si="48"/>
        <v>27.85</v>
      </c>
      <c r="P607" s="7">
        <f t="shared" si="49"/>
        <v>27.85</v>
      </c>
      <c r="Q607" s="7" t="s">
        <v>28</v>
      </c>
      <c r="R607" s="8">
        <v>42685</v>
      </c>
      <c r="S607" s="8">
        <v>401768</v>
      </c>
      <c r="T607" s="7"/>
      <c r="U607" s="9">
        <f t="shared" si="50"/>
        <v>0</v>
      </c>
    </row>
    <row r="608" spans="1:21" x14ac:dyDescent="0.25">
      <c r="A608" s="2" t="s">
        <v>4066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4067</v>
      </c>
      <c r="J608" s="7">
        <v>0</v>
      </c>
      <c r="K608" s="7" t="s">
        <v>4068</v>
      </c>
      <c r="L608" s="7" t="s">
        <v>26</v>
      </c>
      <c r="M608" s="7">
        <v>215</v>
      </c>
      <c r="N608" s="7" t="s">
        <v>27</v>
      </c>
      <c r="O608" s="7">
        <f t="shared" si="48"/>
        <v>215</v>
      </c>
      <c r="P608" s="7">
        <f t="shared" si="49"/>
        <v>215</v>
      </c>
      <c r="Q608" s="7" t="s">
        <v>28</v>
      </c>
      <c r="R608" s="8">
        <v>42193</v>
      </c>
      <c r="S608" s="8">
        <v>401768</v>
      </c>
      <c r="T608" s="7"/>
      <c r="U608" s="9">
        <f t="shared" si="50"/>
        <v>0</v>
      </c>
    </row>
    <row r="609" spans="1:21" x14ac:dyDescent="0.25">
      <c r="A609" s="2" t="s">
        <v>3176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4069</v>
      </c>
      <c r="J609" s="7">
        <v>0</v>
      </c>
      <c r="K609" s="7" t="s">
        <v>4070</v>
      </c>
      <c r="L609" s="7" t="s">
        <v>26</v>
      </c>
      <c r="M609" s="7">
        <v>25.65</v>
      </c>
      <c r="N609" s="7" t="s">
        <v>27</v>
      </c>
      <c r="O609" s="7">
        <f t="shared" si="48"/>
        <v>25.65</v>
      </c>
      <c r="P609" s="7">
        <f t="shared" si="49"/>
        <v>25.65</v>
      </c>
      <c r="Q609" s="7" t="s">
        <v>28</v>
      </c>
      <c r="R609" s="8">
        <v>41365</v>
      </c>
      <c r="S609" s="8">
        <v>401768</v>
      </c>
      <c r="T609" s="7"/>
      <c r="U609" s="9">
        <f t="shared" si="50"/>
        <v>0</v>
      </c>
    </row>
    <row r="610" spans="1:21" x14ac:dyDescent="0.25">
      <c r="A610" s="2" t="s">
        <v>4071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4072</v>
      </c>
      <c r="J610" s="7">
        <v>0</v>
      </c>
      <c r="K610" s="7" t="s">
        <v>4073</v>
      </c>
      <c r="L610" s="7" t="s">
        <v>26</v>
      </c>
      <c r="M610" s="7">
        <v>25.65</v>
      </c>
      <c r="N610" s="7" t="s">
        <v>27</v>
      </c>
      <c r="O610" s="7">
        <f t="shared" si="48"/>
        <v>25.65</v>
      </c>
      <c r="P610" s="7">
        <f t="shared" si="49"/>
        <v>25.65</v>
      </c>
      <c r="Q610" s="7" t="s">
        <v>28</v>
      </c>
      <c r="R610" s="8">
        <v>41275</v>
      </c>
      <c r="S610" s="8">
        <v>401768</v>
      </c>
      <c r="T610" s="7"/>
      <c r="U610" s="9">
        <f t="shared" si="50"/>
        <v>0</v>
      </c>
    </row>
    <row r="611" spans="1:21" x14ac:dyDescent="0.25">
      <c r="A611" s="2" t="s">
        <v>4131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4132</v>
      </c>
      <c r="H611" s="7" t="s">
        <v>4133</v>
      </c>
      <c r="I611" s="7" t="s">
        <v>4134</v>
      </c>
      <c r="J611" s="7">
        <v>0</v>
      </c>
      <c r="K611" s="7" t="s">
        <v>4135</v>
      </c>
      <c r="L611" s="7" t="s">
        <v>26</v>
      </c>
      <c r="M611" s="7">
        <v>1.5</v>
      </c>
      <c r="N611" s="7" t="s">
        <v>619</v>
      </c>
      <c r="O611" s="7">
        <v>95</v>
      </c>
      <c r="P611" s="7">
        <f t="shared" ref="P611:P642" si="51">O611*M611</f>
        <v>142.5</v>
      </c>
      <c r="Q611" s="7" t="s">
        <v>28</v>
      </c>
      <c r="R611" s="8">
        <v>41950</v>
      </c>
      <c r="S611" s="8">
        <v>401768</v>
      </c>
      <c r="T611" s="7"/>
      <c r="U611" s="9">
        <f t="shared" si="50"/>
        <v>0</v>
      </c>
    </row>
    <row r="612" spans="1:21" x14ac:dyDescent="0.25">
      <c r="A612" s="2" t="s">
        <v>7323</v>
      </c>
      <c r="B612" s="6">
        <v>46003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7587</v>
      </c>
      <c r="H612" s="7" t="s">
        <v>7588</v>
      </c>
      <c r="I612" s="7" t="s">
        <v>6517</v>
      </c>
      <c r="J612" s="7">
        <v>0</v>
      </c>
      <c r="K612" s="7" t="s">
        <v>6518</v>
      </c>
      <c r="L612" s="7" t="s">
        <v>26</v>
      </c>
      <c r="M612" s="7">
        <v>2.23</v>
      </c>
      <c r="N612" s="7" t="s">
        <v>160</v>
      </c>
      <c r="O612" s="7">
        <v>110</v>
      </c>
      <c r="P612" s="7">
        <f t="shared" si="51"/>
        <v>245.3</v>
      </c>
      <c r="Q612" s="7" t="s">
        <v>28</v>
      </c>
      <c r="R612" s="8">
        <v>46139</v>
      </c>
      <c r="S612" s="8">
        <v>401768</v>
      </c>
      <c r="T612" s="7"/>
      <c r="U612" s="9">
        <f t="shared" si="50"/>
        <v>0</v>
      </c>
    </row>
    <row r="613" spans="1:21" x14ac:dyDescent="0.25">
      <c r="A613" s="2" t="s">
        <v>7222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4369</v>
      </c>
      <c r="J613" s="7">
        <v>0</v>
      </c>
      <c r="K613" s="7" t="s">
        <v>4370</v>
      </c>
      <c r="L613" s="7" t="s">
        <v>26</v>
      </c>
      <c r="M613" s="7">
        <v>0.99</v>
      </c>
      <c r="N613" s="7" t="s">
        <v>160</v>
      </c>
      <c r="O613" s="7">
        <v>110</v>
      </c>
      <c r="P613" s="7">
        <f t="shared" si="51"/>
        <v>108.9</v>
      </c>
      <c r="Q613" s="7" t="s">
        <v>28</v>
      </c>
      <c r="R613" s="8">
        <v>46139</v>
      </c>
      <c r="S613" s="8">
        <v>401768</v>
      </c>
      <c r="T613" s="7"/>
      <c r="U613" s="9">
        <f t="shared" si="50"/>
        <v>0</v>
      </c>
    </row>
    <row r="614" spans="1:21" x14ac:dyDescent="0.25">
      <c r="A614" s="2" t="s">
        <v>7312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4375</v>
      </c>
      <c r="J614" s="7">
        <v>0</v>
      </c>
      <c r="K614" s="7" t="s">
        <v>4376</v>
      </c>
      <c r="L614" s="7" t="s">
        <v>26</v>
      </c>
      <c r="M614" s="7">
        <v>2.2599999999999998</v>
      </c>
      <c r="N614" s="7" t="s">
        <v>160</v>
      </c>
      <c r="O614" s="7">
        <v>110</v>
      </c>
      <c r="P614" s="7">
        <f t="shared" si="51"/>
        <v>248.59999999999997</v>
      </c>
      <c r="Q614" s="7" t="s">
        <v>28</v>
      </c>
      <c r="R614" s="8">
        <v>46139</v>
      </c>
      <c r="S614" s="8">
        <v>401768</v>
      </c>
      <c r="T614" s="7"/>
      <c r="U614" s="9">
        <f t="shared" si="50"/>
        <v>0</v>
      </c>
    </row>
    <row r="615" spans="1:21" x14ac:dyDescent="0.25">
      <c r="A615" s="2" t="s">
        <v>7318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4377</v>
      </c>
      <c r="J615" s="7">
        <v>0</v>
      </c>
      <c r="K615" s="7" t="s">
        <v>4378</v>
      </c>
      <c r="L615" s="7" t="s">
        <v>26</v>
      </c>
      <c r="M615" s="7">
        <v>1</v>
      </c>
      <c r="N615" s="7" t="s">
        <v>160</v>
      </c>
      <c r="O615" s="7">
        <v>110</v>
      </c>
      <c r="P615" s="7">
        <f t="shared" si="51"/>
        <v>110</v>
      </c>
      <c r="Q615" s="7" t="s">
        <v>28</v>
      </c>
      <c r="R615" s="8">
        <v>46139</v>
      </c>
      <c r="S615" s="8">
        <v>401768</v>
      </c>
      <c r="T615" s="7"/>
      <c r="U615" s="9">
        <f t="shared" si="50"/>
        <v>0</v>
      </c>
    </row>
    <row r="616" spans="1:21" x14ac:dyDescent="0.25">
      <c r="A616" s="2" t="s">
        <v>7439</v>
      </c>
      <c r="B616" s="6">
        <v>46147</v>
      </c>
      <c r="C616" s="7" t="s">
        <v>20</v>
      </c>
      <c r="D616" s="7" t="s">
        <v>21</v>
      </c>
      <c r="E616" s="7" t="s">
        <v>28</v>
      </c>
      <c r="F616" s="7" t="s">
        <v>28</v>
      </c>
      <c r="G616" s="7" t="s">
        <v>7587</v>
      </c>
      <c r="H616" s="7" t="s">
        <v>7588</v>
      </c>
      <c r="I616" s="7" t="s">
        <v>7310</v>
      </c>
      <c r="J616" s="7">
        <v>0</v>
      </c>
      <c r="K616" s="7" t="s">
        <v>7311</v>
      </c>
      <c r="L616" s="7" t="s">
        <v>26</v>
      </c>
      <c r="M616" s="7">
        <v>2.2000000000000002</v>
      </c>
      <c r="N616" s="7" t="s">
        <v>160</v>
      </c>
      <c r="O616" s="7">
        <v>110</v>
      </c>
      <c r="P616" s="7">
        <f t="shared" si="51"/>
        <v>242.00000000000003</v>
      </c>
      <c r="Q616" s="7" t="s">
        <v>28</v>
      </c>
      <c r="R616" s="8">
        <v>46147</v>
      </c>
      <c r="S616" s="8">
        <v>401768</v>
      </c>
      <c r="T616" s="7">
        <v>300</v>
      </c>
      <c r="U616" s="9">
        <f t="shared" si="50"/>
        <v>0.7260000000000002</v>
      </c>
    </row>
    <row r="617" spans="1:21" x14ac:dyDescent="0.25">
      <c r="A617" s="2" t="s">
        <v>6310</v>
      </c>
      <c r="B617" s="6">
        <v>44673</v>
      </c>
      <c r="C617" s="7" t="s">
        <v>20</v>
      </c>
      <c r="D617" s="7" t="s">
        <v>21</v>
      </c>
      <c r="E617" s="7" t="s">
        <v>20</v>
      </c>
      <c r="F617" s="7" t="s">
        <v>21</v>
      </c>
      <c r="G617" s="7" t="s">
        <v>6311</v>
      </c>
      <c r="H617" s="7" t="s">
        <v>6312</v>
      </c>
      <c r="I617" s="7" t="s">
        <v>4369</v>
      </c>
      <c r="J617" s="7">
        <v>0</v>
      </c>
      <c r="K617" s="7" t="s">
        <v>4370</v>
      </c>
      <c r="L617" s="7" t="s">
        <v>26</v>
      </c>
      <c r="M617" s="7">
        <v>0.88</v>
      </c>
      <c r="N617" s="7" t="s">
        <v>160</v>
      </c>
      <c r="O617" s="7">
        <v>110</v>
      </c>
      <c r="P617" s="7">
        <f t="shared" si="51"/>
        <v>96.8</v>
      </c>
      <c r="Q617" s="7" t="s">
        <v>28</v>
      </c>
      <c r="R617" s="8">
        <v>44673</v>
      </c>
      <c r="S617" s="8">
        <v>401768</v>
      </c>
      <c r="T617" s="7"/>
      <c r="U617" s="9">
        <f t="shared" si="50"/>
        <v>0</v>
      </c>
    </row>
    <row r="618" spans="1:21" x14ac:dyDescent="0.25">
      <c r="A618" s="2" t="s">
        <v>6313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4372</v>
      </c>
      <c r="J618" s="7">
        <v>0</v>
      </c>
      <c r="K618" s="7" t="s">
        <v>4373</v>
      </c>
      <c r="L618" s="7" t="s">
        <v>26</v>
      </c>
      <c r="M618" s="7">
        <v>0.61</v>
      </c>
      <c r="N618" s="7" t="s">
        <v>160</v>
      </c>
      <c r="O618" s="7">
        <v>110</v>
      </c>
      <c r="P618" s="7">
        <f t="shared" si="51"/>
        <v>67.099999999999994</v>
      </c>
      <c r="Q618" s="7" t="s">
        <v>28</v>
      </c>
      <c r="R618" s="8">
        <v>46118</v>
      </c>
      <c r="S618" s="8">
        <v>401768</v>
      </c>
      <c r="T618" s="7"/>
      <c r="U618" s="9">
        <f t="shared" si="50"/>
        <v>0</v>
      </c>
    </row>
    <row r="619" spans="1:21" x14ac:dyDescent="0.25">
      <c r="A619" s="2" t="s">
        <v>3793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4375</v>
      </c>
      <c r="J619" s="7">
        <v>0</v>
      </c>
      <c r="K619" s="7" t="s">
        <v>4376</v>
      </c>
      <c r="L619" s="7" t="s">
        <v>26</v>
      </c>
      <c r="M619" s="7">
        <v>1.97</v>
      </c>
      <c r="N619" s="7" t="s">
        <v>160</v>
      </c>
      <c r="O619" s="7">
        <v>110</v>
      </c>
      <c r="P619" s="7">
        <f t="shared" si="51"/>
        <v>216.7</v>
      </c>
      <c r="Q619" s="7" t="s">
        <v>28</v>
      </c>
      <c r="R619" s="8">
        <v>44800</v>
      </c>
      <c r="S619" s="8">
        <v>401768</v>
      </c>
      <c r="T619" s="7"/>
      <c r="U619" s="9">
        <f t="shared" si="50"/>
        <v>0</v>
      </c>
    </row>
    <row r="620" spans="1:21" x14ac:dyDescent="0.25">
      <c r="A620" s="2" t="s">
        <v>3796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4377</v>
      </c>
      <c r="J620" s="7">
        <v>0</v>
      </c>
      <c r="K620" s="7" t="s">
        <v>4378</v>
      </c>
      <c r="L620" s="7" t="s">
        <v>26</v>
      </c>
      <c r="M620" s="7">
        <v>0.86</v>
      </c>
      <c r="N620" s="7" t="s">
        <v>160</v>
      </c>
      <c r="O620" s="7">
        <v>110</v>
      </c>
      <c r="P620" s="7">
        <f t="shared" si="51"/>
        <v>94.6</v>
      </c>
      <c r="Q620" s="7" t="s">
        <v>28</v>
      </c>
      <c r="R620" s="8">
        <v>44673</v>
      </c>
      <c r="S620" s="8">
        <v>401768</v>
      </c>
      <c r="T620" s="7"/>
      <c r="U620" s="9">
        <f t="shared" si="50"/>
        <v>0</v>
      </c>
    </row>
    <row r="621" spans="1:21" x14ac:dyDescent="0.25">
      <c r="A621" s="2" t="s">
        <v>6488</v>
      </c>
      <c r="B621" s="6">
        <v>44873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6489</v>
      </c>
      <c r="J621" s="7">
        <v>0</v>
      </c>
      <c r="K621" s="7" t="s">
        <v>6490</v>
      </c>
      <c r="L621" s="7" t="s">
        <v>26</v>
      </c>
      <c r="M621" s="7">
        <v>0.96</v>
      </c>
      <c r="N621" s="7" t="s">
        <v>160</v>
      </c>
      <c r="O621" s="7">
        <v>110</v>
      </c>
      <c r="P621" s="7">
        <f t="shared" si="51"/>
        <v>105.6</v>
      </c>
      <c r="Q621" s="7" t="s">
        <v>28</v>
      </c>
      <c r="R621" s="8">
        <v>44873</v>
      </c>
      <c r="S621" s="8">
        <v>401768</v>
      </c>
      <c r="T621" s="7"/>
      <c r="U621" s="9">
        <f t="shared" si="50"/>
        <v>0</v>
      </c>
    </row>
    <row r="622" spans="1:21" x14ac:dyDescent="0.25">
      <c r="A622" s="2" t="s">
        <v>6494</v>
      </c>
      <c r="B622" s="6">
        <v>44893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6495</v>
      </c>
      <c r="J622" s="7">
        <v>0</v>
      </c>
      <c r="K622" s="7" t="s">
        <v>6496</v>
      </c>
      <c r="L622" s="7" t="s">
        <v>26</v>
      </c>
      <c r="M622" s="7">
        <v>0.59</v>
      </c>
      <c r="N622" s="7" t="s">
        <v>160</v>
      </c>
      <c r="O622" s="7">
        <v>110</v>
      </c>
      <c r="P622" s="7">
        <f t="shared" si="51"/>
        <v>64.899999999999991</v>
      </c>
      <c r="Q622" s="7" t="s">
        <v>28</v>
      </c>
      <c r="R622" s="8">
        <v>44893</v>
      </c>
      <c r="S622" s="8">
        <v>401768</v>
      </c>
      <c r="T622" s="7"/>
      <c r="U622" s="9">
        <f t="shared" si="50"/>
        <v>0</v>
      </c>
    </row>
    <row r="623" spans="1:21" x14ac:dyDescent="0.25">
      <c r="A623" s="2" t="s">
        <v>5176</v>
      </c>
      <c r="B623" s="6">
        <v>44896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6508</v>
      </c>
      <c r="J623" s="7">
        <v>0</v>
      </c>
      <c r="K623" s="7" t="s">
        <v>6509</v>
      </c>
      <c r="L623" s="7" t="s">
        <v>26</v>
      </c>
      <c r="M623" s="7">
        <v>0.95</v>
      </c>
      <c r="N623" s="7" t="s">
        <v>160</v>
      </c>
      <c r="O623" s="7">
        <v>110</v>
      </c>
      <c r="P623" s="7">
        <f t="shared" si="51"/>
        <v>104.5</v>
      </c>
      <c r="Q623" s="7" t="s">
        <v>28</v>
      </c>
      <c r="R623" s="8">
        <v>44896</v>
      </c>
      <c r="S623" s="8">
        <v>401768</v>
      </c>
      <c r="T623" s="7"/>
      <c r="U623" s="9">
        <f t="shared" si="50"/>
        <v>0</v>
      </c>
    </row>
    <row r="624" spans="1:21" x14ac:dyDescent="0.25">
      <c r="A624" s="2" t="s">
        <v>4396</v>
      </c>
      <c r="B624" s="6">
        <v>44929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6517</v>
      </c>
      <c r="J624" s="7">
        <v>0</v>
      </c>
      <c r="K624" s="7" t="s">
        <v>6518</v>
      </c>
      <c r="L624" s="7" t="s">
        <v>26</v>
      </c>
      <c r="M624" s="7">
        <v>2.23</v>
      </c>
      <c r="N624" s="7" t="s">
        <v>160</v>
      </c>
      <c r="O624" s="7">
        <v>110</v>
      </c>
      <c r="P624" s="7">
        <f t="shared" si="51"/>
        <v>245.3</v>
      </c>
      <c r="Q624" s="7" t="s">
        <v>28</v>
      </c>
      <c r="R624" s="8">
        <v>46118</v>
      </c>
      <c r="S624" s="8">
        <v>401768</v>
      </c>
      <c r="T624" s="7"/>
      <c r="U624" s="9">
        <f t="shared" si="50"/>
        <v>0</v>
      </c>
    </row>
    <row r="625" spans="1:21" x14ac:dyDescent="0.25">
      <c r="A625" s="2" t="s">
        <v>6519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2.06</v>
      </c>
      <c r="N625" s="7" t="s">
        <v>160</v>
      </c>
      <c r="O625" s="7">
        <v>110</v>
      </c>
      <c r="P625" s="7">
        <f t="shared" si="51"/>
        <v>226.6</v>
      </c>
      <c r="Q625" s="7" t="s">
        <v>28</v>
      </c>
      <c r="R625" s="8">
        <v>46118</v>
      </c>
      <c r="S625" s="8">
        <v>46119</v>
      </c>
      <c r="T625" s="7"/>
      <c r="U625" s="9">
        <f t="shared" si="50"/>
        <v>0</v>
      </c>
    </row>
    <row r="626" spans="1:21" x14ac:dyDescent="0.25">
      <c r="A626" s="2" t="s">
        <v>6540</v>
      </c>
      <c r="B626" s="6">
        <v>44987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6541</v>
      </c>
      <c r="J626" s="7">
        <v>0</v>
      </c>
      <c r="K626" s="7" t="s">
        <v>6542</v>
      </c>
      <c r="L626" s="7" t="s">
        <v>26</v>
      </c>
      <c r="M626" s="7">
        <v>0.32</v>
      </c>
      <c r="N626" s="7" t="s">
        <v>160</v>
      </c>
      <c r="O626" s="7">
        <v>110</v>
      </c>
      <c r="P626" s="7">
        <f t="shared" si="51"/>
        <v>35.200000000000003</v>
      </c>
      <c r="Q626" s="7" t="s">
        <v>28</v>
      </c>
      <c r="R626" s="8">
        <v>44987</v>
      </c>
      <c r="S626" s="8">
        <v>401768</v>
      </c>
      <c r="T626" s="7"/>
      <c r="U626" s="9">
        <f t="shared" si="50"/>
        <v>0</v>
      </c>
    </row>
    <row r="627" spans="1:21" x14ac:dyDescent="0.25">
      <c r="A627" s="2" t="s">
        <v>6549</v>
      </c>
      <c r="B627" s="6">
        <v>45002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6550</v>
      </c>
      <c r="J627" s="7">
        <v>0</v>
      </c>
      <c r="K627" s="7" t="s">
        <v>6551</v>
      </c>
      <c r="L627" s="7" t="s">
        <v>26</v>
      </c>
      <c r="M627" s="7">
        <v>2.15</v>
      </c>
      <c r="N627" s="7" t="s">
        <v>160</v>
      </c>
      <c r="O627" s="7">
        <v>110</v>
      </c>
      <c r="P627" s="7">
        <f t="shared" si="51"/>
        <v>236.5</v>
      </c>
      <c r="Q627" s="7" t="s">
        <v>28</v>
      </c>
      <c r="R627" s="8">
        <v>45002</v>
      </c>
      <c r="S627" s="8">
        <v>401768</v>
      </c>
      <c r="T627" s="7"/>
      <c r="U627" s="9">
        <f t="shared" si="50"/>
        <v>0</v>
      </c>
    </row>
    <row r="628" spans="1:21" x14ac:dyDescent="0.25">
      <c r="A628" s="2" t="s">
        <v>7003</v>
      </c>
      <c r="B628" s="6">
        <v>45535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7253</v>
      </c>
      <c r="J628" s="7">
        <v>0</v>
      </c>
      <c r="K628" s="7" t="s">
        <v>7254</v>
      </c>
      <c r="L628" s="7" t="s">
        <v>26</v>
      </c>
      <c r="M628" s="7">
        <v>1.1000000000000001</v>
      </c>
      <c r="N628" s="7" t="s">
        <v>160</v>
      </c>
      <c r="O628" s="7">
        <v>110</v>
      </c>
      <c r="P628" s="7">
        <f t="shared" si="51"/>
        <v>121.00000000000001</v>
      </c>
      <c r="Q628" s="7" t="s">
        <v>28</v>
      </c>
      <c r="R628" s="8">
        <v>45535</v>
      </c>
      <c r="S628" s="8">
        <v>401768</v>
      </c>
      <c r="T628" s="7"/>
      <c r="U628" s="9">
        <f t="shared" si="50"/>
        <v>0</v>
      </c>
    </row>
    <row r="629" spans="1:21" x14ac:dyDescent="0.25">
      <c r="A629" s="2" t="s">
        <v>7010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7255</v>
      </c>
      <c r="J629" s="7">
        <v>0</v>
      </c>
      <c r="K629" s="7" t="s">
        <v>7256</v>
      </c>
      <c r="L629" s="7" t="s">
        <v>26</v>
      </c>
      <c r="M629" s="7">
        <v>1.1000000000000001</v>
      </c>
      <c r="N629" s="7" t="s">
        <v>160</v>
      </c>
      <c r="O629" s="7">
        <v>110</v>
      </c>
      <c r="P629" s="7">
        <f t="shared" si="51"/>
        <v>121.00000000000001</v>
      </c>
      <c r="Q629" s="7" t="s">
        <v>28</v>
      </c>
      <c r="R629" s="8">
        <v>45535</v>
      </c>
      <c r="S629" s="8">
        <v>401768</v>
      </c>
      <c r="T629" s="7"/>
      <c r="U629" s="9">
        <f t="shared" si="50"/>
        <v>0</v>
      </c>
    </row>
    <row r="630" spans="1:21" x14ac:dyDescent="0.25">
      <c r="A630" s="2" t="s">
        <v>7051</v>
      </c>
      <c r="B630" s="6">
        <v>45573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7310</v>
      </c>
      <c r="J630" s="7">
        <v>0</v>
      </c>
      <c r="K630" s="7" t="s">
        <v>7311</v>
      </c>
      <c r="L630" s="7" t="s">
        <v>26</v>
      </c>
      <c r="M630" s="7">
        <v>1.95</v>
      </c>
      <c r="N630" s="7" t="s">
        <v>160</v>
      </c>
      <c r="O630" s="7">
        <v>110</v>
      </c>
      <c r="P630" s="7">
        <f t="shared" si="51"/>
        <v>214.5</v>
      </c>
      <c r="Q630" s="7" t="s">
        <v>28</v>
      </c>
      <c r="R630" s="8">
        <v>45587</v>
      </c>
      <c r="S630" s="8">
        <v>401768</v>
      </c>
      <c r="T630" s="7"/>
      <c r="U630" s="9">
        <f t="shared" si="50"/>
        <v>0</v>
      </c>
    </row>
    <row r="631" spans="1:21" x14ac:dyDescent="0.25">
      <c r="A631" s="2" t="s">
        <v>7434</v>
      </c>
      <c r="B631" s="6">
        <v>46128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7676</v>
      </c>
      <c r="J631" s="7">
        <v>0</v>
      </c>
      <c r="K631" s="7" t="s">
        <v>7677</v>
      </c>
      <c r="L631" s="7" t="s">
        <v>26</v>
      </c>
      <c r="M631" s="7">
        <v>0.9</v>
      </c>
      <c r="N631" s="7" t="s">
        <v>160</v>
      </c>
      <c r="O631" s="7">
        <v>110</v>
      </c>
      <c r="P631" s="7">
        <f t="shared" si="51"/>
        <v>99</v>
      </c>
      <c r="Q631" s="7" t="s">
        <v>28</v>
      </c>
      <c r="R631" s="8">
        <v>46128</v>
      </c>
      <c r="S631" s="8">
        <v>401768</v>
      </c>
      <c r="T631" s="7">
        <v>2500</v>
      </c>
      <c r="U631" s="9">
        <f t="shared" si="50"/>
        <v>2.4750000000000001</v>
      </c>
    </row>
    <row r="632" spans="1:21" x14ac:dyDescent="0.25">
      <c r="A632" s="2" t="s">
        <v>6863</v>
      </c>
      <c r="B632" s="6">
        <v>45310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7013</v>
      </c>
      <c r="H632" s="7" t="s">
        <v>7014</v>
      </c>
      <c r="I632" s="7" t="s">
        <v>7015</v>
      </c>
      <c r="J632" s="7">
        <v>0</v>
      </c>
      <c r="K632" s="7" t="s">
        <v>7016</v>
      </c>
      <c r="L632" s="7" t="s">
        <v>26</v>
      </c>
      <c r="M632" s="7">
        <v>0.5</v>
      </c>
      <c r="N632" s="7" t="s">
        <v>619</v>
      </c>
      <c r="O632" s="7">
        <v>95</v>
      </c>
      <c r="P632" s="7">
        <f t="shared" si="51"/>
        <v>47.5</v>
      </c>
      <c r="Q632" s="7" t="s">
        <v>28</v>
      </c>
      <c r="R632" s="8">
        <v>45310</v>
      </c>
      <c r="S632" s="8">
        <v>401768</v>
      </c>
      <c r="T632" s="7"/>
      <c r="U632" s="9">
        <f t="shared" si="50"/>
        <v>0</v>
      </c>
    </row>
    <row r="633" spans="1:21" x14ac:dyDescent="0.25">
      <c r="A633" s="2" t="s">
        <v>6904</v>
      </c>
      <c r="B633" s="6">
        <v>45381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7070</v>
      </c>
      <c r="J633" s="7">
        <v>0</v>
      </c>
      <c r="K633" s="7" t="s">
        <v>7016</v>
      </c>
      <c r="L633" s="7" t="s">
        <v>26</v>
      </c>
      <c r="M633" s="7">
        <v>9</v>
      </c>
      <c r="N633" s="7" t="s">
        <v>619</v>
      </c>
      <c r="O633" s="7">
        <v>95</v>
      </c>
      <c r="P633" s="7">
        <f t="shared" si="51"/>
        <v>855</v>
      </c>
      <c r="Q633" s="7" t="s">
        <v>28</v>
      </c>
      <c r="R633" s="8">
        <v>45381</v>
      </c>
      <c r="S633" s="8">
        <v>401768</v>
      </c>
      <c r="T633" s="7"/>
      <c r="U633" s="9">
        <f t="shared" si="50"/>
        <v>0</v>
      </c>
    </row>
    <row r="634" spans="1:21" x14ac:dyDescent="0.25">
      <c r="A634" s="2" t="s">
        <v>6967</v>
      </c>
      <c r="B634" s="6">
        <v>45493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7202</v>
      </c>
      <c r="J634" s="7">
        <v>0</v>
      </c>
      <c r="K634" s="7" t="s">
        <v>7203</v>
      </c>
      <c r="L634" s="7" t="s">
        <v>26</v>
      </c>
      <c r="M634" s="7">
        <v>0.5</v>
      </c>
      <c r="N634" s="7" t="s">
        <v>619</v>
      </c>
      <c r="O634" s="7">
        <v>95</v>
      </c>
      <c r="P634" s="7">
        <f t="shared" si="51"/>
        <v>47.5</v>
      </c>
      <c r="Q634" s="7" t="s">
        <v>28</v>
      </c>
      <c r="R634" s="8">
        <v>45493</v>
      </c>
      <c r="S634" s="8">
        <v>401768</v>
      </c>
      <c r="T634" s="7"/>
      <c r="U634" s="9">
        <f t="shared" si="50"/>
        <v>0</v>
      </c>
    </row>
    <row r="635" spans="1:21" x14ac:dyDescent="0.25">
      <c r="A635" s="2" t="s">
        <v>6972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7204</v>
      </c>
      <c r="J635" s="7">
        <v>0</v>
      </c>
      <c r="K635" s="7" t="s">
        <v>7205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51"/>
        <v>47.5</v>
      </c>
      <c r="Q635" s="7" t="s">
        <v>28</v>
      </c>
      <c r="R635" s="8">
        <v>45493</v>
      </c>
      <c r="S635" s="8">
        <v>401768</v>
      </c>
      <c r="T635" s="7"/>
      <c r="U635" s="9">
        <f t="shared" si="50"/>
        <v>0</v>
      </c>
    </row>
    <row r="636" spans="1:21" x14ac:dyDescent="0.25">
      <c r="A636" s="2" t="s">
        <v>7019</v>
      </c>
      <c r="B636" s="6">
        <v>45538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7257</v>
      </c>
      <c r="J636" s="7">
        <v>0</v>
      </c>
      <c r="K636" s="7" t="s">
        <v>7258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51"/>
        <v>47.5</v>
      </c>
      <c r="Q636" s="7" t="s">
        <v>28</v>
      </c>
      <c r="R636" s="8">
        <v>45538</v>
      </c>
      <c r="S636" s="8">
        <v>401768</v>
      </c>
      <c r="T636" s="7"/>
      <c r="U636" s="9">
        <f t="shared" si="50"/>
        <v>0</v>
      </c>
    </row>
    <row r="637" spans="1:21" x14ac:dyDescent="0.25">
      <c r="A637" s="2" t="s">
        <v>7110</v>
      </c>
      <c r="B637" s="6">
        <v>45666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7386</v>
      </c>
      <c r="J637" s="7">
        <v>0</v>
      </c>
      <c r="K637" s="7" t="s">
        <v>7387</v>
      </c>
      <c r="L637" s="7" t="s">
        <v>26</v>
      </c>
      <c r="M637" s="7">
        <v>9</v>
      </c>
      <c r="N637" s="7" t="s">
        <v>619</v>
      </c>
      <c r="O637" s="7">
        <v>95</v>
      </c>
      <c r="P637" s="7">
        <f t="shared" si="51"/>
        <v>855</v>
      </c>
      <c r="Q637" s="7" t="s">
        <v>28</v>
      </c>
      <c r="R637" s="8">
        <v>45666</v>
      </c>
      <c r="S637" s="8">
        <v>401768</v>
      </c>
      <c r="T637" s="7"/>
      <c r="U637" s="9">
        <f t="shared" si="50"/>
        <v>0</v>
      </c>
    </row>
    <row r="638" spans="1:21" x14ac:dyDescent="0.25">
      <c r="A638" s="2" t="s">
        <v>7113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7388</v>
      </c>
      <c r="J638" s="7">
        <v>0</v>
      </c>
      <c r="K638" s="7" t="s">
        <v>7389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51"/>
        <v>855</v>
      </c>
      <c r="Q638" s="7" t="s">
        <v>28</v>
      </c>
      <c r="R638" s="8">
        <v>45666</v>
      </c>
      <c r="S638" s="8">
        <v>401768</v>
      </c>
      <c r="T638" s="7"/>
      <c r="U638" s="9">
        <f t="shared" si="50"/>
        <v>0</v>
      </c>
    </row>
    <row r="639" spans="1:21" x14ac:dyDescent="0.25">
      <c r="A639" s="2" t="s">
        <v>7106</v>
      </c>
      <c r="B639" s="6">
        <v>45684</v>
      </c>
      <c r="C639" s="7" t="s">
        <v>20</v>
      </c>
      <c r="D639" s="7" t="s">
        <v>21</v>
      </c>
      <c r="E639" s="7" t="s">
        <v>28</v>
      </c>
      <c r="F639" s="7" t="s">
        <v>28</v>
      </c>
      <c r="G639" s="7" t="s">
        <v>7013</v>
      </c>
      <c r="H639" s="7" t="s">
        <v>7014</v>
      </c>
      <c r="I639" s="7" t="s">
        <v>7392</v>
      </c>
      <c r="J639" s="7">
        <v>0</v>
      </c>
      <c r="K639" s="7" t="s">
        <v>7393</v>
      </c>
      <c r="L639" s="7" t="s">
        <v>26</v>
      </c>
      <c r="M639" s="7">
        <v>9.07</v>
      </c>
      <c r="N639" s="7" t="s">
        <v>619</v>
      </c>
      <c r="O639" s="7">
        <v>95</v>
      </c>
      <c r="P639" s="7">
        <f t="shared" si="51"/>
        <v>861.65</v>
      </c>
      <c r="Q639" s="7" t="s">
        <v>28</v>
      </c>
      <c r="R639" s="8">
        <v>45684</v>
      </c>
      <c r="S639" s="8">
        <v>401768</v>
      </c>
      <c r="T639" s="7"/>
      <c r="U639" s="9">
        <f t="shared" si="50"/>
        <v>0</v>
      </c>
    </row>
    <row r="640" spans="1:21" x14ac:dyDescent="0.25">
      <c r="A640" s="2" t="s">
        <v>7103</v>
      </c>
      <c r="B640" s="6">
        <v>45684</v>
      </c>
      <c r="C640" s="7" t="s">
        <v>20</v>
      </c>
      <c r="D640" s="7" t="s">
        <v>21</v>
      </c>
      <c r="E640" s="7" t="s">
        <v>20</v>
      </c>
      <c r="F640" s="7" t="s">
        <v>21</v>
      </c>
      <c r="G640" s="7" t="s">
        <v>7013</v>
      </c>
      <c r="H640" s="7" t="s">
        <v>7014</v>
      </c>
      <c r="I640" s="7" t="s">
        <v>7394</v>
      </c>
      <c r="J640" s="7">
        <v>0</v>
      </c>
      <c r="K640" s="7" t="s">
        <v>7395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51"/>
        <v>861.65</v>
      </c>
      <c r="Q640" s="7" t="s">
        <v>28</v>
      </c>
      <c r="R640" s="8">
        <v>45684</v>
      </c>
      <c r="S640" s="8">
        <v>401768</v>
      </c>
      <c r="T640" s="7"/>
      <c r="U640" s="9">
        <f t="shared" si="50"/>
        <v>0</v>
      </c>
    </row>
    <row r="641" spans="1:21" x14ac:dyDescent="0.25">
      <c r="A641" s="2" t="s">
        <v>7107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7396</v>
      </c>
      <c r="J641" s="7">
        <v>0</v>
      </c>
      <c r="K641" s="7" t="s">
        <v>7397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51"/>
        <v>861.65</v>
      </c>
      <c r="Q641" s="7" t="s">
        <v>28</v>
      </c>
      <c r="R641" s="8">
        <v>45684</v>
      </c>
      <c r="S641" s="8">
        <v>401768</v>
      </c>
      <c r="T641" s="7"/>
      <c r="U641" s="9">
        <f t="shared" si="50"/>
        <v>0</v>
      </c>
    </row>
    <row r="642" spans="1:21" x14ac:dyDescent="0.25">
      <c r="A642" s="2" t="s">
        <v>7120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7398</v>
      </c>
      <c r="J642" s="7">
        <v>0</v>
      </c>
      <c r="K642" s="7" t="s">
        <v>7399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51"/>
        <v>861.65</v>
      </c>
      <c r="Q642" s="7" t="s">
        <v>28</v>
      </c>
      <c r="R642" s="8">
        <v>45684</v>
      </c>
      <c r="S642" s="8">
        <v>401768</v>
      </c>
      <c r="T642" s="7"/>
      <c r="U642" s="9">
        <f t="shared" si="50"/>
        <v>0</v>
      </c>
    </row>
    <row r="643" spans="1:21" x14ac:dyDescent="0.25">
      <c r="A643" s="2" t="s">
        <v>7135</v>
      </c>
      <c r="B643" s="6">
        <v>45684</v>
      </c>
      <c r="C643" s="7" t="s">
        <v>20</v>
      </c>
      <c r="D643" s="7" t="s">
        <v>21</v>
      </c>
      <c r="E643" s="7" t="s">
        <v>28</v>
      </c>
      <c r="F643" s="7" t="s">
        <v>28</v>
      </c>
      <c r="G643" s="7" t="s">
        <v>7013</v>
      </c>
      <c r="H643" s="7" t="s">
        <v>7014</v>
      </c>
      <c r="I643" s="7" t="s">
        <v>7400</v>
      </c>
      <c r="J643" s="7">
        <v>0</v>
      </c>
      <c r="K643" s="7" t="s">
        <v>7258</v>
      </c>
      <c r="L643" s="7" t="s">
        <v>26</v>
      </c>
      <c r="M643" s="7">
        <v>9</v>
      </c>
      <c r="N643" s="7" t="s">
        <v>619</v>
      </c>
      <c r="O643" s="7">
        <v>95</v>
      </c>
      <c r="P643" s="7">
        <f t="shared" ref="P643:P663" si="52">O643*M643</f>
        <v>855</v>
      </c>
      <c r="Q643" s="7" t="s">
        <v>28</v>
      </c>
      <c r="R643" s="8">
        <v>45684</v>
      </c>
      <c r="S643" s="8">
        <v>401768</v>
      </c>
      <c r="T643" s="7"/>
      <c r="U643" s="9">
        <f t="shared" ref="U643:U706" si="53">T643*P643/100000</f>
        <v>0</v>
      </c>
    </row>
    <row r="644" spans="1:21" x14ac:dyDescent="0.25">
      <c r="A644" s="2" t="s">
        <v>7247</v>
      </c>
      <c r="B644" s="6">
        <v>45801</v>
      </c>
      <c r="C644" s="7" t="s">
        <v>20</v>
      </c>
      <c r="D644" s="7" t="s">
        <v>21</v>
      </c>
      <c r="E644" s="7" t="s">
        <v>20</v>
      </c>
      <c r="F644" s="7" t="s">
        <v>21</v>
      </c>
      <c r="G644" s="7" t="s">
        <v>7013</v>
      </c>
      <c r="H644" s="7" t="s">
        <v>7014</v>
      </c>
      <c r="I644" s="7" t="s">
        <v>7489</v>
      </c>
      <c r="J644" s="7">
        <v>0</v>
      </c>
      <c r="K644" s="7" t="s">
        <v>7490</v>
      </c>
      <c r="L644" s="7" t="s">
        <v>49</v>
      </c>
      <c r="M644" s="7">
        <v>1101100</v>
      </c>
      <c r="N644" s="7" t="s">
        <v>619</v>
      </c>
      <c r="O644" s="7">
        <v>95</v>
      </c>
      <c r="P644" s="7">
        <f t="shared" si="52"/>
        <v>104604500</v>
      </c>
      <c r="Q644" s="7" t="s">
        <v>28</v>
      </c>
      <c r="R644" s="8">
        <v>45801</v>
      </c>
      <c r="S644" s="8">
        <v>401768</v>
      </c>
      <c r="T644" s="7"/>
      <c r="U644" s="9">
        <f t="shared" si="53"/>
        <v>0</v>
      </c>
    </row>
    <row r="645" spans="1:21" x14ac:dyDescent="0.25">
      <c r="A645" s="2" t="s">
        <v>3096</v>
      </c>
      <c r="B645" s="6">
        <v>44046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5574</v>
      </c>
      <c r="H645" s="7" t="s">
        <v>5575</v>
      </c>
      <c r="I645" s="7" t="s">
        <v>5737</v>
      </c>
      <c r="J645" s="7">
        <v>0</v>
      </c>
      <c r="K645" s="7" t="s">
        <v>5738</v>
      </c>
      <c r="L645" s="7" t="s">
        <v>26</v>
      </c>
      <c r="M645" s="7">
        <v>272.68</v>
      </c>
      <c r="N645" s="7" t="s">
        <v>27</v>
      </c>
      <c r="O645" s="7">
        <f t="shared" ref="O645:O648" si="54">M645</f>
        <v>272.68</v>
      </c>
      <c r="P645" s="7">
        <f t="shared" ref="P645:P648" si="55">O645</f>
        <v>272.68</v>
      </c>
      <c r="Q645" s="7" t="s">
        <v>28</v>
      </c>
      <c r="R645" s="8">
        <v>44545</v>
      </c>
      <c r="S645" s="8">
        <v>401768</v>
      </c>
      <c r="T645" s="7"/>
      <c r="U645" s="9">
        <f t="shared" si="53"/>
        <v>0</v>
      </c>
    </row>
    <row r="646" spans="1:21" x14ac:dyDescent="0.25">
      <c r="A646" s="2" t="s">
        <v>2876</v>
      </c>
      <c r="B646" s="6">
        <v>44432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6086</v>
      </c>
      <c r="J646" s="7">
        <v>0</v>
      </c>
      <c r="K646" s="7" t="s">
        <v>6087</v>
      </c>
      <c r="L646" s="7" t="s">
        <v>49</v>
      </c>
      <c r="M646" s="7">
        <v>69600</v>
      </c>
      <c r="N646" s="7" t="s">
        <v>27</v>
      </c>
      <c r="O646" s="7">
        <f t="shared" si="54"/>
        <v>69600</v>
      </c>
      <c r="P646" s="7">
        <f t="shared" si="55"/>
        <v>69600</v>
      </c>
      <c r="Q646" s="7" t="s">
        <v>28</v>
      </c>
      <c r="R646" s="8">
        <v>44497</v>
      </c>
      <c r="S646" s="8">
        <v>401768</v>
      </c>
      <c r="T646" s="7"/>
      <c r="U646" s="9">
        <f t="shared" si="53"/>
        <v>0</v>
      </c>
    </row>
    <row r="647" spans="1:21" x14ac:dyDescent="0.25">
      <c r="A647" s="2" t="s">
        <v>2941</v>
      </c>
      <c r="B647" s="6">
        <v>44487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6132</v>
      </c>
      <c r="J647" s="7">
        <v>0</v>
      </c>
      <c r="K647" s="7" t="s">
        <v>6133</v>
      </c>
      <c r="L647" s="7" t="s">
        <v>26</v>
      </c>
      <c r="M647" s="7">
        <v>36.07</v>
      </c>
      <c r="N647" s="7" t="s">
        <v>27</v>
      </c>
      <c r="O647" s="7">
        <f t="shared" si="54"/>
        <v>36.07</v>
      </c>
      <c r="P647" s="7">
        <f t="shared" si="55"/>
        <v>36.07</v>
      </c>
      <c r="Q647" s="7" t="s">
        <v>28</v>
      </c>
      <c r="R647" s="8">
        <v>44499</v>
      </c>
      <c r="S647" s="8">
        <v>401768</v>
      </c>
      <c r="T647" s="7"/>
      <c r="U647" s="9">
        <f t="shared" si="53"/>
        <v>0</v>
      </c>
    </row>
    <row r="648" spans="1:21" x14ac:dyDescent="0.25">
      <c r="A648" s="2" t="s">
        <v>4578</v>
      </c>
      <c r="B648" s="6">
        <v>43959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4579</v>
      </c>
      <c r="H648" s="7" t="s">
        <v>4580</v>
      </c>
      <c r="I648" s="7" t="s">
        <v>268</v>
      </c>
      <c r="J648" s="7">
        <v>0</v>
      </c>
      <c r="K648" s="7" t="s">
        <v>269</v>
      </c>
      <c r="L648" s="7" t="s">
        <v>26</v>
      </c>
      <c r="M648" s="7">
        <v>53.85</v>
      </c>
      <c r="N648" s="7" t="s">
        <v>27</v>
      </c>
      <c r="O648" s="7">
        <f t="shared" si="54"/>
        <v>53.85</v>
      </c>
      <c r="P648" s="7">
        <f t="shared" si="55"/>
        <v>53.85</v>
      </c>
      <c r="Q648" s="7" t="s">
        <v>28</v>
      </c>
      <c r="R648" s="8">
        <v>43123</v>
      </c>
      <c r="S648" s="8">
        <v>401768</v>
      </c>
      <c r="T648" s="7"/>
      <c r="U648" s="9">
        <f t="shared" si="53"/>
        <v>0</v>
      </c>
    </row>
    <row r="649" spans="1:21" x14ac:dyDescent="0.25">
      <c r="A649" s="2" t="s">
        <v>53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4630</v>
      </c>
      <c r="H649" s="7" t="s">
        <v>4631</v>
      </c>
      <c r="I649" s="7" t="s">
        <v>4366</v>
      </c>
      <c r="J649" s="7">
        <v>0</v>
      </c>
      <c r="K649" s="7" t="s">
        <v>4367</v>
      </c>
      <c r="L649" s="7" t="s">
        <v>26</v>
      </c>
      <c r="M649" s="7">
        <v>7.04</v>
      </c>
      <c r="N649" s="7" t="s">
        <v>619</v>
      </c>
      <c r="O649" s="7">
        <v>95</v>
      </c>
      <c r="P649" s="7">
        <f t="shared" si="52"/>
        <v>668.8</v>
      </c>
      <c r="Q649" s="7" t="s">
        <v>28</v>
      </c>
      <c r="R649" s="8">
        <v>43669</v>
      </c>
      <c r="S649" s="8">
        <v>401768</v>
      </c>
      <c r="T649" s="7"/>
      <c r="U649" s="9">
        <f t="shared" si="53"/>
        <v>0</v>
      </c>
    </row>
    <row r="650" spans="1:21" x14ac:dyDescent="0.25">
      <c r="A650" s="2" t="s">
        <v>4362</v>
      </c>
      <c r="B650" s="6">
        <v>43959</v>
      </c>
      <c r="C650" s="7" t="s">
        <v>20</v>
      </c>
      <c r="D650" s="7" t="s">
        <v>21</v>
      </c>
      <c r="E650" s="7" t="s">
        <v>28</v>
      </c>
      <c r="F650" s="7" t="s">
        <v>28</v>
      </c>
      <c r="G650" s="7" t="s">
        <v>4363</v>
      </c>
      <c r="H650" s="7" t="s">
        <v>4364</v>
      </c>
      <c r="I650" s="7" t="s">
        <v>4365</v>
      </c>
      <c r="J650" s="7">
        <v>0</v>
      </c>
      <c r="K650" s="7" t="s">
        <v>28</v>
      </c>
      <c r="L650" s="7" t="s">
        <v>26</v>
      </c>
      <c r="M650" s="7">
        <v>432.84</v>
      </c>
      <c r="N650" s="7" t="s">
        <v>27</v>
      </c>
      <c r="O650" s="7">
        <f t="shared" ref="O650:O651" si="56">M650</f>
        <v>432.84</v>
      </c>
      <c r="P650" s="7">
        <f t="shared" ref="P650:P651" si="57">O650</f>
        <v>432.84</v>
      </c>
      <c r="Q650" s="7" t="s">
        <v>28</v>
      </c>
      <c r="R650" s="8">
        <v>43004</v>
      </c>
      <c r="S650" s="8">
        <v>401768</v>
      </c>
      <c r="T650" s="7"/>
      <c r="U650" s="9">
        <f t="shared" si="53"/>
        <v>0</v>
      </c>
    </row>
    <row r="651" spans="1:21" x14ac:dyDescent="0.25">
      <c r="A651" s="2" t="s">
        <v>1404</v>
      </c>
      <c r="B651" s="6">
        <v>43959</v>
      </c>
      <c r="C651" s="7" t="s">
        <v>20</v>
      </c>
      <c r="D651" s="7" t="s">
        <v>21</v>
      </c>
      <c r="E651" s="7" t="s">
        <v>20</v>
      </c>
      <c r="F651" s="7" t="s">
        <v>21</v>
      </c>
      <c r="G651" s="7" t="s">
        <v>4363</v>
      </c>
      <c r="H651" s="7" t="s">
        <v>4364</v>
      </c>
      <c r="I651" s="7" t="s">
        <v>4366</v>
      </c>
      <c r="J651" s="7">
        <v>0</v>
      </c>
      <c r="K651" s="7" t="s">
        <v>4367</v>
      </c>
      <c r="L651" s="7" t="s">
        <v>26</v>
      </c>
      <c r="M651" s="7">
        <v>7.04</v>
      </c>
      <c r="N651" s="7" t="s">
        <v>27</v>
      </c>
      <c r="O651" s="7">
        <f t="shared" si="56"/>
        <v>7.04</v>
      </c>
      <c r="P651" s="7">
        <f t="shared" si="57"/>
        <v>7.04</v>
      </c>
      <c r="Q651" s="7" t="s">
        <v>28</v>
      </c>
      <c r="R651" s="8">
        <v>43650</v>
      </c>
      <c r="S651" s="8">
        <v>401768</v>
      </c>
      <c r="T651" s="7"/>
      <c r="U651" s="9">
        <f t="shared" si="53"/>
        <v>0</v>
      </c>
    </row>
    <row r="652" spans="1:21" x14ac:dyDescent="0.25">
      <c r="A652" s="2" t="s">
        <v>4368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4369</v>
      </c>
      <c r="J652" s="7">
        <v>0</v>
      </c>
      <c r="K652" s="7" t="s">
        <v>4370</v>
      </c>
      <c r="L652" s="7" t="s">
        <v>26</v>
      </c>
      <c r="M652" s="7">
        <v>0.88</v>
      </c>
      <c r="N652" s="7" t="s">
        <v>160</v>
      </c>
      <c r="O652" s="7">
        <v>110</v>
      </c>
      <c r="P652" s="7">
        <f t="shared" si="52"/>
        <v>96.8</v>
      </c>
      <c r="Q652" s="7" t="s">
        <v>28</v>
      </c>
      <c r="R652" s="8">
        <v>44580</v>
      </c>
      <c r="S652" s="8">
        <v>401768</v>
      </c>
      <c r="T652" s="7"/>
      <c r="U652" s="9">
        <f t="shared" si="53"/>
        <v>0</v>
      </c>
    </row>
    <row r="653" spans="1:21" x14ac:dyDescent="0.25">
      <c r="A653" s="2" t="s">
        <v>4371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4372</v>
      </c>
      <c r="J653" s="7">
        <v>0</v>
      </c>
      <c r="K653" s="7" t="s">
        <v>4373</v>
      </c>
      <c r="L653" s="7" t="s">
        <v>26</v>
      </c>
      <c r="M653" s="7">
        <v>0.54</v>
      </c>
      <c r="N653" s="7" t="s">
        <v>160</v>
      </c>
      <c r="O653" s="7">
        <v>110</v>
      </c>
      <c r="P653" s="7">
        <f t="shared" si="52"/>
        <v>59.400000000000006</v>
      </c>
      <c r="Q653" s="7" t="s">
        <v>28</v>
      </c>
      <c r="R653" s="8">
        <v>44580</v>
      </c>
      <c r="S653" s="8">
        <v>401768</v>
      </c>
      <c r="T653" s="7"/>
      <c r="U653" s="9">
        <f t="shared" si="53"/>
        <v>0</v>
      </c>
    </row>
    <row r="654" spans="1:21" x14ac:dyDescent="0.25">
      <c r="A654" s="2" t="s">
        <v>4374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4375</v>
      </c>
      <c r="J654" s="7">
        <v>0</v>
      </c>
      <c r="K654" s="7" t="s">
        <v>4376</v>
      </c>
      <c r="L654" s="7" t="s">
        <v>26</v>
      </c>
      <c r="M654" s="7">
        <v>1.9</v>
      </c>
      <c r="N654" s="7" t="s">
        <v>160</v>
      </c>
      <c r="O654" s="7">
        <v>110</v>
      </c>
      <c r="P654" s="7">
        <f t="shared" si="52"/>
        <v>209</v>
      </c>
      <c r="Q654" s="7" t="s">
        <v>28</v>
      </c>
      <c r="R654" s="8">
        <v>44580</v>
      </c>
      <c r="S654" s="8">
        <v>401768</v>
      </c>
      <c r="T654" s="7"/>
      <c r="U654" s="9">
        <f t="shared" si="53"/>
        <v>0</v>
      </c>
    </row>
    <row r="655" spans="1:21" x14ac:dyDescent="0.25">
      <c r="A655" s="2" t="s">
        <v>1407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4377</v>
      </c>
      <c r="J655" s="7">
        <v>0</v>
      </c>
      <c r="K655" s="7" t="s">
        <v>4378</v>
      </c>
      <c r="L655" s="7" t="s">
        <v>26</v>
      </c>
      <c r="M655" s="7">
        <v>0.86</v>
      </c>
      <c r="N655" s="7" t="s">
        <v>160</v>
      </c>
      <c r="O655" s="7">
        <v>110</v>
      </c>
      <c r="P655" s="7">
        <f t="shared" si="52"/>
        <v>94.6</v>
      </c>
      <c r="Q655" s="7" t="s">
        <v>28</v>
      </c>
      <c r="R655" s="8">
        <v>44580</v>
      </c>
      <c r="S655" s="8">
        <v>401768</v>
      </c>
      <c r="T655" s="7"/>
      <c r="U655" s="9">
        <f t="shared" si="53"/>
        <v>0</v>
      </c>
    </row>
    <row r="656" spans="1:21" x14ac:dyDescent="0.25">
      <c r="A656" s="2" t="s">
        <v>1055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4379</v>
      </c>
      <c r="J656" s="7">
        <v>0</v>
      </c>
      <c r="K656" s="7" t="s">
        <v>4380</v>
      </c>
      <c r="L656" s="7" t="s">
        <v>26</v>
      </c>
      <c r="M656" s="7">
        <v>60.35</v>
      </c>
      <c r="N656" s="7" t="s">
        <v>27</v>
      </c>
      <c r="O656" s="7">
        <f t="shared" ref="O656:O657" si="58">M656</f>
        <v>60.35</v>
      </c>
      <c r="P656" s="7">
        <f t="shared" ref="P656:P657" si="59">O656</f>
        <v>60.35</v>
      </c>
      <c r="Q656" s="7" t="s">
        <v>28</v>
      </c>
      <c r="R656" s="8">
        <v>42578</v>
      </c>
      <c r="S656" s="8">
        <v>401768</v>
      </c>
      <c r="T656" s="7"/>
      <c r="U656" s="9">
        <f t="shared" si="53"/>
        <v>0</v>
      </c>
    </row>
    <row r="657" spans="1:21" x14ac:dyDescent="0.25">
      <c r="A657" s="2" t="s">
        <v>4399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4400</v>
      </c>
      <c r="J657" s="7">
        <v>0</v>
      </c>
      <c r="K657" s="7" t="s">
        <v>4401</v>
      </c>
      <c r="L657" s="7" t="s">
        <v>26</v>
      </c>
      <c r="M657" s="7">
        <v>1120.32</v>
      </c>
      <c r="N657" s="7" t="s">
        <v>27</v>
      </c>
      <c r="O657" s="7">
        <f t="shared" si="58"/>
        <v>1120.32</v>
      </c>
      <c r="P657" s="7">
        <f t="shared" si="59"/>
        <v>1120.32</v>
      </c>
      <c r="Q657" s="7" t="s">
        <v>28</v>
      </c>
      <c r="R657" s="8">
        <v>43004</v>
      </c>
      <c r="S657" s="8">
        <v>401768</v>
      </c>
      <c r="T657" s="7"/>
      <c r="U657" s="9">
        <f t="shared" si="53"/>
        <v>0</v>
      </c>
    </row>
    <row r="658" spans="1:21" x14ac:dyDescent="0.25">
      <c r="A658" s="2" t="s">
        <v>4826</v>
      </c>
      <c r="B658" s="6">
        <v>44750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6383</v>
      </c>
      <c r="J658" s="7">
        <v>0</v>
      </c>
      <c r="K658" s="7" t="s">
        <v>6384</v>
      </c>
      <c r="L658" s="7" t="s">
        <v>26</v>
      </c>
      <c r="M658" s="7">
        <v>3.27</v>
      </c>
      <c r="N658" s="7" t="s">
        <v>160</v>
      </c>
      <c r="O658" s="7">
        <v>110</v>
      </c>
      <c r="P658" s="7">
        <f t="shared" si="52"/>
        <v>359.7</v>
      </c>
      <c r="Q658" s="7" t="s">
        <v>28</v>
      </c>
      <c r="R658" s="8">
        <v>44750</v>
      </c>
      <c r="S658" s="8">
        <v>401768</v>
      </c>
      <c r="T658" s="7"/>
      <c r="U658" s="9">
        <f t="shared" si="53"/>
        <v>0</v>
      </c>
    </row>
    <row r="659" spans="1:21" x14ac:dyDescent="0.25">
      <c r="A659" s="2" t="s">
        <v>4829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6385</v>
      </c>
      <c r="J659" s="7">
        <v>0</v>
      </c>
      <c r="K659" s="7" t="s">
        <v>6386</v>
      </c>
      <c r="L659" s="7" t="s">
        <v>26</v>
      </c>
      <c r="M659" s="7">
        <v>2.14</v>
      </c>
      <c r="N659" s="7" t="s">
        <v>160</v>
      </c>
      <c r="O659" s="7">
        <v>110</v>
      </c>
      <c r="P659" s="7">
        <f t="shared" si="52"/>
        <v>235.4</v>
      </c>
      <c r="Q659" s="7" t="s">
        <v>28</v>
      </c>
      <c r="R659" s="8">
        <v>44750</v>
      </c>
      <c r="S659" s="8">
        <v>401768</v>
      </c>
      <c r="T659" s="7"/>
      <c r="U659" s="9">
        <f t="shared" si="53"/>
        <v>0</v>
      </c>
    </row>
    <row r="660" spans="1:21" x14ac:dyDescent="0.25">
      <c r="A660" s="2" t="s">
        <v>4832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6387</v>
      </c>
      <c r="J660" s="7">
        <v>0</v>
      </c>
      <c r="K660" s="7" t="s">
        <v>6388</v>
      </c>
      <c r="L660" s="7" t="s">
        <v>26</v>
      </c>
      <c r="M660" s="7">
        <v>6.2</v>
      </c>
      <c r="N660" s="7" t="s">
        <v>160</v>
      </c>
      <c r="O660" s="7">
        <v>110</v>
      </c>
      <c r="P660" s="7">
        <f t="shared" si="52"/>
        <v>682</v>
      </c>
      <c r="Q660" s="7" t="s">
        <v>28</v>
      </c>
      <c r="R660" s="8">
        <v>45383</v>
      </c>
      <c r="S660" s="8">
        <v>401768</v>
      </c>
      <c r="T660" s="7"/>
      <c r="U660" s="9">
        <f t="shared" si="53"/>
        <v>0</v>
      </c>
    </row>
    <row r="661" spans="1:21" x14ac:dyDescent="0.25">
      <c r="A661" s="2" t="s">
        <v>4617</v>
      </c>
      <c r="B661" s="6">
        <v>43959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4618</v>
      </c>
      <c r="H661" s="7" t="s">
        <v>4619</v>
      </c>
      <c r="I661" s="7" t="s">
        <v>4404</v>
      </c>
      <c r="J661" s="7">
        <v>0</v>
      </c>
      <c r="K661" s="7" t="s">
        <v>4405</v>
      </c>
      <c r="L661" s="7" t="s">
        <v>26</v>
      </c>
      <c r="M661" s="7">
        <v>0.96</v>
      </c>
      <c r="N661" s="7" t="s">
        <v>160</v>
      </c>
      <c r="O661" s="7">
        <v>110</v>
      </c>
      <c r="P661" s="7">
        <f t="shared" si="52"/>
        <v>105.6</v>
      </c>
      <c r="Q661" s="7" t="s">
        <v>28</v>
      </c>
      <c r="R661" s="8">
        <v>44548</v>
      </c>
      <c r="S661" s="8">
        <v>401768</v>
      </c>
      <c r="T661" s="7"/>
      <c r="U661" s="9">
        <f t="shared" si="53"/>
        <v>0</v>
      </c>
    </row>
    <row r="662" spans="1:21" x14ac:dyDescent="0.25">
      <c r="A662" s="2" t="s">
        <v>4626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4400</v>
      </c>
      <c r="J662" s="7">
        <v>0</v>
      </c>
      <c r="K662" s="7" t="s">
        <v>4401</v>
      </c>
      <c r="L662" s="7" t="s">
        <v>26</v>
      </c>
      <c r="M662" s="7">
        <v>25.03</v>
      </c>
      <c r="N662" s="7" t="s">
        <v>160</v>
      </c>
      <c r="O662" s="7">
        <v>110</v>
      </c>
      <c r="P662" s="7">
        <f t="shared" si="52"/>
        <v>2753.3</v>
      </c>
      <c r="Q662" s="7" t="s">
        <v>28</v>
      </c>
      <c r="R662" s="8">
        <v>45276</v>
      </c>
      <c r="S662" s="8">
        <v>401768</v>
      </c>
      <c r="T662" s="7"/>
      <c r="U662" s="9">
        <f t="shared" si="53"/>
        <v>0</v>
      </c>
    </row>
    <row r="663" spans="1:21" x14ac:dyDescent="0.25">
      <c r="A663" s="2" t="s">
        <v>4627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4628</v>
      </c>
      <c r="J663" s="7">
        <v>0</v>
      </c>
      <c r="K663" s="7" t="s">
        <v>4629</v>
      </c>
      <c r="L663" s="7" t="s">
        <v>26</v>
      </c>
      <c r="M663" s="7">
        <v>9.9</v>
      </c>
      <c r="N663" s="7" t="s">
        <v>160</v>
      </c>
      <c r="O663" s="7">
        <v>110</v>
      </c>
      <c r="P663" s="7">
        <f t="shared" si="52"/>
        <v>1089</v>
      </c>
      <c r="Q663" s="7" t="s">
        <v>28</v>
      </c>
      <c r="R663" s="8">
        <v>45423</v>
      </c>
      <c r="S663" s="8">
        <v>401768</v>
      </c>
      <c r="T663" s="7"/>
      <c r="U663" s="9">
        <f t="shared" si="53"/>
        <v>0</v>
      </c>
    </row>
    <row r="664" spans="1:21" x14ac:dyDescent="0.25">
      <c r="A664" s="2" t="s">
        <v>2056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4402</v>
      </c>
      <c r="H664" s="7" t="s">
        <v>4403</v>
      </c>
      <c r="I664" s="7" t="s">
        <v>4366</v>
      </c>
      <c r="J664" s="7">
        <v>0</v>
      </c>
      <c r="K664" s="7" t="s">
        <v>4367</v>
      </c>
      <c r="L664" s="7" t="s">
        <v>26</v>
      </c>
      <c r="M664" s="7">
        <v>430.09</v>
      </c>
      <c r="N664" s="7" t="s">
        <v>27</v>
      </c>
      <c r="O664" s="7">
        <f t="shared" ref="O664:O711" si="60">M664</f>
        <v>430.09</v>
      </c>
      <c r="P664" s="7">
        <f t="shared" ref="P664:P711" si="61">O664</f>
        <v>430.09</v>
      </c>
      <c r="Q664" s="7" t="s">
        <v>28</v>
      </c>
      <c r="R664" s="8">
        <v>42524</v>
      </c>
      <c r="S664" s="8">
        <v>401768</v>
      </c>
      <c r="T664" s="7"/>
      <c r="U664" s="9">
        <f t="shared" si="53"/>
        <v>0</v>
      </c>
    </row>
    <row r="665" spans="1:21" x14ac:dyDescent="0.25">
      <c r="A665" s="2" t="s">
        <v>4287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4404</v>
      </c>
      <c r="J665" s="7">
        <v>0</v>
      </c>
      <c r="K665" s="7" t="s">
        <v>4405</v>
      </c>
      <c r="L665" s="7" t="s">
        <v>26</v>
      </c>
      <c r="M665" s="7">
        <v>60.57</v>
      </c>
      <c r="N665" s="7" t="s">
        <v>27</v>
      </c>
      <c r="O665" s="7">
        <f t="shared" si="60"/>
        <v>60.57</v>
      </c>
      <c r="P665" s="7">
        <f t="shared" si="61"/>
        <v>60.57</v>
      </c>
      <c r="Q665" s="7" t="s">
        <v>28</v>
      </c>
      <c r="R665" s="8">
        <v>42444</v>
      </c>
      <c r="S665" s="8">
        <v>401768</v>
      </c>
      <c r="T665" s="7"/>
      <c r="U665" s="9">
        <f t="shared" si="53"/>
        <v>0</v>
      </c>
    </row>
    <row r="666" spans="1:21" x14ac:dyDescent="0.25">
      <c r="A666" s="2" t="s">
        <v>2047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4406</v>
      </c>
      <c r="J666" s="7">
        <v>0</v>
      </c>
      <c r="K666" s="7" t="s">
        <v>4407</v>
      </c>
      <c r="L666" s="7" t="s">
        <v>26</v>
      </c>
      <c r="M666" s="7">
        <v>294.39999999999998</v>
      </c>
      <c r="N666" s="7" t="s">
        <v>27</v>
      </c>
      <c r="O666" s="7">
        <f t="shared" si="60"/>
        <v>294.39999999999998</v>
      </c>
      <c r="P666" s="7">
        <f t="shared" si="61"/>
        <v>294.39999999999998</v>
      </c>
      <c r="Q666" s="7" t="s">
        <v>28</v>
      </c>
      <c r="R666" s="8">
        <v>42524</v>
      </c>
      <c r="S666" s="8">
        <v>401768</v>
      </c>
      <c r="T666" s="7"/>
      <c r="U666" s="9">
        <f t="shared" si="53"/>
        <v>0</v>
      </c>
    </row>
    <row r="667" spans="1:21" x14ac:dyDescent="0.25">
      <c r="A667" s="2" t="s">
        <v>4408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4409</v>
      </c>
      <c r="J667" s="7">
        <v>0</v>
      </c>
      <c r="K667" s="7" t="s">
        <v>4410</v>
      </c>
      <c r="L667" s="7" t="s">
        <v>26</v>
      </c>
      <c r="M667" s="7">
        <v>181.76</v>
      </c>
      <c r="N667" s="7" t="s">
        <v>27</v>
      </c>
      <c r="O667" s="7">
        <f t="shared" si="60"/>
        <v>181.76</v>
      </c>
      <c r="P667" s="7">
        <f t="shared" si="61"/>
        <v>181.76</v>
      </c>
      <c r="Q667" s="7" t="s">
        <v>28</v>
      </c>
      <c r="R667" s="8">
        <v>46146</v>
      </c>
      <c r="S667" s="8">
        <v>401768</v>
      </c>
      <c r="T667" s="7"/>
      <c r="U667" s="9">
        <f t="shared" si="53"/>
        <v>0</v>
      </c>
    </row>
    <row r="668" spans="1:21" x14ac:dyDescent="0.25">
      <c r="A668" s="2" t="s">
        <v>4411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4412</v>
      </c>
      <c r="J668" s="7">
        <v>0</v>
      </c>
      <c r="K668" s="7" t="s">
        <v>4413</v>
      </c>
      <c r="L668" s="7" t="s">
        <v>26</v>
      </c>
      <c r="M668" s="7">
        <v>153.93</v>
      </c>
      <c r="N668" s="7" t="s">
        <v>27</v>
      </c>
      <c r="O668" s="7">
        <f t="shared" si="60"/>
        <v>153.93</v>
      </c>
      <c r="P668" s="7">
        <f t="shared" si="61"/>
        <v>153.93</v>
      </c>
      <c r="Q668" s="7" t="s">
        <v>28</v>
      </c>
      <c r="R668" s="8">
        <v>46146</v>
      </c>
      <c r="S668" s="8">
        <v>401768</v>
      </c>
      <c r="T668" s="7"/>
      <c r="U668" s="9">
        <f t="shared" si="53"/>
        <v>0</v>
      </c>
    </row>
    <row r="669" spans="1:21" x14ac:dyDescent="0.25">
      <c r="A669" s="2" t="s">
        <v>4414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4415</v>
      </c>
      <c r="J669" s="7">
        <v>0</v>
      </c>
      <c r="K669" s="7" t="s">
        <v>4416</v>
      </c>
      <c r="L669" s="7" t="s">
        <v>26</v>
      </c>
      <c r="M669" s="7">
        <v>16.59</v>
      </c>
      <c r="N669" s="7" t="s">
        <v>27</v>
      </c>
      <c r="O669" s="7">
        <f t="shared" si="60"/>
        <v>16.59</v>
      </c>
      <c r="P669" s="7">
        <f t="shared" si="61"/>
        <v>16.59</v>
      </c>
      <c r="Q669" s="7" t="s">
        <v>28</v>
      </c>
      <c r="R669" s="8">
        <v>46146</v>
      </c>
      <c r="S669" s="8">
        <v>401768</v>
      </c>
      <c r="T669" s="7"/>
      <c r="U669" s="9">
        <f t="shared" si="53"/>
        <v>0</v>
      </c>
    </row>
    <row r="670" spans="1:21" x14ac:dyDescent="0.25">
      <c r="A670" s="2" t="s">
        <v>4417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4418</v>
      </c>
      <c r="J670" s="7">
        <v>0</v>
      </c>
      <c r="K670" s="7" t="s">
        <v>4419</v>
      </c>
      <c r="L670" s="7" t="s">
        <v>26</v>
      </c>
      <c r="M670" s="7">
        <v>128.61000000000001</v>
      </c>
      <c r="N670" s="7" t="s">
        <v>27</v>
      </c>
      <c r="O670" s="7">
        <f t="shared" si="60"/>
        <v>128.61000000000001</v>
      </c>
      <c r="P670" s="7">
        <f t="shared" si="61"/>
        <v>128.61000000000001</v>
      </c>
      <c r="Q670" s="7" t="s">
        <v>28</v>
      </c>
      <c r="R670" s="8">
        <v>46146</v>
      </c>
      <c r="S670" s="8">
        <v>401768</v>
      </c>
      <c r="T670" s="7">
        <v>718</v>
      </c>
      <c r="U670" s="9">
        <f t="shared" si="53"/>
        <v>0.92341980000000012</v>
      </c>
    </row>
    <row r="671" spans="1:21" x14ac:dyDescent="0.25">
      <c r="A671" s="2" t="s">
        <v>4420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4421</v>
      </c>
      <c r="J671" s="7">
        <v>0</v>
      </c>
      <c r="K671" s="7" t="s">
        <v>4422</v>
      </c>
      <c r="L671" s="7" t="s">
        <v>26</v>
      </c>
      <c r="M671" s="7">
        <v>15.99</v>
      </c>
      <c r="N671" s="7" t="s">
        <v>27</v>
      </c>
      <c r="O671" s="7">
        <f t="shared" si="60"/>
        <v>15.99</v>
      </c>
      <c r="P671" s="7">
        <f t="shared" si="61"/>
        <v>15.99</v>
      </c>
      <c r="Q671" s="7" t="s">
        <v>28</v>
      </c>
      <c r="R671" s="8">
        <v>46146</v>
      </c>
      <c r="S671" s="8">
        <v>401768</v>
      </c>
      <c r="T671" s="7">
        <v>4380</v>
      </c>
      <c r="U671" s="9">
        <f t="shared" si="53"/>
        <v>0.70036199999999993</v>
      </c>
    </row>
    <row r="672" spans="1:21" x14ac:dyDescent="0.25">
      <c r="A672" s="2" t="s">
        <v>1350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4423</v>
      </c>
      <c r="J672" s="7">
        <v>0</v>
      </c>
      <c r="K672" s="7" t="s">
        <v>4424</v>
      </c>
      <c r="L672" s="7" t="s">
        <v>26</v>
      </c>
      <c r="M672" s="7">
        <v>78.62</v>
      </c>
      <c r="N672" s="7" t="s">
        <v>27</v>
      </c>
      <c r="O672" s="7">
        <f t="shared" si="60"/>
        <v>78.62</v>
      </c>
      <c r="P672" s="7">
        <f t="shared" si="61"/>
        <v>78.62</v>
      </c>
      <c r="Q672" s="7" t="s">
        <v>28</v>
      </c>
      <c r="R672" s="8">
        <v>46146</v>
      </c>
      <c r="S672" s="8">
        <v>401768</v>
      </c>
      <c r="T672" s="7">
        <v>828</v>
      </c>
      <c r="U672" s="9">
        <f t="shared" si="53"/>
        <v>0.65097360000000004</v>
      </c>
    </row>
    <row r="673" spans="1:21" x14ac:dyDescent="0.25">
      <c r="A673" s="2" t="s">
        <v>4425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4426</v>
      </c>
      <c r="J673" s="7">
        <v>0</v>
      </c>
      <c r="K673" s="7" t="s">
        <v>4427</v>
      </c>
      <c r="L673" s="7" t="s">
        <v>26</v>
      </c>
      <c r="M673" s="7">
        <v>73.8</v>
      </c>
      <c r="N673" s="7" t="s">
        <v>27</v>
      </c>
      <c r="O673" s="7">
        <f t="shared" si="60"/>
        <v>73.8</v>
      </c>
      <c r="P673" s="7">
        <f t="shared" si="61"/>
        <v>73.8</v>
      </c>
      <c r="Q673" s="7" t="s">
        <v>28</v>
      </c>
      <c r="R673" s="8">
        <v>46146</v>
      </c>
      <c r="S673" s="8">
        <v>401768</v>
      </c>
      <c r="T673" s="7">
        <v>4357</v>
      </c>
      <c r="U673" s="9">
        <f t="shared" si="53"/>
        <v>3.2154659999999997</v>
      </c>
    </row>
    <row r="674" spans="1:21" x14ac:dyDescent="0.25">
      <c r="A674" s="2" t="s">
        <v>1356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4428</v>
      </c>
      <c r="J674" s="7">
        <v>0</v>
      </c>
      <c r="K674" s="7" t="s">
        <v>4429</v>
      </c>
      <c r="L674" s="7" t="s">
        <v>26</v>
      </c>
      <c r="M674" s="7">
        <v>77.099999999999994</v>
      </c>
      <c r="N674" s="7" t="s">
        <v>27</v>
      </c>
      <c r="O674" s="7">
        <f t="shared" si="60"/>
        <v>77.099999999999994</v>
      </c>
      <c r="P674" s="7">
        <f t="shared" si="61"/>
        <v>77.099999999999994</v>
      </c>
      <c r="Q674" s="7" t="s">
        <v>28</v>
      </c>
      <c r="R674" s="8">
        <v>46146</v>
      </c>
      <c r="S674" s="8">
        <v>401768</v>
      </c>
      <c r="T674" s="7">
        <v>2310</v>
      </c>
      <c r="U674" s="9">
        <f t="shared" si="53"/>
        <v>1.78101</v>
      </c>
    </row>
    <row r="675" spans="1:21" x14ac:dyDescent="0.25">
      <c r="A675" s="2" t="s">
        <v>3787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4430</v>
      </c>
      <c r="J675" s="7">
        <v>0</v>
      </c>
      <c r="K675" s="7" t="s">
        <v>4431</v>
      </c>
      <c r="L675" s="7" t="s">
        <v>26</v>
      </c>
      <c r="M675" s="7">
        <v>60.48</v>
      </c>
      <c r="N675" s="7" t="s">
        <v>27</v>
      </c>
      <c r="O675" s="7">
        <f t="shared" si="60"/>
        <v>60.48</v>
      </c>
      <c r="P675" s="7">
        <f t="shared" si="61"/>
        <v>60.48</v>
      </c>
      <c r="Q675" s="7" t="s">
        <v>28</v>
      </c>
      <c r="R675" s="8">
        <v>46146</v>
      </c>
      <c r="S675" s="8">
        <v>401768</v>
      </c>
      <c r="T675" s="7"/>
      <c r="U675" s="9">
        <f t="shared" si="53"/>
        <v>0</v>
      </c>
    </row>
    <row r="676" spans="1:21" x14ac:dyDescent="0.25">
      <c r="A676" s="2" t="s">
        <v>4432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4433</v>
      </c>
      <c r="J676" s="7">
        <v>0</v>
      </c>
      <c r="K676" s="7" t="s">
        <v>4434</v>
      </c>
      <c r="L676" s="7" t="s">
        <v>26</v>
      </c>
      <c r="M676" s="7">
        <v>62.71</v>
      </c>
      <c r="N676" s="7" t="s">
        <v>27</v>
      </c>
      <c r="O676" s="7">
        <f t="shared" si="60"/>
        <v>62.71</v>
      </c>
      <c r="P676" s="7">
        <f t="shared" si="61"/>
        <v>62.71</v>
      </c>
      <c r="Q676" s="7" t="s">
        <v>28</v>
      </c>
      <c r="R676" s="8">
        <v>46146</v>
      </c>
      <c r="S676" s="8">
        <v>401768</v>
      </c>
      <c r="T676" s="7"/>
      <c r="U676" s="9">
        <f t="shared" si="53"/>
        <v>0</v>
      </c>
    </row>
    <row r="677" spans="1:21" x14ac:dyDescent="0.25">
      <c r="A677" s="2" t="s">
        <v>3522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4435</v>
      </c>
      <c r="J677" s="7">
        <v>0</v>
      </c>
      <c r="K677" s="7" t="s">
        <v>4436</v>
      </c>
      <c r="L677" s="7" t="s">
        <v>26</v>
      </c>
      <c r="M677" s="7">
        <v>93.32</v>
      </c>
      <c r="N677" s="7" t="s">
        <v>27</v>
      </c>
      <c r="O677" s="7">
        <f t="shared" si="60"/>
        <v>93.32</v>
      </c>
      <c r="P677" s="7">
        <f t="shared" si="61"/>
        <v>93.32</v>
      </c>
      <c r="Q677" s="7" t="s">
        <v>28</v>
      </c>
      <c r="R677" s="8">
        <v>46146</v>
      </c>
      <c r="S677" s="8">
        <v>401768</v>
      </c>
      <c r="T677" s="7"/>
      <c r="U677" s="9">
        <f t="shared" si="53"/>
        <v>0</v>
      </c>
    </row>
    <row r="678" spans="1:21" x14ac:dyDescent="0.25">
      <c r="A678" s="2" t="s">
        <v>4437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4438</v>
      </c>
      <c r="J678" s="7">
        <v>0</v>
      </c>
      <c r="K678" s="7" t="s">
        <v>4439</v>
      </c>
      <c r="L678" s="7" t="s">
        <v>26</v>
      </c>
      <c r="M678" s="7">
        <v>95.78</v>
      </c>
      <c r="N678" s="7" t="s">
        <v>27</v>
      </c>
      <c r="O678" s="7">
        <f t="shared" si="60"/>
        <v>95.78</v>
      </c>
      <c r="P678" s="7">
        <f t="shared" si="61"/>
        <v>95.78</v>
      </c>
      <c r="Q678" s="7" t="s">
        <v>28</v>
      </c>
      <c r="R678" s="8">
        <v>46146</v>
      </c>
      <c r="S678" s="8">
        <v>401768</v>
      </c>
      <c r="T678" s="7"/>
      <c r="U678" s="9">
        <f t="shared" si="53"/>
        <v>0</v>
      </c>
    </row>
    <row r="679" spans="1:21" x14ac:dyDescent="0.25">
      <c r="A679" s="2" t="s">
        <v>4440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4441</v>
      </c>
      <c r="J679" s="7">
        <v>0</v>
      </c>
      <c r="K679" s="7" t="s">
        <v>4442</v>
      </c>
      <c r="L679" s="7" t="s">
        <v>26</v>
      </c>
      <c r="M679" s="7">
        <v>215.68</v>
      </c>
      <c r="N679" s="7" t="s">
        <v>27</v>
      </c>
      <c r="O679" s="7">
        <f t="shared" si="60"/>
        <v>215.68</v>
      </c>
      <c r="P679" s="7">
        <f t="shared" si="61"/>
        <v>215.68</v>
      </c>
      <c r="Q679" s="7" t="s">
        <v>28</v>
      </c>
      <c r="R679" s="8">
        <v>44834</v>
      </c>
      <c r="S679" s="8">
        <v>401768</v>
      </c>
      <c r="T679" s="7"/>
      <c r="U679" s="9">
        <f t="shared" si="53"/>
        <v>0</v>
      </c>
    </row>
    <row r="680" spans="1:21" x14ac:dyDescent="0.25">
      <c r="A680" s="2" t="s">
        <v>4080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4443</v>
      </c>
      <c r="J680" s="7">
        <v>0</v>
      </c>
      <c r="K680" s="7" t="s">
        <v>4444</v>
      </c>
      <c r="L680" s="7" t="s">
        <v>26</v>
      </c>
      <c r="M680" s="7">
        <v>58.63</v>
      </c>
      <c r="N680" s="7" t="s">
        <v>27</v>
      </c>
      <c r="O680" s="7">
        <f t="shared" si="60"/>
        <v>58.63</v>
      </c>
      <c r="P680" s="7">
        <f t="shared" si="61"/>
        <v>58.63</v>
      </c>
      <c r="Q680" s="7" t="s">
        <v>28</v>
      </c>
      <c r="R680" s="8">
        <v>43299</v>
      </c>
      <c r="S680" s="8">
        <v>401768</v>
      </c>
      <c r="T680" s="7"/>
      <c r="U680" s="9">
        <f t="shared" si="53"/>
        <v>0</v>
      </c>
    </row>
    <row r="681" spans="1:21" x14ac:dyDescent="0.25">
      <c r="A681" s="2" t="s">
        <v>82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4445</v>
      </c>
      <c r="J681" s="7">
        <v>0</v>
      </c>
      <c r="K681" s="7" t="s">
        <v>4446</v>
      </c>
      <c r="L681" s="7" t="s">
        <v>26</v>
      </c>
      <c r="M681" s="7">
        <v>71.48</v>
      </c>
      <c r="N681" s="7" t="s">
        <v>27</v>
      </c>
      <c r="O681" s="7">
        <f t="shared" si="60"/>
        <v>71.48</v>
      </c>
      <c r="P681" s="7">
        <f t="shared" si="61"/>
        <v>71.48</v>
      </c>
      <c r="Q681" s="7" t="s">
        <v>28</v>
      </c>
      <c r="R681" s="8">
        <v>46146</v>
      </c>
      <c r="S681" s="8">
        <v>401768</v>
      </c>
      <c r="T681" s="7"/>
      <c r="U681" s="9">
        <f t="shared" si="53"/>
        <v>0</v>
      </c>
    </row>
    <row r="682" spans="1:21" x14ac:dyDescent="0.25">
      <c r="A682" s="2" t="s">
        <v>3001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4192</v>
      </c>
      <c r="H682" s="7" t="s">
        <v>4193</v>
      </c>
      <c r="I682" s="7" t="s">
        <v>4194</v>
      </c>
      <c r="J682" s="7">
        <v>0</v>
      </c>
      <c r="K682" s="7" t="s">
        <v>4195</v>
      </c>
      <c r="L682" s="7" t="s">
        <v>26</v>
      </c>
      <c r="M682" s="7">
        <v>90.67</v>
      </c>
      <c r="N682" s="7" t="s">
        <v>27</v>
      </c>
      <c r="O682" s="7">
        <f t="shared" si="60"/>
        <v>90.67</v>
      </c>
      <c r="P682" s="7">
        <f t="shared" si="61"/>
        <v>90.67</v>
      </c>
      <c r="Q682" s="7" t="s">
        <v>28</v>
      </c>
      <c r="R682" s="8">
        <v>44435</v>
      </c>
      <c r="S682" s="8">
        <v>401768</v>
      </c>
      <c r="T682" s="7"/>
      <c r="U682" s="9">
        <f t="shared" si="53"/>
        <v>0</v>
      </c>
    </row>
    <row r="683" spans="1:21" x14ac:dyDescent="0.25">
      <c r="A683" s="2" t="s">
        <v>4196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4197</v>
      </c>
      <c r="J683" s="7">
        <v>0</v>
      </c>
      <c r="K683" s="7" t="s">
        <v>4198</v>
      </c>
      <c r="L683" s="7" t="s">
        <v>26</v>
      </c>
      <c r="M683" s="7">
        <v>95.72</v>
      </c>
      <c r="N683" s="7" t="s">
        <v>27</v>
      </c>
      <c r="O683" s="7">
        <f t="shared" si="60"/>
        <v>95.72</v>
      </c>
      <c r="P683" s="7">
        <f t="shared" si="61"/>
        <v>95.72</v>
      </c>
      <c r="Q683" s="7" t="s">
        <v>28</v>
      </c>
      <c r="R683" s="8">
        <v>44427</v>
      </c>
      <c r="S683" s="8">
        <v>401768</v>
      </c>
      <c r="T683" s="7"/>
      <c r="U683" s="9">
        <f t="shared" si="53"/>
        <v>0</v>
      </c>
    </row>
    <row r="684" spans="1:21" x14ac:dyDescent="0.25">
      <c r="A684" s="2" t="s">
        <v>965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4199</v>
      </c>
      <c r="J684" s="7">
        <v>0</v>
      </c>
      <c r="K684" s="7" t="s">
        <v>4200</v>
      </c>
      <c r="L684" s="7" t="s">
        <v>26</v>
      </c>
      <c r="M684" s="7">
        <v>58.82</v>
      </c>
      <c r="N684" s="7" t="s">
        <v>27</v>
      </c>
      <c r="O684" s="7">
        <f t="shared" si="60"/>
        <v>58.82</v>
      </c>
      <c r="P684" s="7">
        <f t="shared" si="61"/>
        <v>58.82</v>
      </c>
      <c r="Q684" s="7" t="s">
        <v>28</v>
      </c>
      <c r="R684" s="8">
        <v>41981</v>
      </c>
      <c r="S684" s="8">
        <v>401768</v>
      </c>
      <c r="T684" s="7"/>
      <c r="U684" s="9">
        <f t="shared" si="53"/>
        <v>0</v>
      </c>
    </row>
    <row r="685" spans="1:21" x14ac:dyDescent="0.25">
      <c r="A685" s="2" t="s">
        <v>4201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4202</v>
      </c>
      <c r="J685" s="7">
        <v>0</v>
      </c>
      <c r="K685" s="7" t="s">
        <v>4203</v>
      </c>
      <c r="L685" s="7" t="s">
        <v>26</v>
      </c>
      <c r="M685" s="7">
        <v>62.49</v>
      </c>
      <c r="N685" s="7" t="s">
        <v>27</v>
      </c>
      <c r="O685" s="7">
        <f t="shared" si="60"/>
        <v>62.49</v>
      </c>
      <c r="P685" s="7">
        <f t="shared" si="61"/>
        <v>62.49</v>
      </c>
      <c r="Q685" s="7" t="s">
        <v>28</v>
      </c>
      <c r="R685" s="8">
        <v>44438</v>
      </c>
      <c r="S685" s="8">
        <v>401768</v>
      </c>
      <c r="T685" s="7"/>
      <c r="U685" s="9">
        <f t="shared" si="53"/>
        <v>0</v>
      </c>
    </row>
    <row r="686" spans="1:21" x14ac:dyDescent="0.25">
      <c r="A686" s="2" t="s">
        <v>2592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4204</v>
      </c>
      <c r="J686" s="7">
        <v>0</v>
      </c>
      <c r="K686" s="7" t="s">
        <v>4205</v>
      </c>
      <c r="L686" s="7" t="s">
        <v>26</v>
      </c>
      <c r="M686" s="7">
        <v>126.53</v>
      </c>
      <c r="N686" s="7" t="s">
        <v>27</v>
      </c>
      <c r="O686" s="7">
        <f t="shared" si="60"/>
        <v>126.53</v>
      </c>
      <c r="P686" s="7">
        <f t="shared" si="61"/>
        <v>126.53</v>
      </c>
      <c r="Q686" s="7" t="s">
        <v>28</v>
      </c>
      <c r="R686" s="8">
        <v>42695</v>
      </c>
      <c r="S686" s="8">
        <v>401768</v>
      </c>
      <c r="T686" s="7"/>
      <c r="U686" s="9">
        <f t="shared" si="53"/>
        <v>0</v>
      </c>
    </row>
    <row r="687" spans="1:21" x14ac:dyDescent="0.25">
      <c r="A687" s="2" t="s">
        <v>4206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4207</v>
      </c>
      <c r="J687" s="7">
        <v>0</v>
      </c>
      <c r="K687" s="7" t="s">
        <v>4208</v>
      </c>
      <c r="L687" s="7" t="s">
        <v>26</v>
      </c>
      <c r="M687" s="7">
        <v>55.31</v>
      </c>
      <c r="N687" s="7" t="s">
        <v>27</v>
      </c>
      <c r="O687" s="7">
        <f t="shared" si="60"/>
        <v>55.31</v>
      </c>
      <c r="P687" s="7">
        <f t="shared" si="61"/>
        <v>55.31</v>
      </c>
      <c r="Q687" s="7" t="s">
        <v>28</v>
      </c>
      <c r="R687" s="8">
        <v>41999</v>
      </c>
      <c r="S687" s="8">
        <v>401768</v>
      </c>
      <c r="T687" s="7"/>
      <c r="U687" s="9">
        <f t="shared" si="53"/>
        <v>0</v>
      </c>
    </row>
    <row r="688" spans="1:21" x14ac:dyDescent="0.25">
      <c r="A688" s="2" t="s">
        <v>3907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4209</v>
      </c>
      <c r="J688" s="7">
        <v>0</v>
      </c>
      <c r="K688" s="7" t="s">
        <v>4210</v>
      </c>
      <c r="L688" s="7" t="s">
        <v>26</v>
      </c>
      <c r="M688" s="7">
        <v>59.1</v>
      </c>
      <c r="N688" s="7" t="s">
        <v>27</v>
      </c>
      <c r="O688" s="7">
        <f t="shared" si="60"/>
        <v>59.1</v>
      </c>
      <c r="P688" s="7">
        <f t="shared" si="61"/>
        <v>59.1</v>
      </c>
      <c r="Q688" s="7" t="s">
        <v>28</v>
      </c>
      <c r="R688" s="8">
        <v>42000</v>
      </c>
      <c r="S688" s="8">
        <v>401768</v>
      </c>
      <c r="T688" s="7"/>
      <c r="U688" s="9">
        <f t="shared" si="53"/>
        <v>0</v>
      </c>
    </row>
    <row r="689" spans="1:21" x14ac:dyDescent="0.25">
      <c r="A689" s="2" t="s">
        <v>894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4211</v>
      </c>
      <c r="J689" s="7">
        <v>0</v>
      </c>
      <c r="K689" s="7" t="s">
        <v>4212</v>
      </c>
      <c r="L689" s="7" t="s">
        <v>26</v>
      </c>
      <c r="M689" s="7">
        <v>38.36</v>
      </c>
      <c r="N689" s="7" t="s">
        <v>27</v>
      </c>
      <c r="O689" s="7">
        <f t="shared" si="60"/>
        <v>38.36</v>
      </c>
      <c r="P689" s="7">
        <f t="shared" si="61"/>
        <v>38.36</v>
      </c>
      <c r="Q689" s="7" t="s">
        <v>28</v>
      </c>
      <c r="R689" s="8">
        <v>42122</v>
      </c>
      <c r="S689" s="8">
        <v>401768</v>
      </c>
      <c r="T689" s="7"/>
      <c r="U689" s="9">
        <f t="shared" si="53"/>
        <v>0</v>
      </c>
    </row>
    <row r="690" spans="1:21" x14ac:dyDescent="0.25">
      <c r="A690" s="2" t="s">
        <v>2957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4213</v>
      </c>
      <c r="J690" s="7">
        <v>0</v>
      </c>
      <c r="K690" s="7" t="s">
        <v>4214</v>
      </c>
      <c r="L690" s="7" t="s">
        <v>26</v>
      </c>
      <c r="M690" s="7">
        <v>14.5</v>
      </c>
      <c r="N690" s="7" t="s">
        <v>27</v>
      </c>
      <c r="O690" s="7">
        <f t="shared" si="60"/>
        <v>14.5</v>
      </c>
      <c r="P690" s="7">
        <f t="shared" si="61"/>
        <v>14.5</v>
      </c>
      <c r="Q690" s="7" t="s">
        <v>28</v>
      </c>
      <c r="R690" s="8">
        <v>42016</v>
      </c>
      <c r="S690" s="8">
        <v>401768</v>
      </c>
      <c r="T690" s="7"/>
      <c r="U690" s="9">
        <f t="shared" si="53"/>
        <v>0</v>
      </c>
    </row>
    <row r="691" spans="1:21" x14ac:dyDescent="0.25">
      <c r="A691" s="2" t="s">
        <v>2875</v>
      </c>
      <c r="B691" s="6">
        <v>44461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6124</v>
      </c>
      <c r="J691" s="7">
        <v>0</v>
      </c>
      <c r="K691" s="7" t="s">
        <v>6125</v>
      </c>
      <c r="L691" s="7" t="s">
        <v>49</v>
      </c>
      <c r="M691" s="7">
        <v>24000</v>
      </c>
      <c r="N691" s="7" t="s">
        <v>27</v>
      </c>
      <c r="O691" s="7">
        <f t="shared" si="60"/>
        <v>24000</v>
      </c>
      <c r="P691" s="7">
        <f t="shared" si="61"/>
        <v>24000</v>
      </c>
      <c r="Q691" s="7" t="s">
        <v>28</v>
      </c>
      <c r="R691" s="8">
        <v>44462</v>
      </c>
      <c r="S691" s="8">
        <v>401768</v>
      </c>
      <c r="T691" s="7"/>
      <c r="U691" s="9">
        <f t="shared" si="53"/>
        <v>0</v>
      </c>
    </row>
    <row r="692" spans="1:21" x14ac:dyDescent="0.25">
      <c r="A692" s="2" t="s">
        <v>6160</v>
      </c>
      <c r="B692" s="6">
        <v>44541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6102</v>
      </c>
      <c r="J692" s="7">
        <v>0</v>
      </c>
      <c r="K692" s="7" t="s">
        <v>6103</v>
      </c>
      <c r="L692" s="7" t="s">
        <v>26</v>
      </c>
      <c r="M692" s="7">
        <v>74053</v>
      </c>
      <c r="N692" s="7" t="s">
        <v>27</v>
      </c>
      <c r="O692" s="7">
        <f t="shared" si="60"/>
        <v>74053</v>
      </c>
      <c r="P692" s="7">
        <f t="shared" si="61"/>
        <v>74053</v>
      </c>
      <c r="Q692" s="7" t="s">
        <v>28</v>
      </c>
      <c r="R692" s="8">
        <v>44541</v>
      </c>
      <c r="S692" s="8">
        <v>401768</v>
      </c>
      <c r="T692" s="7"/>
      <c r="U692" s="9">
        <f t="shared" si="53"/>
        <v>0</v>
      </c>
    </row>
    <row r="693" spans="1:21" x14ac:dyDescent="0.25">
      <c r="A693" s="2" t="s">
        <v>2908</v>
      </c>
      <c r="B693" s="6">
        <v>43959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4581</v>
      </c>
      <c r="H693" s="7" t="s">
        <v>4582</v>
      </c>
      <c r="I693" s="7" t="s">
        <v>4583</v>
      </c>
      <c r="J693" s="7">
        <v>0</v>
      </c>
      <c r="K693" s="7" t="s">
        <v>4584</v>
      </c>
      <c r="L693" s="7" t="s">
        <v>26</v>
      </c>
      <c r="M693" s="7">
        <v>207.6</v>
      </c>
      <c r="N693" s="7" t="s">
        <v>27</v>
      </c>
      <c r="O693" s="7">
        <f t="shared" si="60"/>
        <v>207.6</v>
      </c>
      <c r="P693" s="7">
        <f t="shared" si="61"/>
        <v>207.6</v>
      </c>
      <c r="Q693" s="7" t="s">
        <v>28</v>
      </c>
      <c r="R693" s="8">
        <v>44644</v>
      </c>
      <c r="S693" s="8">
        <v>401768</v>
      </c>
      <c r="T693" s="7"/>
      <c r="U693" s="9">
        <f t="shared" si="53"/>
        <v>0</v>
      </c>
    </row>
    <row r="694" spans="1:21" x14ac:dyDescent="0.25">
      <c r="A694" s="2" t="s">
        <v>4033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4269</v>
      </c>
      <c r="H694" s="7" t="s">
        <v>4270</v>
      </c>
      <c r="I694" s="7" t="s">
        <v>4271</v>
      </c>
      <c r="J694" s="7">
        <v>0</v>
      </c>
      <c r="K694" s="7" t="s">
        <v>4272</v>
      </c>
      <c r="L694" s="7" t="s">
        <v>26</v>
      </c>
      <c r="M694" s="7">
        <v>6.74</v>
      </c>
      <c r="N694" s="7" t="s">
        <v>27</v>
      </c>
      <c r="O694" s="7">
        <f t="shared" si="60"/>
        <v>6.74</v>
      </c>
      <c r="P694" s="7">
        <f t="shared" si="61"/>
        <v>6.74</v>
      </c>
      <c r="Q694" s="7" t="s">
        <v>28</v>
      </c>
      <c r="R694" s="8">
        <v>41365</v>
      </c>
      <c r="S694" s="8">
        <v>401768</v>
      </c>
      <c r="T694" s="7"/>
      <c r="U694" s="9">
        <f t="shared" si="53"/>
        <v>0</v>
      </c>
    </row>
    <row r="695" spans="1:21" x14ac:dyDescent="0.25">
      <c r="A695" s="2" t="s">
        <v>4273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4274</v>
      </c>
      <c r="H695" s="7" t="s">
        <v>4275</v>
      </c>
      <c r="I695" s="7" t="s">
        <v>4276</v>
      </c>
      <c r="J695" s="7">
        <v>0</v>
      </c>
      <c r="K695" s="7" t="s">
        <v>4277</v>
      </c>
      <c r="L695" s="7" t="s">
        <v>26</v>
      </c>
      <c r="M695" s="7">
        <v>3</v>
      </c>
      <c r="N695" s="7" t="s">
        <v>27</v>
      </c>
      <c r="O695" s="7">
        <f t="shared" si="60"/>
        <v>3</v>
      </c>
      <c r="P695" s="7">
        <f t="shared" si="61"/>
        <v>3</v>
      </c>
      <c r="Q695" s="7" t="s">
        <v>28</v>
      </c>
      <c r="R695" s="8">
        <v>43088</v>
      </c>
      <c r="S695" s="8">
        <v>401768</v>
      </c>
      <c r="T695" s="7"/>
      <c r="U695" s="9">
        <f t="shared" si="53"/>
        <v>0</v>
      </c>
    </row>
    <row r="696" spans="1:21" x14ac:dyDescent="0.25">
      <c r="A696" s="2" t="s">
        <v>3211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4278</v>
      </c>
      <c r="J696" s="7">
        <v>0</v>
      </c>
      <c r="K696" s="7" t="s">
        <v>4279</v>
      </c>
      <c r="L696" s="7" t="s">
        <v>26</v>
      </c>
      <c r="M696" s="7">
        <v>10</v>
      </c>
      <c r="N696" s="7" t="s">
        <v>27</v>
      </c>
      <c r="O696" s="7">
        <f t="shared" si="60"/>
        <v>10</v>
      </c>
      <c r="P696" s="7">
        <f t="shared" si="61"/>
        <v>10</v>
      </c>
      <c r="Q696" s="7" t="s">
        <v>28</v>
      </c>
      <c r="R696" s="8">
        <v>41365</v>
      </c>
      <c r="S696" s="8">
        <v>401768</v>
      </c>
      <c r="T696" s="7"/>
      <c r="U696" s="9">
        <f t="shared" si="53"/>
        <v>0</v>
      </c>
    </row>
    <row r="697" spans="1:21" x14ac:dyDescent="0.25">
      <c r="A697" s="2" t="s">
        <v>2913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4280</v>
      </c>
      <c r="J697" s="7">
        <v>0</v>
      </c>
      <c r="K697" s="7" t="s">
        <v>4281</v>
      </c>
      <c r="L697" s="7" t="s">
        <v>26</v>
      </c>
      <c r="M697" s="7">
        <v>18</v>
      </c>
      <c r="N697" s="7" t="s">
        <v>27</v>
      </c>
      <c r="O697" s="7">
        <f t="shared" si="60"/>
        <v>18</v>
      </c>
      <c r="P697" s="7">
        <f t="shared" si="61"/>
        <v>18</v>
      </c>
      <c r="Q697" s="7" t="s">
        <v>28</v>
      </c>
      <c r="R697" s="8">
        <v>41849</v>
      </c>
      <c r="S697" s="8">
        <v>401768</v>
      </c>
      <c r="T697" s="7"/>
      <c r="U697" s="9">
        <f t="shared" si="53"/>
        <v>0</v>
      </c>
    </row>
    <row r="698" spans="1:21" x14ac:dyDescent="0.25">
      <c r="A698" s="2" t="s">
        <v>4282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4283</v>
      </c>
      <c r="J698" s="7">
        <v>0</v>
      </c>
      <c r="K698" s="7" t="s">
        <v>4284</v>
      </c>
      <c r="L698" s="7" t="s">
        <v>26</v>
      </c>
      <c r="M698" s="7">
        <v>14.4</v>
      </c>
      <c r="N698" s="7" t="s">
        <v>27</v>
      </c>
      <c r="O698" s="7">
        <f t="shared" si="60"/>
        <v>14.4</v>
      </c>
      <c r="P698" s="7">
        <f t="shared" si="61"/>
        <v>14.4</v>
      </c>
      <c r="Q698" s="7" t="s">
        <v>28</v>
      </c>
      <c r="R698" s="8">
        <v>41426</v>
      </c>
      <c r="S698" s="8">
        <v>401768</v>
      </c>
      <c r="T698" s="7"/>
      <c r="U698" s="9">
        <f t="shared" si="53"/>
        <v>0</v>
      </c>
    </row>
    <row r="699" spans="1:21" x14ac:dyDescent="0.25">
      <c r="A699" s="2" t="s">
        <v>4264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4265</v>
      </c>
      <c r="H699" s="7" t="s">
        <v>4266</v>
      </c>
      <c r="I699" s="7" t="s">
        <v>4267</v>
      </c>
      <c r="J699" s="7">
        <v>0</v>
      </c>
      <c r="K699" s="7" t="s">
        <v>4268</v>
      </c>
      <c r="L699" s="7" t="s">
        <v>26</v>
      </c>
      <c r="M699" s="7">
        <v>16.87</v>
      </c>
      <c r="N699" s="7" t="s">
        <v>27</v>
      </c>
      <c r="O699" s="7">
        <f t="shared" si="60"/>
        <v>16.87</v>
      </c>
      <c r="P699" s="7">
        <f t="shared" si="61"/>
        <v>16.87</v>
      </c>
      <c r="Q699" s="7" t="s">
        <v>28</v>
      </c>
      <c r="R699" s="8">
        <v>42422</v>
      </c>
      <c r="S699" s="8">
        <v>401768</v>
      </c>
      <c r="T699" s="7"/>
      <c r="U699" s="9">
        <f t="shared" si="53"/>
        <v>0</v>
      </c>
    </row>
    <row r="700" spans="1:21" x14ac:dyDescent="0.25">
      <c r="A700" s="2" t="s">
        <v>3766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4648</v>
      </c>
      <c r="H700" s="7" t="s">
        <v>4649</v>
      </c>
      <c r="I700" s="7" t="s">
        <v>4650</v>
      </c>
      <c r="J700" s="7">
        <v>0</v>
      </c>
      <c r="K700" s="7" t="s">
        <v>4651</v>
      </c>
      <c r="L700" s="7" t="s">
        <v>26</v>
      </c>
      <c r="M700" s="7">
        <v>587</v>
      </c>
      <c r="N700" s="7" t="s">
        <v>27</v>
      </c>
      <c r="O700" s="7">
        <f t="shared" si="60"/>
        <v>587</v>
      </c>
      <c r="P700" s="7">
        <f t="shared" si="61"/>
        <v>587</v>
      </c>
      <c r="Q700" s="7" t="s">
        <v>28</v>
      </c>
      <c r="R700" s="8">
        <v>45159</v>
      </c>
      <c r="S700" s="8">
        <v>401768</v>
      </c>
      <c r="T700" s="7"/>
      <c r="U700" s="9">
        <f t="shared" si="53"/>
        <v>0</v>
      </c>
    </row>
    <row r="701" spans="1:21" x14ac:dyDescent="0.25">
      <c r="A701" s="2" t="s">
        <v>3252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4652</v>
      </c>
      <c r="J701" s="7">
        <v>0</v>
      </c>
      <c r="K701" s="7" t="s">
        <v>4653</v>
      </c>
      <c r="L701" s="7" t="s">
        <v>26</v>
      </c>
      <c r="M701" s="7">
        <v>347</v>
      </c>
      <c r="N701" s="7" t="s">
        <v>27</v>
      </c>
      <c r="O701" s="7">
        <f t="shared" si="60"/>
        <v>347</v>
      </c>
      <c r="P701" s="7">
        <f t="shared" si="61"/>
        <v>347</v>
      </c>
      <c r="Q701" s="7" t="s">
        <v>28</v>
      </c>
      <c r="R701" s="8">
        <v>45159</v>
      </c>
      <c r="S701" s="8">
        <v>401768</v>
      </c>
      <c r="T701" s="7"/>
      <c r="U701" s="9">
        <f t="shared" si="53"/>
        <v>0</v>
      </c>
    </row>
    <row r="702" spans="1:21" x14ac:dyDescent="0.25">
      <c r="A702" s="2" t="s">
        <v>6818</v>
      </c>
      <c r="B702" s="6">
        <v>45159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5795</v>
      </c>
      <c r="J702" s="7">
        <v>0</v>
      </c>
      <c r="K702" s="7" t="s">
        <v>5796</v>
      </c>
      <c r="L702" s="7" t="s">
        <v>26</v>
      </c>
      <c r="M702" s="7">
        <v>8310</v>
      </c>
      <c r="N702" s="7" t="s">
        <v>27</v>
      </c>
      <c r="O702" s="7">
        <f t="shared" si="60"/>
        <v>8310</v>
      </c>
      <c r="P702" s="7">
        <f t="shared" si="61"/>
        <v>8310</v>
      </c>
      <c r="Q702" s="7" t="s">
        <v>28</v>
      </c>
      <c r="R702" s="8">
        <v>45159</v>
      </c>
      <c r="S702" s="8">
        <v>401768</v>
      </c>
      <c r="T702" s="7"/>
      <c r="U702" s="9">
        <f t="shared" si="53"/>
        <v>0</v>
      </c>
    </row>
    <row r="703" spans="1:21" x14ac:dyDescent="0.25">
      <c r="A703" s="2" t="s">
        <v>6819</v>
      </c>
      <c r="B703" s="6">
        <v>45161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60"/>
        <v>8310</v>
      </c>
      <c r="P703" s="7">
        <f t="shared" si="61"/>
        <v>8310</v>
      </c>
      <c r="Q703" s="7" t="s">
        <v>28</v>
      </c>
      <c r="R703" s="8">
        <v>45161</v>
      </c>
      <c r="S703" s="8">
        <v>401768</v>
      </c>
      <c r="T703" s="7"/>
      <c r="U703" s="9">
        <f t="shared" si="53"/>
        <v>0</v>
      </c>
    </row>
    <row r="704" spans="1:21" x14ac:dyDescent="0.25">
      <c r="A704" s="2" t="s">
        <v>4251</v>
      </c>
      <c r="B704" s="6">
        <v>44370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6020</v>
      </c>
      <c r="H704" s="7" t="s">
        <v>6021</v>
      </c>
      <c r="I704" s="7" t="s">
        <v>818</v>
      </c>
      <c r="J704" s="7">
        <v>0</v>
      </c>
      <c r="K704" s="7" t="s">
        <v>819</v>
      </c>
      <c r="L704" s="7" t="s">
        <v>26</v>
      </c>
      <c r="M704" s="7">
        <v>57</v>
      </c>
      <c r="N704" s="7" t="s">
        <v>27</v>
      </c>
      <c r="O704" s="7">
        <f t="shared" si="60"/>
        <v>57</v>
      </c>
      <c r="P704" s="7">
        <f t="shared" si="61"/>
        <v>57</v>
      </c>
      <c r="Q704" s="7" t="s">
        <v>28</v>
      </c>
      <c r="R704" s="8">
        <v>44370</v>
      </c>
      <c r="S704" s="8">
        <v>401768</v>
      </c>
      <c r="T704" s="7"/>
      <c r="U704" s="9">
        <f t="shared" si="53"/>
        <v>0</v>
      </c>
    </row>
    <row r="705" spans="1:21" x14ac:dyDescent="0.25">
      <c r="A705" s="2" t="s">
        <v>6022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850</v>
      </c>
      <c r="J705" s="7">
        <v>0</v>
      </c>
      <c r="K705" s="7" t="s">
        <v>851</v>
      </c>
      <c r="L705" s="7" t="s">
        <v>26</v>
      </c>
      <c r="M705" s="7">
        <v>1460</v>
      </c>
      <c r="N705" s="7" t="s">
        <v>27</v>
      </c>
      <c r="O705" s="7">
        <f t="shared" si="60"/>
        <v>1460</v>
      </c>
      <c r="P705" s="7">
        <f t="shared" si="61"/>
        <v>1460</v>
      </c>
      <c r="Q705" s="7" t="s">
        <v>28</v>
      </c>
      <c r="R705" s="8">
        <v>44370</v>
      </c>
      <c r="S705" s="8">
        <v>401768</v>
      </c>
      <c r="T705" s="7"/>
      <c r="U705" s="9">
        <f t="shared" si="53"/>
        <v>0</v>
      </c>
    </row>
    <row r="706" spans="1:21" x14ac:dyDescent="0.25">
      <c r="A706" s="2" t="s">
        <v>6187</v>
      </c>
      <c r="B706" s="6">
        <v>44590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6188</v>
      </c>
      <c r="J706" s="7">
        <v>0</v>
      </c>
      <c r="K706" s="7" t="s">
        <v>6189</v>
      </c>
      <c r="L706" s="7" t="s">
        <v>26</v>
      </c>
      <c r="M706" s="7">
        <v>812</v>
      </c>
      <c r="N706" s="7" t="s">
        <v>27</v>
      </c>
      <c r="O706" s="7">
        <f t="shared" si="60"/>
        <v>812</v>
      </c>
      <c r="P706" s="7">
        <f t="shared" si="61"/>
        <v>812</v>
      </c>
      <c r="Q706" s="7" t="s">
        <v>28</v>
      </c>
      <c r="R706" s="8">
        <v>46102</v>
      </c>
      <c r="S706" s="8">
        <v>401768</v>
      </c>
      <c r="T706" s="7"/>
      <c r="U706" s="9">
        <f t="shared" si="53"/>
        <v>0</v>
      </c>
    </row>
    <row r="707" spans="1:21" x14ac:dyDescent="0.25">
      <c r="A707" s="2" t="s">
        <v>6190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6191</v>
      </c>
      <c r="J707" s="7">
        <v>0</v>
      </c>
      <c r="K707" s="7" t="s">
        <v>6192</v>
      </c>
      <c r="L707" s="7" t="s">
        <v>26</v>
      </c>
      <c r="M707" s="7">
        <v>396</v>
      </c>
      <c r="N707" s="7" t="s">
        <v>27</v>
      </c>
      <c r="O707" s="7">
        <f t="shared" si="60"/>
        <v>396</v>
      </c>
      <c r="P707" s="7">
        <f t="shared" si="61"/>
        <v>396</v>
      </c>
      <c r="Q707" s="7" t="s">
        <v>28</v>
      </c>
      <c r="R707" s="8">
        <v>46102</v>
      </c>
      <c r="S707" s="8">
        <v>401768</v>
      </c>
      <c r="T707" s="7"/>
      <c r="U707" s="9">
        <f t="shared" ref="U707:U770" si="62">T707*P707/100000</f>
        <v>0</v>
      </c>
    </row>
    <row r="708" spans="1:21" x14ac:dyDescent="0.25">
      <c r="A708" s="2" t="s">
        <v>7090</v>
      </c>
      <c r="B708" s="6">
        <v>45664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853</v>
      </c>
      <c r="J708" s="7">
        <v>0</v>
      </c>
      <c r="K708" s="7" t="s">
        <v>854</v>
      </c>
      <c r="L708" s="7" t="s">
        <v>26</v>
      </c>
      <c r="M708" s="7">
        <v>230.74</v>
      </c>
      <c r="N708" s="7" t="s">
        <v>27</v>
      </c>
      <c r="O708" s="7">
        <f t="shared" si="60"/>
        <v>230.74</v>
      </c>
      <c r="P708" s="7">
        <f t="shared" si="61"/>
        <v>230.74</v>
      </c>
      <c r="Q708" s="7" t="s">
        <v>28</v>
      </c>
      <c r="R708" s="8">
        <v>45664</v>
      </c>
      <c r="S708" s="8">
        <v>401768</v>
      </c>
      <c r="T708" s="7"/>
      <c r="U708" s="9">
        <f t="shared" si="62"/>
        <v>0</v>
      </c>
    </row>
    <row r="709" spans="1:21" x14ac:dyDescent="0.25">
      <c r="A709" s="2" t="s">
        <v>7270</v>
      </c>
      <c r="B709" s="6">
        <v>45803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815</v>
      </c>
      <c r="J709" s="7">
        <v>0</v>
      </c>
      <c r="K709" s="7" t="s">
        <v>816</v>
      </c>
      <c r="L709" s="7" t="s">
        <v>26</v>
      </c>
      <c r="M709" s="7">
        <v>42</v>
      </c>
      <c r="N709" s="7" t="s">
        <v>27</v>
      </c>
      <c r="O709" s="7">
        <f t="shared" si="60"/>
        <v>42</v>
      </c>
      <c r="P709" s="7">
        <f t="shared" si="61"/>
        <v>42</v>
      </c>
      <c r="Q709" s="7" t="s">
        <v>28</v>
      </c>
      <c r="R709" s="8">
        <v>45803</v>
      </c>
      <c r="S709" s="8">
        <v>401768</v>
      </c>
      <c r="T709" s="7"/>
      <c r="U709" s="9">
        <f t="shared" si="62"/>
        <v>0</v>
      </c>
    </row>
    <row r="710" spans="1:21" x14ac:dyDescent="0.25">
      <c r="A710" s="2" t="s">
        <v>7453</v>
      </c>
      <c r="B710" s="6">
        <v>46165</v>
      </c>
      <c r="C710" s="7" t="s">
        <v>20</v>
      </c>
      <c r="D710" s="7" t="s">
        <v>21</v>
      </c>
      <c r="E710" s="7" t="s">
        <v>28</v>
      </c>
      <c r="F710" s="7" t="s">
        <v>28</v>
      </c>
      <c r="G710" s="7" t="s">
        <v>6020</v>
      </c>
      <c r="H710" s="7" t="s">
        <v>6021</v>
      </c>
      <c r="I710" s="7" t="s">
        <v>7701</v>
      </c>
      <c r="J710" s="7">
        <v>0</v>
      </c>
      <c r="K710" s="7" t="s">
        <v>7702</v>
      </c>
      <c r="L710" s="7" t="s">
        <v>26</v>
      </c>
      <c r="M710" s="7">
        <v>812</v>
      </c>
      <c r="N710" s="7" t="s">
        <v>27</v>
      </c>
      <c r="O710" s="7">
        <f t="shared" si="60"/>
        <v>812</v>
      </c>
      <c r="P710" s="7">
        <f t="shared" si="61"/>
        <v>812</v>
      </c>
      <c r="Q710" s="7" t="s">
        <v>28</v>
      </c>
      <c r="R710" s="8">
        <v>46165</v>
      </c>
      <c r="S710" s="8">
        <v>401768</v>
      </c>
      <c r="T710" s="7"/>
      <c r="U710" s="9">
        <f t="shared" si="62"/>
        <v>0</v>
      </c>
    </row>
    <row r="711" spans="1:21" x14ac:dyDescent="0.25">
      <c r="A711" s="2" t="s">
        <v>7332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7703</v>
      </c>
      <c r="J711" s="7">
        <v>0</v>
      </c>
      <c r="K711" s="7" t="s">
        <v>7704</v>
      </c>
      <c r="L711" s="7" t="s">
        <v>26</v>
      </c>
      <c r="M711" s="7">
        <v>396</v>
      </c>
      <c r="N711" s="7" t="s">
        <v>27</v>
      </c>
      <c r="O711" s="7">
        <f t="shared" si="60"/>
        <v>396</v>
      </c>
      <c r="P711" s="7">
        <f t="shared" si="61"/>
        <v>396</v>
      </c>
      <c r="Q711" s="7" t="s">
        <v>28</v>
      </c>
      <c r="R711" s="8">
        <v>46165</v>
      </c>
      <c r="S711" s="8">
        <v>401768</v>
      </c>
      <c r="T711" s="7"/>
      <c r="U711" s="9">
        <f t="shared" si="62"/>
        <v>0</v>
      </c>
    </row>
    <row r="712" spans="1:21" x14ac:dyDescent="0.25">
      <c r="A712" s="2" t="s">
        <v>2079</v>
      </c>
      <c r="B712" s="6">
        <v>43959</v>
      </c>
      <c r="C712" s="7" t="s">
        <v>20</v>
      </c>
      <c r="D712" s="7" t="s">
        <v>21</v>
      </c>
      <c r="E712" s="7" t="s">
        <v>20</v>
      </c>
      <c r="F712" s="7" t="s">
        <v>21</v>
      </c>
      <c r="G712" s="7" t="s">
        <v>4674</v>
      </c>
      <c r="H712" s="7" t="s">
        <v>4675</v>
      </c>
      <c r="I712" s="7" t="s">
        <v>2445</v>
      </c>
      <c r="J712" s="7">
        <v>0</v>
      </c>
      <c r="K712" s="7" t="s">
        <v>2446</v>
      </c>
      <c r="L712" s="7" t="s">
        <v>26</v>
      </c>
      <c r="M712" s="7">
        <v>0.2</v>
      </c>
      <c r="N712" s="7" t="s">
        <v>619</v>
      </c>
      <c r="O712" s="7">
        <v>95</v>
      </c>
      <c r="P712" s="7">
        <f t="shared" ref="P712:P770" si="63">O712*M712</f>
        <v>19</v>
      </c>
      <c r="Q712" s="7" t="s">
        <v>28</v>
      </c>
      <c r="R712" s="8">
        <v>42357</v>
      </c>
      <c r="S712" s="8">
        <v>401768</v>
      </c>
      <c r="T712" s="7"/>
      <c r="U712" s="9">
        <f t="shared" si="62"/>
        <v>0</v>
      </c>
    </row>
    <row r="713" spans="1:21" x14ac:dyDescent="0.25">
      <c r="A713" s="2" t="s">
        <v>4676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4677</v>
      </c>
      <c r="J713" s="7">
        <v>0</v>
      </c>
      <c r="K713" s="7" t="s">
        <v>4678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si="63"/>
        <v>19</v>
      </c>
      <c r="Q713" s="7" t="s">
        <v>28</v>
      </c>
      <c r="R713" s="8">
        <v>42357</v>
      </c>
      <c r="S713" s="8">
        <v>401768</v>
      </c>
      <c r="T713" s="7"/>
      <c r="U713" s="9">
        <f t="shared" si="62"/>
        <v>0</v>
      </c>
    </row>
    <row r="714" spans="1:21" x14ac:dyDescent="0.25">
      <c r="A714" s="2" t="s">
        <v>2070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2448</v>
      </c>
      <c r="J714" s="7">
        <v>0</v>
      </c>
      <c r="K714" s="7" t="s">
        <v>2449</v>
      </c>
      <c r="L714" s="7" t="s">
        <v>26</v>
      </c>
      <c r="M714" s="7">
        <v>0.8</v>
      </c>
      <c r="N714" s="7" t="s">
        <v>619</v>
      </c>
      <c r="O714" s="7">
        <v>95</v>
      </c>
      <c r="P714" s="7">
        <f t="shared" si="63"/>
        <v>76</v>
      </c>
      <c r="Q714" s="7" t="s">
        <v>28</v>
      </c>
      <c r="R714" s="8">
        <v>42357</v>
      </c>
      <c r="S714" s="8">
        <v>401768</v>
      </c>
      <c r="T714" s="7"/>
      <c r="U714" s="9">
        <f t="shared" si="62"/>
        <v>0</v>
      </c>
    </row>
    <row r="715" spans="1:21" x14ac:dyDescent="0.25">
      <c r="A715" s="2" t="s">
        <v>4679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2454</v>
      </c>
      <c r="J715" s="7">
        <v>0</v>
      </c>
      <c r="K715" s="7" t="s">
        <v>2455</v>
      </c>
      <c r="L715" s="7" t="s">
        <v>26</v>
      </c>
      <c r="M715" s="7">
        <v>0.75</v>
      </c>
      <c r="N715" s="7" t="s">
        <v>619</v>
      </c>
      <c r="O715" s="7">
        <v>95</v>
      </c>
      <c r="P715" s="7">
        <f t="shared" si="63"/>
        <v>71.25</v>
      </c>
      <c r="Q715" s="7" t="s">
        <v>28</v>
      </c>
      <c r="R715" s="8">
        <v>42357</v>
      </c>
      <c r="S715" s="8">
        <v>401768</v>
      </c>
      <c r="T715" s="7"/>
      <c r="U715" s="9">
        <f t="shared" si="62"/>
        <v>0</v>
      </c>
    </row>
    <row r="716" spans="1:21" x14ac:dyDescent="0.25">
      <c r="A716" s="2" t="s">
        <v>2088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2457</v>
      </c>
      <c r="J716" s="7">
        <v>0</v>
      </c>
      <c r="K716" s="7" t="s">
        <v>2458</v>
      </c>
      <c r="L716" s="7" t="s">
        <v>26</v>
      </c>
      <c r="M716" s="7">
        <v>0.51</v>
      </c>
      <c r="N716" s="7" t="s">
        <v>619</v>
      </c>
      <c r="O716" s="7">
        <v>95</v>
      </c>
      <c r="P716" s="7">
        <f t="shared" si="63"/>
        <v>48.45</v>
      </c>
      <c r="Q716" s="7" t="s">
        <v>28</v>
      </c>
      <c r="R716" s="8">
        <v>42357</v>
      </c>
      <c r="S716" s="8">
        <v>401768</v>
      </c>
      <c r="T716" s="7"/>
      <c r="U716" s="9">
        <f t="shared" si="62"/>
        <v>0</v>
      </c>
    </row>
    <row r="717" spans="1:21" x14ac:dyDescent="0.25">
      <c r="A717" s="2" t="s">
        <v>4640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4641</v>
      </c>
      <c r="H717" s="7" t="s">
        <v>4642</v>
      </c>
      <c r="I717" s="7" t="s">
        <v>4643</v>
      </c>
      <c r="J717" s="7">
        <v>0</v>
      </c>
      <c r="K717" s="7" t="s">
        <v>4644</v>
      </c>
      <c r="L717" s="7" t="s">
        <v>26</v>
      </c>
      <c r="M717" s="7">
        <v>92</v>
      </c>
      <c r="N717" s="7" t="s">
        <v>27</v>
      </c>
      <c r="O717" s="7">
        <f t="shared" ref="O717:O740" si="64">M717</f>
        <v>92</v>
      </c>
      <c r="P717" s="7">
        <f t="shared" ref="P717:P740" si="65">O717</f>
        <v>92</v>
      </c>
      <c r="Q717" s="7" t="s">
        <v>28</v>
      </c>
      <c r="R717" s="8">
        <v>44627</v>
      </c>
      <c r="S717" s="8">
        <v>401768</v>
      </c>
      <c r="T717" s="7"/>
      <c r="U717" s="9">
        <f t="shared" si="62"/>
        <v>0</v>
      </c>
    </row>
    <row r="718" spans="1:21" x14ac:dyDescent="0.25">
      <c r="A718" s="2" t="s">
        <v>4804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4805</v>
      </c>
      <c r="H718" s="7" t="s">
        <v>4806</v>
      </c>
      <c r="I718" s="7" t="s">
        <v>4807</v>
      </c>
      <c r="J718" s="7">
        <v>0</v>
      </c>
      <c r="K718" s="7" t="s">
        <v>4808</v>
      </c>
      <c r="L718" s="7" t="s">
        <v>26</v>
      </c>
      <c r="M718" s="7">
        <v>46</v>
      </c>
      <c r="N718" s="7" t="s">
        <v>27</v>
      </c>
      <c r="O718" s="7">
        <f t="shared" si="64"/>
        <v>46</v>
      </c>
      <c r="P718" s="7">
        <f t="shared" si="65"/>
        <v>46</v>
      </c>
      <c r="Q718" s="7" t="s">
        <v>28</v>
      </c>
      <c r="R718" s="8">
        <v>41475</v>
      </c>
      <c r="S718" s="8">
        <v>401768</v>
      </c>
      <c r="T718" s="7"/>
      <c r="U718" s="9">
        <f t="shared" si="62"/>
        <v>0</v>
      </c>
    </row>
    <row r="719" spans="1:21" x14ac:dyDescent="0.25">
      <c r="A719" s="2" t="s">
        <v>4809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4810</v>
      </c>
      <c r="J719" s="7">
        <v>0</v>
      </c>
      <c r="K719" s="7" t="s">
        <v>4811</v>
      </c>
      <c r="L719" s="7" t="s">
        <v>26</v>
      </c>
      <c r="M719" s="7">
        <v>34.479999999999997</v>
      </c>
      <c r="N719" s="7" t="s">
        <v>27</v>
      </c>
      <c r="O719" s="7">
        <f t="shared" si="64"/>
        <v>34.479999999999997</v>
      </c>
      <c r="P719" s="7">
        <f t="shared" si="65"/>
        <v>34.479999999999997</v>
      </c>
      <c r="Q719" s="7" t="s">
        <v>28</v>
      </c>
      <c r="R719" s="8">
        <v>43465</v>
      </c>
      <c r="S719" s="8">
        <v>401768</v>
      </c>
      <c r="T719" s="7"/>
      <c r="U719" s="9">
        <f t="shared" si="62"/>
        <v>0</v>
      </c>
    </row>
    <row r="720" spans="1:21" x14ac:dyDescent="0.25">
      <c r="A720" s="2" t="s">
        <v>4812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4813</v>
      </c>
      <c r="J720" s="7">
        <v>0</v>
      </c>
      <c r="K720" s="7" t="s">
        <v>4814</v>
      </c>
      <c r="L720" s="7" t="s">
        <v>26</v>
      </c>
      <c r="M720" s="7">
        <v>23</v>
      </c>
      <c r="N720" s="7" t="s">
        <v>27</v>
      </c>
      <c r="O720" s="7">
        <f t="shared" si="64"/>
        <v>23</v>
      </c>
      <c r="P720" s="7">
        <f t="shared" si="65"/>
        <v>23</v>
      </c>
      <c r="Q720" s="7" t="s">
        <v>28</v>
      </c>
      <c r="R720" s="8">
        <v>41577</v>
      </c>
      <c r="S720" s="8">
        <v>401768</v>
      </c>
      <c r="T720" s="7"/>
      <c r="U720" s="9">
        <f t="shared" si="62"/>
        <v>0</v>
      </c>
    </row>
    <row r="721" spans="1:21" x14ac:dyDescent="0.25">
      <c r="A721" s="2" t="s">
        <v>4815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4816</v>
      </c>
      <c r="J721" s="7">
        <v>0</v>
      </c>
      <c r="K721" s="7" t="s">
        <v>4817</v>
      </c>
      <c r="L721" s="7" t="s">
        <v>26</v>
      </c>
      <c r="M721" s="7">
        <v>60</v>
      </c>
      <c r="N721" s="7" t="s">
        <v>27</v>
      </c>
      <c r="O721" s="7">
        <f t="shared" si="64"/>
        <v>60</v>
      </c>
      <c r="P721" s="7">
        <f t="shared" si="65"/>
        <v>60</v>
      </c>
      <c r="Q721" s="7" t="s">
        <v>28</v>
      </c>
      <c r="R721" s="8">
        <v>45945</v>
      </c>
      <c r="S721" s="8">
        <v>401768</v>
      </c>
      <c r="T721" s="7"/>
      <c r="U721" s="9">
        <f t="shared" si="62"/>
        <v>0</v>
      </c>
    </row>
    <row r="722" spans="1:21" x14ac:dyDescent="0.25">
      <c r="A722" s="2" t="s">
        <v>4818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4819</v>
      </c>
      <c r="J722" s="7">
        <v>0</v>
      </c>
      <c r="K722" s="7" t="s">
        <v>4820</v>
      </c>
      <c r="L722" s="7" t="s">
        <v>26</v>
      </c>
      <c r="M722" s="7">
        <v>60</v>
      </c>
      <c r="N722" s="7" t="s">
        <v>27</v>
      </c>
      <c r="O722" s="7">
        <f t="shared" si="64"/>
        <v>60</v>
      </c>
      <c r="P722" s="7">
        <f t="shared" si="65"/>
        <v>60</v>
      </c>
      <c r="Q722" s="7" t="s">
        <v>28</v>
      </c>
      <c r="R722" s="8">
        <v>41395</v>
      </c>
      <c r="S722" s="8">
        <v>401768</v>
      </c>
      <c r="T722" s="7"/>
      <c r="U722" s="9">
        <f t="shared" si="62"/>
        <v>0</v>
      </c>
    </row>
    <row r="723" spans="1:21" x14ac:dyDescent="0.25">
      <c r="A723" s="2" t="s">
        <v>7440</v>
      </c>
      <c r="B723" s="6">
        <v>46161</v>
      </c>
      <c r="C723" s="7" t="s">
        <v>20</v>
      </c>
      <c r="D723" s="7" t="s">
        <v>21</v>
      </c>
      <c r="E723" s="7" t="s">
        <v>28</v>
      </c>
      <c r="F723" s="7" t="s">
        <v>28</v>
      </c>
      <c r="G723" s="7" t="s">
        <v>4805</v>
      </c>
      <c r="H723" s="7" t="s">
        <v>4806</v>
      </c>
      <c r="I723" s="7" t="s">
        <v>7699</v>
      </c>
      <c r="J723" s="7">
        <v>0</v>
      </c>
      <c r="K723" s="7" t="s">
        <v>7700</v>
      </c>
      <c r="L723" s="7" t="s">
        <v>26</v>
      </c>
      <c r="M723" s="7">
        <v>1000</v>
      </c>
      <c r="N723" s="7" t="s">
        <v>27</v>
      </c>
      <c r="O723" s="7">
        <f t="shared" si="64"/>
        <v>1000</v>
      </c>
      <c r="P723" s="7">
        <f t="shared" si="65"/>
        <v>1000</v>
      </c>
      <c r="Q723" s="7" t="s">
        <v>28</v>
      </c>
      <c r="R723" s="8">
        <v>46161</v>
      </c>
      <c r="S723" s="8">
        <v>401768</v>
      </c>
      <c r="T723" s="7"/>
      <c r="U723" s="9">
        <f t="shared" si="62"/>
        <v>0</v>
      </c>
    </row>
    <row r="724" spans="1:21" x14ac:dyDescent="0.25">
      <c r="A724" s="2" t="s">
        <v>6174</v>
      </c>
      <c r="B724" s="6">
        <v>44566</v>
      </c>
      <c r="C724" s="7" t="s">
        <v>20</v>
      </c>
      <c r="D724" s="7" t="s">
        <v>21</v>
      </c>
      <c r="E724" s="7" t="s">
        <v>20</v>
      </c>
      <c r="F724" s="7" t="s">
        <v>21</v>
      </c>
      <c r="G724" s="7" t="s">
        <v>6175</v>
      </c>
      <c r="H724" s="7" t="s">
        <v>6176</v>
      </c>
      <c r="I724" s="7" t="s">
        <v>4194</v>
      </c>
      <c r="J724" s="7">
        <v>0</v>
      </c>
      <c r="K724" s="7" t="s">
        <v>4195</v>
      </c>
      <c r="L724" s="7" t="s">
        <v>26</v>
      </c>
      <c r="M724" s="7">
        <v>92.48</v>
      </c>
      <c r="N724" s="7" t="s">
        <v>27</v>
      </c>
      <c r="O724" s="7">
        <f t="shared" si="64"/>
        <v>92.48</v>
      </c>
      <c r="P724" s="7">
        <f t="shared" si="65"/>
        <v>92.48</v>
      </c>
      <c r="Q724" s="7" t="s">
        <v>28</v>
      </c>
      <c r="R724" s="8">
        <v>44872</v>
      </c>
      <c r="S724" s="8">
        <v>401768</v>
      </c>
      <c r="T724" s="7"/>
      <c r="U724" s="9">
        <f t="shared" si="62"/>
        <v>0</v>
      </c>
    </row>
    <row r="725" spans="1:21" x14ac:dyDescent="0.25">
      <c r="A725" s="2" t="s">
        <v>3818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4197</v>
      </c>
      <c r="J725" s="7">
        <v>0</v>
      </c>
      <c r="K725" s="7" t="s">
        <v>4198</v>
      </c>
      <c r="L725" s="7" t="s">
        <v>26</v>
      </c>
      <c r="M725" s="7">
        <v>97.79</v>
      </c>
      <c r="N725" s="7" t="s">
        <v>27</v>
      </c>
      <c r="O725" s="7">
        <f t="shared" si="64"/>
        <v>97.79</v>
      </c>
      <c r="P725" s="7">
        <f t="shared" si="65"/>
        <v>97.79</v>
      </c>
      <c r="Q725" s="7" t="s">
        <v>28</v>
      </c>
      <c r="R725" s="8">
        <v>44872</v>
      </c>
      <c r="S725" s="8">
        <v>401768</v>
      </c>
      <c r="T725" s="7"/>
      <c r="U725" s="9">
        <f t="shared" si="62"/>
        <v>0</v>
      </c>
    </row>
    <row r="726" spans="1:21" x14ac:dyDescent="0.25">
      <c r="A726" s="2" t="s">
        <v>6194</v>
      </c>
      <c r="B726" s="6">
        <v>44590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4202</v>
      </c>
      <c r="J726" s="7">
        <v>0</v>
      </c>
      <c r="K726" s="7" t="s">
        <v>4203</v>
      </c>
      <c r="L726" s="7" t="s">
        <v>26</v>
      </c>
      <c r="M726" s="7">
        <v>63.29</v>
      </c>
      <c r="N726" s="7" t="s">
        <v>27</v>
      </c>
      <c r="O726" s="7">
        <f t="shared" si="64"/>
        <v>63.29</v>
      </c>
      <c r="P726" s="7">
        <f t="shared" si="65"/>
        <v>63.29</v>
      </c>
      <c r="Q726" s="7" t="s">
        <v>28</v>
      </c>
      <c r="R726" s="8">
        <v>44872</v>
      </c>
      <c r="S726" s="8">
        <v>401768</v>
      </c>
      <c r="T726" s="7"/>
      <c r="U726" s="9">
        <f t="shared" si="62"/>
        <v>0</v>
      </c>
    </row>
    <row r="727" spans="1:21" x14ac:dyDescent="0.25">
      <c r="A727" s="2" t="s">
        <v>6195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4204</v>
      </c>
      <c r="J727" s="7">
        <v>0</v>
      </c>
      <c r="K727" s="7" t="s">
        <v>4205</v>
      </c>
      <c r="L727" s="7" t="s">
        <v>26</v>
      </c>
      <c r="M727" s="7">
        <v>150.31</v>
      </c>
      <c r="N727" s="7" t="s">
        <v>27</v>
      </c>
      <c r="O727" s="7">
        <f t="shared" si="64"/>
        <v>150.31</v>
      </c>
      <c r="P727" s="7">
        <f t="shared" si="65"/>
        <v>150.31</v>
      </c>
      <c r="Q727" s="7" t="s">
        <v>28</v>
      </c>
      <c r="R727" s="8">
        <v>44872</v>
      </c>
      <c r="S727" s="8">
        <v>401768</v>
      </c>
      <c r="T727" s="7"/>
      <c r="U727" s="9">
        <f t="shared" si="62"/>
        <v>0</v>
      </c>
    </row>
    <row r="728" spans="1:21" x14ac:dyDescent="0.25">
      <c r="A728" s="2" t="s">
        <v>186</v>
      </c>
      <c r="B728" s="6">
        <v>44809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6102</v>
      </c>
      <c r="J728" s="7">
        <v>0</v>
      </c>
      <c r="K728" s="7" t="s">
        <v>6103</v>
      </c>
      <c r="L728" s="7" t="s">
        <v>26</v>
      </c>
      <c r="M728" s="7">
        <v>47782</v>
      </c>
      <c r="N728" s="7" t="s">
        <v>27</v>
      </c>
      <c r="O728" s="7">
        <f t="shared" si="64"/>
        <v>47782</v>
      </c>
      <c r="P728" s="7">
        <f t="shared" si="65"/>
        <v>47782</v>
      </c>
      <c r="Q728" s="7" t="s">
        <v>28</v>
      </c>
      <c r="R728" s="8">
        <v>44809</v>
      </c>
      <c r="S728" s="8">
        <v>401768</v>
      </c>
      <c r="T728" s="7"/>
      <c r="U728" s="9">
        <f t="shared" si="62"/>
        <v>0</v>
      </c>
    </row>
    <row r="729" spans="1:21" x14ac:dyDescent="0.25">
      <c r="A729" s="2" t="s">
        <v>6441</v>
      </c>
      <c r="B729" s="6">
        <v>44810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6442</v>
      </c>
      <c r="J729" s="7">
        <v>0</v>
      </c>
      <c r="K729" s="7" t="s">
        <v>6443</v>
      </c>
      <c r="L729" s="7" t="s">
        <v>26</v>
      </c>
      <c r="M729" s="7">
        <v>47782</v>
      </c>
      <c r="N729" s="7" t="s">
        <v>27</v>
      </c>
      <c r="O729" s="7">
        <f t="shared" si="64"/>
        <v>47782</v>
      </c>
      <c r="P729" s="7">
        <f t="shared" si="65"/>
        <v>47782</v>
      </c>
      <c r="Q729" s="7" t="s">
        <v>28</v>
      </c>
      <c r="R729" s="8">
        <v>44810</v>
      </c>
      <c r="S729" s="8">
        <v>401768</v>
      </c>
      <c r="T729" s="7"/>
      <c r="U729" s="9">
        <f t="shared" si="62"/>
        <v>0</v>
      </c>
    </row>
    <row r="730" spans="1:21" x14ac:dyDescent="0.25">
      <c r="A730" s="2" t="s">
        <v>6528</v>
      </c>
      <c r="B730" s="6">
        <v>44970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4857</v>
      </c>
      <c r="H730" s="7" t="s">
        <v>4858</v>
      </c>
      <c r="I730" s="7" t="s">
        <v>6529</v>
      </c>
      <c r="J730" s="7">
        <v>0</v>
      </c>
      <c r="K730" s="7" t="s">
        <v>6530</v>
      </c>
      <c r="L730" s="7" t="s">
        <v>26</v>
      </c>
      <c r="M730" s="7">
        <v>174.5</v>
      </c>
      <c r="N730" s="7" t="s">
        <v>27</v>
      </c>
      <c r="O730" s="7">
        <f t="shared" si="64"/>
        <v>174.5</v>
      </c>
      <c r="P730" s="7">
        <f t="shared" si="65"/>
        <v>174.5</v>
      </c>
      <c r="Q730" s="7" t="s">
        <v>28</v>
      </c>
      <c r="R730" s="8">
        <v>44970</v>
      </c>
      <c r="S730" s="8">
        <v>401768</v>
      </c>
      <c r="T730" s="7"/>
      <c r="U730" s="9">
        <f t="shared" si="62"/>
        <v>0</v>
      </c>
    </row>
    <row r="731" spans="1:21" x14ac:dyDescent="0.25">
      <c r="A731" s="2" t="s">
        <v>6781</v>
      </c>
      <c r="B731" s="6">
        <v>45131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6782</v>
      </c>
      <c r="J731" s="7">
        <v>0</v>
      </c>
      <c r="K731" s="7" t="s">
        <v>6783</v>
      </c>
      <c r="L731" s="7" t="s">
        <v>26</v>
      </c>
      <c r="M731" s="7">
        <v>70</v>
      </c>
      <c r="N731" s="7" t="s">
        <v>27</v>
      </c>
      <c r="O731" s="7">
        <f t="shared" si="64"/>
        <v>70</v>
      </c>
      <c r="P731" s="7">
        <f t="shared" si="65"/>
        <v>70</v>
      </c>
      <c r="Q731" s="7" t="s">
        <v>28</v>
      </c>
      <c r="R731" s="8">
        <v>45131</v>
      </c>
      <c r="S731" s="8">
        <v>401768</v>
      </c>
      <c r="T731" s="7"/>
      <c r="U731" s="9">
        <f t="shared" si="62"/>
        <v>0</v>
      </c>
    </row>
    <row r="732" spans="1:21" x14ac:dyDescent="0.25">
      <c r="A732" s="2" t="s">
        <v>6784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6785</v>
      </c>
      <c r="J732" s="7">
        <v>0</v>
      </c>
      <c r="K732" s="7" t="s">
        <v>6786</v>
      </c>
      <c r="L732" s="7" t="s">
        <v>26</v>
      </c>
      <c r="M732" s="7">
        <v>156.5</v>
      </c>
      <c r="N732" s="7" t="s">
        <v>27</v>
      </c>
      <c r="O732" s="7">
        <f t="shared" si="64"/>
        <v>156.5</v>
      </c>
      <c r="P732" s="7">
        <f t="shared" si="65"/>
        <v>156.5</v>
      </c>
      <c r="Q732" s="7" t="s">
        <v>28</v>
      </c>
      <c r="R732" s="8">
        <v>45131</v>
      </c>
      <c r="S732" s="8">
        <v>401768</v>
      </c>
      <c r="T732" s="7"/>
      <c r="U732" s="9">
        <f t="shared" si="62"/>
        <v>0</v>
      </c>
    </row>
    <row r="733" spans="1:21" x14ac:dyDescent="0.25">
      <c r="A733" s="2" t="s">
        <v>6795</v>
      </c>
      <c r="B733" s="6">
        <v>45140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6798</v>
      </c>
      <c r="J733" s="7">
        <v>0</v>
      </c>
      <c r="K733" s="7" t="s">
        <v>6799</v>
      </c>
      <c r="L733" s="7" t="s">
        <v>26</v>
      </c>
      <c r="M733" s="7">
        <v>383.6</v>
      </c>
      <c r="N733" s="7" t="s">
        <v>27</v>
      </c>
      <c r="O733" s="7">
        <f t="shared" si="64"/>
        <v>383.6</v>
      </c>
      <c r="P733" s="7">
        <f t="shared" si="65"/>
        <v>383.6</v>
      </c>
      <c r="Q733" s="7" t="s">
        <v>28</v>
      </c>
      <c r="R733" s="8">
        <v>45377</v>
      </c>
      <c r="S733" s="8">
        <v>401768</v>
      </c>
      <c r="T733" s="7">
        <v>6000</v>
      </c>
      <c r="U733" s="9">
        <f t="shared" si="62"/>
        <v>23.015999999999998</v>
      </c>
    </row>
    <row r="734" spans="1:21" x14ac:dyDescent="0.25">
      <c r="A734" s="2" t="s">
        <v>6800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6801</v>
      </c>
      <c r="J734" s="7">
        <v>0</v>
      </c>
      <c r="K734" s="7" t="s">
        <v>6802</v>
      </c>
      <c r="L734" s="7" t="s">
        <v>26</v>
      </c>
      <c r="M734" s="7">
        <v>475.7</v>
      </c>
      <c r="N734" s="7" t="s">
        <v>27</v>
      </c>
      <c r="O734" s="7">
        <f t="shared" si="64"/>
        <v>475.7</v>
      </c>
      <c r="P734" s="7">
        <f t="shared" si="65"/>
        <v>475.7</v>
      </c>
      <c r="Q734" s="7" t="s">
        <v>28</v>
      </c>
      <c r="R734" s="8">
        <v>45140</v>
      </c>
      <c r="S734" s="8">
        <v>401768</v>
      </c>
      <c r="T734" s="7"/>
      <c r="U734" s="9">
        <f t="shared" si="62"/>
        <v>0</v>
      </c>
    </row>
    <row r="735" spans="1:21" x14ac:dyDescent="0.25">
      <c r="A735" s="2" t="s">
        <v>6964</v>
      </c>
      <c r="B735" s="6">
        <v>45488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7194</v>
      </c>
      <c r="J735" s="7">
        <v>0</v>
      </c>
      <c r="K735" s="7" t="s">
        <v>7195</v>
      </c>
      <c r="L735" s="7" t="s">
        <v>49</v>
      </c>
      <c r="M735" s="7">
        <v>9000</v>
      </c>
      <c r="N735" s="7" t="s">
        <v>27</v>
      </c>
      <c r="O735" s="7">
        <f t="shared" si="64"/>
        <v>9000</v>
      </c>
      <c r="P735" s="7">
        <f t="shared" si="65"/>
        <v>9000</v>
      </c>
      <c r="Q735" s="7" t="s">
        <v>28</v>
      </c>
      <c r="R735" s="8">
        <v>45488</v>
      </c>
      <c r="S735" s="8">
        <v>401768</v>
      </c>
      <c r="T735" s="7"/>
      <c r="U735" s="9">
        <f t="shared" si="62"/>
        <v>0</v>
      </c>
    </row>
    <row r="736" spans="1:21" x14ac:dyDescent="0.25">
      <c r="A736" s="2" t="s">
        <v>6978</v>
      </c>
      <c r="B736" s="6">
        <v>45500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7218</v>
      </c>
      <c r="J736" s="7">
        <v>0</v>
      </c>
      <c r="K736" s="7" t="s">
        <v>7219</v>
      </c>
      <c r="L736" s="7" t="s">
        <v>26</v>
      </c>
      <c r="M736" s="7">
        <v>50</v>
      </c>
      <c r="N736" s="7" t="s">
        <v>27</v>
      </c>
      <c r="O736" s="7">
        <f t="shared" si="64"/>
        <v>50</v>
      </c>
      <c r="P736" s="7">
        <f t="shared" si="65"/>
        <v>50</v>
      </c>
      <c r="Q736" s="7" t="s">
        <v>28</v>
      </c>
      <c r="R736" s="8">
        <v>45500</v>
      </c>
      <c r="S736" s="8">
        <v>401768</v>
      </c>
      <c r="T736" s="7"/>
      <c r="U736" s="9">
        <f t="shared" si="62"/>
        <v>0</v>
      </c>
    </row>
    <row r="737" spans="1:21" x14ac:dyDescent="0.25">
      <c r="A737" s="2" t="s">
        <v>6982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7220</v>
      </c>
      <c r="J737" s="7">
        <v>0</v>
      </c>
      <c r="K737" s="7" t="s">
        <v>7221</v>
      </c>
      <c r="L737" s="7" t="s">
        <v>26</v>
      </c>
      <c r="M737" s="7">
        <v>50</v>
      </c>
      <c r="N737" s="7" t="s">
        <v>27</v>
      </c>
      <c r="O737" s="7">
        <f t="shared" si="64"/>
        <v>50</v>
      </c>
      <c r="P737" s="7">
        <f t="shared" si="65"/>
        <v>50</v>
      </c>
      <c r="Q737" s="7" t="s">
        <v>28</v>
      </c>
      <c r="R737" s="8">
        <v>45500</v>
      </c>
      <c r="S737" s="8">
        <v>401768</v>
      </c>
      <c r="T737" s="7"/>
      <c r="U737" s="9">
        <f t="shared" si="62"/>
        <v>0</v>
      </c>
    </row>
    <row r="738" spans="1:21" x14ac:dyDescent="0.25">
      <c r="A738" s="2" t="s">
        <v>7054</v>
      </c>
      <c r="B738" s="6">
        <v>45575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7314</v>
      </c>
      <c r="J738" s="7">
        <v>0</v>
      </c>
      <c r="K738" s="7" t="s">
        <v>7315</v>
      </c>
      <c r="L738" s="7" t="s">
        <v>26</v>
      </c>
      <c r="M738" s="7">
        <v>489.26</v>
      </c>
      <c r="N738" s="7" t="s">
        <v>27</v>
      </c>
      <c r="O738" s="7">
        <f t="shared" si="64"/>
        <v>489.26</v>
      </c>
      <c r="P738" s="7">
        <f t="shared" si="65"/>
        <v>489.26</v>
      </c>
      <c r="Q738" s="7" t="s">
        <v>28</v>
      </c>
      <c r="R738" s="8">
        <v>45575</v>
      </c>
      <c r="S738" s="8">
        <v>401768</v>
      </c>
      <c r="T738" s="7"/>
      <c r="U738" s="9">
        <f t="shared" si="62"/>
        <v>0</v>
      </c>
    </row>
    <row r="739" spans="1:21" x14ac:dyDescent="0.25">
      <c r="A739" s="2" t="s">
        <v>7062</v>
      </c>
      <c r="B739" s="6">
        <v>45591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7321</v>
      </c>
      <c r="J739" s="7">
        <v>0</v>
      </c>
      <c r="K739" s="7" t="s">
        <v>7322</v>
      </c>
      <c r="L739" s="7" t="s">
        <v>26</v>
      </c>
      <c r="M739" s="7">
        <v>129.29</v>
      </c>
      <c r="N739" s="7" t="s">
        <v>27</v>
      </c>
      <c r="O739" s="7">
        <f t="shared" si="64"/>
        <v>129.29</v>
      </c>
      <c r="P739" s="7">
        <f t="shared" si="65"/>
        <v>129.29</v>
      </c>
      <c r="Q739" s="7" t="s">
        <v>28</v>
      </c>
      <c r="R739" s="8">
        <v>45591</v>
      </c>
      <c r="S739" s="8">
        <v>401768</v>
      </c>
      <c r="T739" s="7"/>
      <c r="U739" s="9">
        <f t="shared" si="62"/>
        <v>0</v>
      </c>
    </row>
    <row r="740" spans="1:21" x14ac:dyDescent="0.25">
      <c r="A740" s="2" t="s">
        <v>7273</v>
      </c>
      <c r="B740" s="6">
        <v>45818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7491</v>
      </c>
      <c r="J740" s="7">
        <v>0</v>
      </c>
      <c r="K740" s="7" t="s">
        <v>7492</v>
      </c>
      <c r="L740" s="7" t="s">
        <v>26</v>
      </c>
      <c r="M740" s="7">
        <v>489.26</v>
      </c>
      <c r="N740" s="7" t="s">
        <v>27</v>
      </c>
      <c r="O740" s="7">
        <f t="shared" si="64"/>
        <v>489.26</v>
      </c>
      <c r="P740" s="7">
        <f t="shared" si="65"/>
        <v>489.26</v>
      </c>
      <c r="Q740" s="7" t="s">
        <v>28</v>
      </c>
      <c r="R740" s="8">
        <v>45818</v>
      </c>
      <c r="S740" s="8">
        <v>401768</v>
      </c>
      <c r="T740" s="7"/>
      <c r="U740" s="9">
        <f t="shared" si="62"/>
        <v>0</v>
      </c>
    </row>
    <row r="741" spans="1:21" x14ac:dyDescent="0.25">
      <c r="A741" s="2" t="s">
        <v>2998</v>
      </c>
      <c r="B741" s="6">
        <v>43959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5410</v>
      </c>
      <c r="H741" s="7" t="s">
        <v>5411</v>
      </c>
      <c r="I741" s="7" t="s">
        <v>812</v>
      </c>
      <c r="J741" s="7">
        <v>0</v>
      </c>
      <c r="K741" s="7" t="s">
        <v>813</v>
      </c>
      <c r="L741" s="7" t="s">
        <v>26</v>
      </c>
      <c r="M741" s="7">
        <v>5.96</v>
      </c>
      <c r="N741" s="7" t="s">
        <v>619</v>
      </c>
      <c r="O741" s="7">
        <v>95</v>
      </c>
      <c r="P741" s="7">
        <f t="shared" si="63"/>
        <v>566.20000000000005</v>
      </c>
      <c r="Q741" s="7" t="s">
        <v>28</v>
      </c>
      <c r="R741" s="8">
        <v>46164</v>
      </c>
      <c r="S741" s="8">
        <v>401768</v>
      </c>
      <c r="T741" s="7"/>
      <c r="U741" s="9">
        <f t="shared" si="62"/>
        <v>0</v>
      </c>
    </row>
    <row r="742" spans="1:21" x14ac:dyDescent="0.25">
      <c r="A742" s="2" t="s">
        <v>5418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815</v>
      </c>
      <c r="J742" s="7">
        <v>0</v>
      </c>
      <c r="K742" s="7" t="s">
        <v>816</v>
      </c>
      <c r="L742" s="7" t="s">
        <v>26</v>
      </c>
      <c r="M742" s="7">
        <v>0.66</v>
      </c>
      <c r="N742" s="7" t="s">
        <v>619</v>
      </c>
      <c r="O742" s="7">
        <v>95</v>
      </c>
      <c r="P742" s="7">
        <f t="shared" si="63"/>
        <v>62.7</v>
      </c>
      <c r="Q742" s="7" t="s">
        <v>28</v>
      </c>
      <c r="R742" s="8">
        <v>46164</v>
      </c>
      <c r="S742" s="8">
        <v>401768</v>
      </c>
      <c r="T742" s="7">
        <v>12000</v>
      </c>
      <c r="U742" s="9">
        <f t="shared" si="62"/>
        <v>7.524</v>
      </c>
    </row>
    <row r="743" spans="1:21" x14ac:dyDescent="0.25">
      <c r="A743" s="2" t="s">
        <v>1644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830</v>
      </c>
      <c r="J743" s="7">
        <v>0</v>
      </c>
      <c r="K743" s="7" t="s">
        <v>831</v>
      </c>
      <c r="L743" s="7" t="s">
        <v>26</v>
      </c>
      <c r="M743" s="7">
        <v>10.050000000000001</v>
      </c>
      <c r="N743" s="7" t="s">
        <v>619</v>
      </c>
      <c r="O743" s="7">
        <v>95</v>
      </c>
      <c r="P743" s="7">
        <f t="shared" si="63"/>
        <v>954.75000000000011</v>
      </c>
      <c r="Q743" s="7" t="s">
        <v>28</v>
      </c>
      <c r="R743" s="8">
        <v>46164</v>
      </c>
      <c r="S743" s="8">
        <v>401768</v>
      </c>
      <c r="T743" s="7"/>
      <c r="U743" s="9">
        <f t="shared" si="62"/>
        <v>0</v>
      </c>
    </row>
    <row r="744" spans="1:21" x14ac:dyDescent="0.25">
      <c r="A744" s="2" t="s">
        <v>3135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5420</v>
      </c>
      <c r="J744" s="7">
        <v>0</v>
      </c>
      <c r="K744" s="7" t="s">
        <v>5421</v>
      </c>
      <c r="L744" s="7" t="s">
        <v>26</v>
      </c>
      <c r="M744" s="7">
        <v>9.83</v>
      </c>
      <c r="N744" s="7" t="s">
        <v>619</v>
      </c>
      <c r="O744" s="7">
        <v>95</v>
      </c>
      <c r="P744" s="7">
        <f t="shared" si="63"/>
        <v>933.85</v>
      </c>
      <c r="Q744" s="7" t="s">
        <v>28</v>
      </c>
      <c r="R744" s="8">
        <v>46164</v>
      </c>
      <c r="S744" s="8">
        <v>401768</v>
      </c>
      <c r="T744" s="7">
        <v>200</v>
      </c>
      <c r="U744" s="9">
        <f t="shared" si="62"/>
        <v>1.8676999999999999</v>
      </c>
    </row>
    <row r="745" spans="1:21" x14ac:dyDescent="0.25">
      <c r="A745" s="2" t="s">
        <v>5422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839</v>
      </c>
      <c r="J745" s="7">
        <v>0</v>
      </c>
      <c r="K745" s="7" t="s">
        <v>840</v>
      </c>
      <c r="L745" s="7" t="s">
        <v>26</v>
      </c>
      <c r="M745" s="7">
        <v>5.74</v>
      </c>
      <c r="N745" s="7" t="s">
        <v>619</v>
      </c>
      <c r="O745" s="7">
        <v>95</v>
      </c>
      <c r="P745" s="7">
        <f t="shared" si="63"/>
        <v>545.30000000000007</v>
      </c>
      <c r="Q745" s="7" t="s">
        <v>28</v>
      </c>
      <c r="R745" s="8">
        <v>46164</v>
      </c>
      <c r="S745" s="8">
        <v>401768</v>
      </c>
      <c r="T745" s="7"/>
      <c r="U745" s="9">
        <f t="shared" si="62"/>
        <v>0</v>
      </c>
    </row>
    <row r="746" spans="1:21" x14ac:dyDescent="0.25">
      <c r="A746" s="2" t="s">
        <v>4856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842</v>
      </c>
      <c r="J746" s="7">
        <v>0</v>
      </c>
      <c r="K746" s="7" t="s">
        <v>843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63"/>
        <v>545.30000000000007</v>
      </c>
      <c r="Q746" s="7" t="s">
        <v>28</v>
      </c>
      <c r="R746" s="8">
        <v>46164</v>
      </c>
      <c r="S746" s="8">
        <v>401768</v>
      </c>
      <c r="T746" s="7"/>
      <c r="U746" s="9">
        <f t="shared" si="62"/>
        <v>0</v>
      </c>
    </row>
    <row r="747" spans="1:21" x14ac:dyDescent="0.25">
      <c r="A747" s="2" t="s">
        <v>4590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845</v>
      </c>
      <c r="J747" s="7">
        <v>0</v>
      </c>
      <c r="K747" s="7" t="s">
        <v>846</v>
      </c>
      <c r="L747" s="7" t="s">
        <v>26</v>
      </c>
      <c r="M747" s="7">
        <v>2.4900000000000002</v>
      </c>
      <c r="N747" s="7" t="s">
        <v>619</v>
      </c>
      <c r="O747" s="7">
        <v>95</v>
      </c>
      <c r="P747" s="7">
        <f t="shared" si="63"/>
        <v>236.55</v>
      </c>
      <c r="Q747" s="7" t="s">
        <v>28</v>
      </c>
      <c r="R747" s="8">
        <v>45042</v>
      </c>
      <c r="S747" s="8">
        <v>401768</v>
      </c>
      <c r="T747" s="7"/>
      <c r="U747" s="9">
        <f t="shared" si="62"/>
        <v>0</v>
      </c>
    </row>
    <row r="748" spans="1:21" x14ac:dyDescent="0.25">
      <c r="A748" s="2" t="s">
        <v>5423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862</v>
      </c>
      <c r="J748" s="7">
        <v>0</v>
      </c>
      <c r="K748" s="7" t="s">
        <v>863</v>
      </c>
      <c r="L748" s="7" t="s">
        <v>26</v>
      </c>
      <c r="M748" s="7">
        <v>6.92</v>
      </c>
      <c r="N748" s="7" t="s">
        <v>619</v>
      </c>
      <c r="O748" s="7">
        <v>95</v>
      </c>
      <c r="P748" s="7">
        <f t="shared" si="63"/>
        <v>657.4</v>
      </c>
      <c r="Q748" s="7" t="s">
        <v>28</v>
      </c>
      <c r="R748" s="8">
        <v>46164</v>
      </c>
      <c r="S748" s="8">
        <v>401768</v>
      </c>
      <c r="T748" s="7"/>
      <c r="U748" s="9">
        <f t="shared" si="62"/>
        <v>0</v>
      </c>
    </row>
    <row r="749" spans="1:21" x14ac:dyDescent="0.25">
      <c r="A749" s="2" t="s">
        <v>5424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865</v>
      </c>
      <c r="J749" s="7">
        <v>0</v>
      </c>
      <c r="K749" s="7" t="s">
        <v>866</v>
      </c>
      <c r="L749" s="7" t="s">
        <v>26</v>
      </c>
      <c r="M749" s="7">
        <v>5.26</v>
      </c>
      <c r="N749" s="7" t="s">
        <v>619</v>
      </c>
      <c r="O749" s="7">
        <v>95</v>
      </c>
      <c r="P749" s="7">
        <f t="shared" si="63"/>
        <v>499.7</v>
      </c>
      <c r="Q749" s="7" t="s">
        <v>28</v>
      </c>
      <c r="R749" s="8">
        <v>46164</v>
      </c>
      <c r="S749" s="8">
        <v>401768</v>
      </c>
      <c r="T749" s="7"/>
      <c r="U749" s="9">
        <f t="shared" si="62"/>
        <v>0</v>
      </c>
    </row>
    <row r="750" spans="1:21" x14ac:dyDescent="0.25">
      <c r="A750" s="2" t="s">
        <v>7404</v>
      </c>
      <c r="B750" s="6">
        <v>46077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7639</v>
      </c>
      <c r="J750" s="7">
        <v>0</v>
      </c>
      <c r="K750" s="7" t="s">
        <v>7640</v>
      </c>
      <c r="L750" s="7" t="s">
        <v>26</v>
      </c>
      <c r="M750" s="7">
        <v>4.5999999999999996</v>
      </c>
      <c r="N750" s="7" t="s">
        <v>619</v>
      </c>
      <c r="O750" s="7">
        <v>95</v>
      </c>
      <c r="P750" s="7">
        <f t="shared" si="63"/>
        <v>436.99999999999994</v>
      </c>
      <c r="Q750" s="7" t="s">
        <v>28</v>
      </c>
      <c r="R750" s="8">
        <v>46164</v>
      </c>
      <c r="S750" s="8">
        <v>401768</v>
      </c>
      <c r="T750" s="7"/>
      <c r="U750" s="9">
        <f t="shared" si="62"/>
        <v>0</v>
      </c>
    </row>
    <row r="751" spans="1:21" x14ac:dyDescent="0.25">
      <c r="A751" s="2" t="s">
        <v>3238</v>
      </c>
      <c r="B751" s="6">
        <v>43959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5425</v>
      </c>
      <c r="H751" s="7" t="s">
        <v>5426</v>
      </c>
      <c r="I751" s="7" t="s">
        <v>812</v>
      </c>
      <c r="J751" s="7">
        <v>0</v>
      </c>
      <c r="K751" s="7" t="s">
        <v>813</v>
      </c>
      <c r="L751" s="7" t="s">
        <v>26</v>
      </c>
      <c r="M751" s="7">
        <v>4.34</v>
      </c>
      <c r="N751" s="7" t="s">
        <v>619</v>
      </c>
      <c r="O751" s="7">
        <v>95</v>
      </c>
      <c r="P751" s="7">
        <f t="shared" si="63"/>
        <v>412.3</v>
      </c>
      <c r="Q751" s="7" t="s">
        <v>28</v>
      </c>
      <c r="R751" s="8">
        <v>42765</v>
      </c>
      <c r="S751" s="8">
        <v>401768</v>
      </c>
      <c r="T751" s="7"/>
      <c r="U751" s="9">
        <f t="shared" si="62"/>
        <v>0</v>
      </c>
    </row>
    <row r="752" spans="1:21" x14ac:dyDescent="0.25">
      <c r="A752" s="2" t="s">
        <v>4009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5427</v>
      </c>
      <c r="J752" s="7">
        <v>0</v>
      </c>
      <c r="K752" s="7" t="s">
        <v>5428</v>
      </c>
      <c r="L752" s="7" t="s">
        <v>26</v>
      </c>
      <c r="M752" s="7">
        <v>7.4999999999999997E-2</v>
      </c>
      <c r="N752" s="7" t="s">
        <v>619</v>
      </c>
      <c r="O752" s="7">
        <v>95</v>
      </c>
      <c r="P752" s="7">
        <f t="shared" si="63"/>
        <v>7.125</v>
      </c>
      <c r="Q752" s="7" t="s">
        <v>28</v>
      </c>
      <c r="R752" s="8">
        <v>42634</v>
      </c>
      <c r="S752" s="8">
        <v>401768</v>
      </c>
      <c r="T752" s="7"/>
      <c r="U752" s="9">
        <f t="shared" si="62"/>
        <v>0</v>
      </c>
    </row>
    <row r="753" spans="1:21" x14ac:dyDescent="0.25">
      <c r="A753" s="2" t="s">
        <v>5151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5429</v>
      </c>
      <c r="J753" s="7">
        <v>0</v>
      </c>
      <c r="K753" s="7" t="s">
        <v>5430</v>
      </c>
      <c r="L753" s="7" t="s">
        <v>26</v>
      </c>
      <c r="M753" s="7">
        <v>2.85</v>
      </c>
      <c r="N753" s="7" t="s">
        <v>619</v>
      </c>
      <c r="O753" s="7">
        <v>95</v>
      </c>
      <c r="P753" s="7">
        <f t="shared" si="63"/>
        <v>270.75</v>
      </c>
      <c r="Q753" s="7" t="s">
        <v>28</v>
      </c>
      <c r="R753" s="8">
        <v>42718</v>
      </c>
      <c r="S753" s="8">
        <v>401768</v>
      </c>
      <c r="T753" s="7"/>
      <c r="U753" s="9">
        <f t="shared" si="62"/>
        <v>0</v>
      </c>
    </row>
    <row r="754" spans="1:21" x14ac:dyDescent="0.25">
      <c r="A754" s="2" t="s">
        <v>2565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815</v>
      </c>
      <c r="J754" s="7">
        <v>0</v>
      </c>
      <c r="K754" s="7" t="s">
        <v>816</v>
      </c>
      <c r="L754" s="7" t="s">
        <v>26</v>
      </c>
      <c r="M754" s="7">
        <v>0.48</v>
      </c>
      <c r="N754" s="7" t="s">
        <v>619</v>
      </c>
      <c r="O754" s="7">
        <v>95</v>
      </c>
      <c r="P754" s="7">
        <f t="shared" si="63"/>
        <v>45.6</v>
      </c>
      <c r="Q754" s="7" t="s">
        <v>28</v>
      </c>
      <c r="R754" s="8">
        <v>44509</v>
      </c>
      <c r="S754" s="8">
        <v>401768</v>
      </c>
      <c r="T754" s="7"/>
      <c r="U754" s="9">
        <f t="shared" si="62"/>
        <v>0</v>
      </c>
    </row>
    <row r="755" spans="1:21" x14ac:dyDescent="0.25">
      <c r="A755" s="2" t="s">
        <v>5431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818</v>
      </c>
      <c r="J755" s="7">
        <v>0</v>
      </c>
      <c r="K755" s="7" t="s">
        <v>819</v>
      </c>
      <c r="L755" s="7" t="s">
        <v>26</v>
      </c>
      <c r="M755" s="7">
        <v>0.78</v>
      </c>
      <c r="N755" s="7" t="s">
        <v>619</v>
      </c>
      <c r="O755" s="7">
        <v>95</v>
      </c>
      <c r="P755" s="7">
        <f t="shared" si="63"/>
        <v>74.100000000000009</v>
      </c>
      <c r="Q755" s="7" t="s">
        <v>28</v>
      </c>
      <c r="R755" s="8">
        <v>42214</v>
      </c>
      <c r="S755" s="8">
        <v>401768</v>
      </c>
      <c r="T755" s="7"/>
      <c r="U755" s="9">
        <f t="shared" si="62"/>
        <v>0</v>
      </c>
    </row>
    <row r="756" spans="1:21" x14ac:dyDescent="0.25">
      <c r="A756" s="2" t="s">
        <v>1347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5432</v>
      </c>
      <c r="J756" s="7">
        <v>0</v>
      </c>
      <c r="K756" s="7" t="s">
        <v>5433</v>
      </c>
      <c r="L756" s="7" t="s">
        <v>26</v>
      </c>
      <c r="M756" s="7">
        <v>5.61</v>
      </c>
      <c r="N756" s="7" t="s">
        <v>619</v>
      </c>
      <c r="O756" s="7">
        <v>95</v>
      </c>
      <c r="P756" s="7">
        <f t="shared" si="63"/>
        <v>532.95000000000005</v>
      </c>
      <c r="Q756" s="7" t="s">
        <v>28</v>
      </c>
      <c r="R756" s="8">
        <v>42422</v>
      </c>
      <c r="S756" s="8">
        <v>401768</v>
      </c>
      <c r="T756" s="7"/>
      <c r="U756" s="9">
        <f t="shared" si="62"/>
        <v>0</v>
      </c>
    </row>
    <row r="757" spans="1:21" x14ac:dyDescent="0.25">
      <c r="A757" s="2" t="s">
        <v>2021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821</v>
      </c>
      <c r="J757" s="7">
        <v>0</v>
      </c>
      <c r="K757" s="7" t="s">
        <v>822</v>
      </c>
      <c r="L757" s="7" t="s">
        <v>26</v>
      </c>
      <c r="M757" s="7">
        <v>0.6</v>
      </c>
      <c r="N757" s="7" t="s">
        <v>619</v>
      </c>
      <c r="O757" s="7">
        <v>95</v>
      </c>
      <c r="P757" s="7">
        <f t="shared" si="63"/>
        <v>57</v>
      </c>
      <c r="Q757" s="7" t="s">
        <v>28</v>
      </c>
      <c r="R757" s="8">
        <v>42479</v>
      </c>
      <c r="S757" s="8">
        <v>401768</v>
      </c>
      <c r="T757" s="7"/>
      <c r="U757" s="9">
        <f t="shared" si="62"/>
        <v>0</v>
      </c>
    </row>
    <row r="758" spans="1:21" x14ac:dyDescent="0.25">
      <c r="A758" s="2" t="s">
        <v>5434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5435</v>
      </c>
      <c r="J758" s="7">
        <v>0</v>
      </c>
      <c r="K758" s="7" t="s">
        <v>5436</v>
      </c>
      <c r="L758" s="7" t="s">
        <v>26</v>
      </c>
      <c r="M758" s="7">
        <v>7.24</v>
      </c>
      <c r="N758" s="7" t="s">
        <v>619</v>
      </c>
      <c r="O758" s="7">
        <v>95</v>
      </c>
      <c r="P758" s="7">
        <f t="shared" si="63"/>
        <v>687.80000000000007</v>
      </c>
      <c r="Q758" s="7" t="s">
        <v>28</v>
      </c>
      <c r="R758" s="8">
        <v>44639</v>
      </c>
      <c r="S758" s="8">
        <v>401768</v>
      </c>
      <c r="T758" s="7"/>
      <c r="U758" s="9">
        <f t="shared" si="62"/>
        <v>0</v>
      </c>
    </row>
    <row r="759" spans="1:21" x14ac:dyDescent="0.25">
      <c r="A759" s="2" t="s">
        <v>5437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824</v>
      </c>
      <c r="J759" s="7">
        <v>0</v>
      </c>
      <c r="K759" s="7" t="s">
        <v>825</v>
      </c>
      <c r="L759" s="7" t="s">
        <v>26</v>
      </c>
      <c r="M759" s="7">
        <v>5.75</v>
      </c>
      <c r="N759" s="7" t="s">
        <v>619</v>
      </c>
      <c r="O759" s="7">
        <v>95</v>
      </c>
      <c r="P759" s="7">
        <f t="shared" si="63"/>
        <v>546.25</v>
      </c>
      <c r="Q759" s="7" t="s">
        <v>28</v>
      </c>
      <c r="R759" s="8">
        <v>42422</v>
      </c>
      <c r="S759" s="8">
        <v>401768</v>
      </c>
      <c r="T759" s="7"/>
      <c r="U759" s="9">
        <f t="shared" si="62"/>
        <v>0</v>
      </c>
    </row>
    <row r="760" spans="1:21" x14ac:dyDescent="0.25">
      <c r="A760" s="2" t="s">
        <v>1342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5438</v>
      </c>
      <c r="J760" s="7">
        <v>0</v>
      </c>
      <c r="K760" s="7" t="s">
        <v>5439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63"/>
        <v>546.25</v>
      </c>
      <c r="Q760" s="7" t="s">
        <v>28</v>
      </c>
      <c r="R760" s="8">
        <v>42422</v>
      </c>
      <c r="S760" s="8">
        <v>401768</v>
      </c>
      <c r="T760" s="7"/>
      <c r="U760" s="9">
        <f t="shared" si="62"/>
        <v>0</v>
      </c>
    </row>
    <row r="761" spans="1:21" x14ac:dyDescent="0.25">
      <c r="A761" s="2" t="s">
        <v>5440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830</v>
      </c>
      <c r="J761" s="7">
        <v>0</v>
      </c>
      <c r="K761" s="7" t="s">
        <v>831</v>
      </c>
      <c r="L761" s="7" t="s">
        <v>26</v>
      </c>
      <c r="M761" s="7">
        <v>9.77</v>
      </c>
      <c r="N761" s="7" t="s">
        <v>619</v>
      </c>
      <c r="O761" s="7">
        <v>95</v>
      </c>
      <c r="P761" s="7">
        <f t="shared" si="63"/>
        <v>928.15</v>
      </c>
      <c r="Q761" s="7" t="s">
        <v>28</v>
      </c>
      <c r="R761" s="8">
        <v>43033</v>
      </c>
      <c r="S761" s="8">
        <v>401768</v>
      </c>
      <c r="T761" s="7"/>
      <c r="U761" s="9">
        <f t="shared" si="62"/>
        <v>0</v>
      </c>
    </row>
    <row r="762" spans="1:21" x14ac:dyDescent="0.25">
      <c r="A762" s="2" t="s">
        <v>1388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836</v>
      </c>
      <c r="J762" s="7">
        <v>0</v>
      </c>
      <c r="K762" s="7" t="s">
        <v>837</v>
      </c>
      <c r="L762" s="7" t="s">
        <v>26</v>
      </c>
      <c r="M762" s="7">
        <v>16.75722</v>
      </c>
      <c r="N762" s="7" t="s">
        <v>619</v>
      </c>
      <c r="O762" s="7">
        <v>95</v>
      </c>
      <c r="P762" s="7">
        <f t="shared" si="63"/>
        <v>1591.9358999999999</v>
      </c>
      <c r="Q762" s="7" t="s">
        <v>28</v>
      </c>
      <c r="R762" s="8">
        <v>43040</v>
      </c>
      <c r="S762" s="8">
        <v>401768</v>
      </c>
      <c r="T762" s="7"/>
      <c r="U762" s="9">
        <f t="shared" si="62"/>
        <v>0</v>
      </c>
    </row>
    <row r="763" spans="1:21" x14ac:dyDescent="0.25">
      <c r="A763" s="2" t="s">
        <v>3239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850</v>
      </c>
      <c r="J763" s="7">
        <v>0</v>
      </c>
      <c r="K763" s="7" t="s">
        <v>851</v>
      </c>
      <c r="L763" s="7" t="s">
        <v>26</v>
      </c>
      <c r="M763" s="7">
        <v>20.29</v>
      </c>
      <c r="N763" s="7" t="s">
        <v>619</v>
      </c>
      <c r="O763" s="7">
        <v>95</v>
      </c>
      <c r="P763" s="7">
        <f t="shared" si="63"/>
        <v>1927.55</v>
      </c>
      <c r="Q763" s="7" t="s">
        <v>28</v>
      </c>
      <c r="R763" s="8">
        <v>42884</v>
      </c>
      <c r="S763" s="8">
        <v>401768</v>
      </c>
      <c r="T763" s="7"/>
      <c r="U763" s="9">
        <f t="shared" si="62"/>
        <v>0</v>
      </c>
    </row>
    <row r="764" spans="1:21" x14ac:dyDescent="0.25">
      <c r="A764" s="2" t="s">
        <v>5463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5464</v>
      </c>
      <c r="J764" s="7">
        <v>0</v>
      </c>
      <c r="K764" s="7" t="s">
        <v>5465</v>
      </c>
      <c r="L764" s="7" t="s">
        <v>26</v>
      </c>
      <c r="M764" s="7">
        <v>16.899999999999999</v>
      </c>
      <c r="N764" s="7" t="s">
        <v>619</v>
      </c>
      <c r="O764" s="7">
        <v>95</v>
      </c>
      <c r="P764" s="7">
        <f t="shared" si="63"/>
        <v>1605.4999999999998</v>
      </c>
      <c r="Q764" s="7" t="s">
        <v>28</v>
      </c>
      <c r="R764" s="8">
        <v>42535</v>
      </c>
      <c r="S764" s="8">
        <v>401768</v>
      </c>
      <c r="T764" s="7"/>
      <c r="U764" s="9">
        <f t="shared" si="62"/>
        <v>0</v>
      </c>
    </row>
    <row r="765" spans="1:21" x14ac:dyDescent="0.25">
      <c r="A765" s="2" t="s">
        <v>933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5466</v>
      </c>
      <c r="J765" s="7">
        <v>0</v>
      </c>
      <c r="K765" s="7" t="s">
        <v>5467</v>
      </c>
      <c r="L765" s="7" t="s">
        <v>49</v>
      </c>
      <c r="M765" s="7">
        <v>21.5</v>
      </c>
      <c r="N765" s="7" t="s">
        <v>619</v>
      </c>
      <c r="O765" s="7">
        <v>95</v>
      </c>
      <c r="P765" s="7">
        <f t="shared" si="63"/>
        <v>2042.5</v>
      </c>
      <c r="Q765" s="7" t="s">
        <v>28</v>
      </c>
      <c r="R765" s="8">
        <v>42310</v>
      </c>
      <c r="S765" s="8">
        <v>401768</v>
      </c>
      <c r="T765" s="7"/>
      <c r="U765" s="9">
        <f t="shared" si="62"/>
        <v>0</v>
      </c>
    </row>
    <row r="766" spans="1:21" x14ac:dyDescent="0.25">
      <c r="A766" s="2" t="s">
        <v>528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859</v>
      </c>
      <c r="J766" s="7">
        <v>0</v>
      </c>
      <c r="K766" s="7" t="s">
        <v>860</v>
      </c>
      <c r="L766" s="7" t="s">
        <v>26</v>
      </c>
      <c r="M766" s="7">
        <v>22.64</v>
      </c>
      <c r="N766" s="7" t="s">
        <v>619</v>
      </c>
      <c r="O766" s="7">
        <v>95</v>
      </c>
      <c r="P766" s="7">
        <f t="shared" si="63"/>
        <v>2150.8000000000002</v>
      </c>
      <c r="Q766" s="7" t="s">
        <v>28</v>
      </c>
      <c r="R766" s="8">
        <v>42798</v>
      </c>
      <c r="S766" s="8">
        <v>401768</v>
      </c>
      <c r="T766" s="7"/>
      <c r="U766" s="9">
        <f t="shared" si="62"/>
        <v>0</v>
      </c>
    </row>
    <row r="767" spans="1:21" x14ac:dyDescent="0.25">
      <c r="A767" s="2" t="s">
        <v>5468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862</v>
      </c>
      <c r="J767" s="7">
        <v>0</v>
      </c>
      <c r="K767" s="7" t="s">
        <v>863</v>
      </c>
      <c r="L767" s="7" t="s">
        <v>26</v>
      </c>
      <c r="M767" s="7">
        <v>4.8600000000000003</v>
      </c>
      <c r="N767" s="7" t="s">
        <v>619</v>
      </c>
      <c r="O767" s="7">
        <v>95</v>
      </c>
      <c r="P767" s="7">
        <f t="shared" si="63"/>
        <v>461.70000000000005</v>
      </c>
      <c r="Q767" s="7" t="s">
        <v>28</v>
      </c>
      <c r="R767" s="8">
        <v>42906</v>
      </c>
      <c r="S767" s="8">
        <v>401768</v>
      </c>
      <c r="T767" s="7"/>
      <c r="U767" s="9">
        <f t="shared" si="62"/>
        <v>0</v>
      </c>
    </row>
    <row r="768" spans="1:21" x14ac:dyDescent="0.25">
      <c r="A768" s="2" t="s">
        <v>5514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5515</v>
      </c>
      <c r="H768" s="7" t="s">
        <v>5516</v>
      </c>
      <c r="I768" s="7" t="s">
        <v>815</v>
      </c>
      <c r="J768" s="7">
        <v>0</v>
      </c>
      <c r="K768" s="7" t="s">
        <v>816</v>
      </c>
      <c r="L768" s="7" t="s">
        <v>26</v>
      </c>
      <c r="M768" s="7">
        <v>0.66</v>
      </c>
      <c r="N768" s="7" t="s">
        <v>619</v>
      </c>
      <c r="O768" s="7">
        <v>95</v>
      </c>
      <c r="P768" s="7">
        <f t="shared" si="63"/>
        <v>62.7</v>
      </c>
      <c r="Q768" s="7" t="s">
        <v>28</v>
      </c>
      <c r="R768" s="8">
        <v>46172</v>
      </c>
      <c r="S768" s="8">
        <v>401768</v>
      </c>
      <c r="T768" s="7"/>
      <c r="U768" s="9">
        <f t="shared" si="62"/>
        <v>0</v>
      </c>
    </row>
    <row r="769" spans="1:21" x14ac:dyDescent="0.25">
      <c r="A769" s="2" t="s">
        <v>1641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818</v>
      </c>
      <c r="J769" s="7">
        <v>0</v>
      </c>
      <c r="K769" s="7" t="s">
        <v>819</v>
      </c>
      <c r="L769" s="7" t="s">
        <v>26</v>
      </c>
      <c r="M769" s="7">
        <v>16</v>
      </c>
      <c r="N769" s="7" t="s">
        <v>619</v>
      </c>
      <c r="O769" s="7">
        <v>95</v>
      </c>
      <c r="P769" s="7">
        <f t="shared" si="63"/>
        <v>1520</v>
      </c>
      <c r="Q769" s="7" t="s">
        <v>28</v>
      </c>
      <c r="R769" s="8">
        <v>43280</v>
      </c>
      <c r="S769" s="8">
        <v>401768</v>
      </c>
      <c r="T769" s="7"/>
      <c r="U769" s="9">
        <f t="shared" si="62"/>
        <v>0</v>
      </c>
    </row>
    <row r="770" spans="1:21" x14ac:dyDescent="0.25">
      <c r="A770" s="2" t="s">
        <v>708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5435</v>
      </c>
      <c r="J770" s="7">
        <v>0</v>
      </c>
      <c r="K770" s="7" t="s">
        <v>5436</v>
      </c>
      <c r="L770" s="7" t="s">
        <v>26</v>
      </c>
      <c r="M770" s="7">
        <v>7.24</v>
      </c>
      <c r="N770" s="7" t="s">
        <v>619</v>
      </c>
      <c r="O770" s="7">
        <v>95</v>
      </c>
      <c r="P770" s="7">
        <f t="shared" si="63"/>
        <v>687.80000000000007</v>
      </c>
      <c r="Q770" s="7" t="s">
        <v>28</v>
      </c>
      <c r="R770" s="8">
        <v>44566</v>
      </c>
      <c r="S770" s="8">
        <v>401768</v>
      </c>
      <c r="T770" s="7"/>
      <c r="U770" s="9">
        <f t="shared" si="62"/>
        <v>0</v>
      </c>
    </row>
    <row r="771" spans="1:21" x14ac:dyDescent="0.25">
      <c r="A771" s="2" t="s">
        <v>5518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836</v>
      </c>
      <c r="J771" s="7">
        <v>0</v>
      </c>
      <c r="K771" s="7" t="s">
        <v>837</v>
      </c>
      <c r="L771" s="7" t="s">
        <v>26</v>
      </c>
      <c r="M771" s="7">
        <v>16.899999999999999</v>
      </c>
      <c r="N771" s="7" t="s">
        <v>619</v>
      </c>
      <c r="O771" s="7">
        <v>95</v>
      </c>
      <c r="P771" s="7">
        <f t="shared" ref="P771:P783" si="66">O771*M771</f>
        <v>1605.4999999999998</v>
      </c>
      <c r="Q771" s="7" t="s">
        <v>28</v>
      </c>
      <c r="R771" s="8">
        <v>42060</v>
      </c>
      <c r="S771" s="8">
        <v>401768</v>
      </c>
      <c r="T771" s="7"/>
      <c r="U771" s="9">
        <f t="shared" ref="U771:U783" si="67">T771*P771/100000</f>
        <v>0</v>
      </c>
    </row>
    <row r="772" spans="1:21" x14ac:dyDescent="0.25">
      <c r="A772" s="2" t="s">
        <v>5519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5420</v>
      </c>
      <c r="J772" s="7">
        <v>0</v>
      </c>
      <c r="K772" s="7" t="s">
        <v>5421</v>
      </c>
      <c r="L772" s="7" t="s">
        <v>26</v>
      </c>
      <c r="M772" s="7">
        <v>8.9</v>
      </c>
      <c r="N772" s="7" t="s">
        <v>619</v>
      </c>
      <c r="O772" s="7">
        <v>95</v>
      </c>
      <c r="P772" s="7">
        <f t="shared" si="66"/>
        <v>845.5</v>
      </c>
      <c r="Q772" s="7" t="s">
        <v>28</v>
      </c>
      <c r="R772" s="8">
        <v>46172</v>
      </c>
      <c r="S772" s="8">
        <v>401768</v>
      </c>
      <c r="T772" s="7">
        <v>200</v>
      </c>
      <c r="U772" s="9">
        <f t="shared" si="67"/>
        <v>1.6910000000000001</v>
      </c>
    </row>
    <row r="773" spans="1:21" x14ac:dyDescent="0.25">
      <c r="A773" s="2" t="s">
        <v>5520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839</v>
      </c>
      <c r="J773" s="7">
        <v>0</v>
      </c>
      <c r="K773" s="7" t="s">
        <v>840</v>
      </c>
      <c r="L773" s="7" t="s">
        <v>26</v>
      </c>
      <c r="M773" s="7">
        <v>4.6100000000000003</v>
      </c>
      <c r="N773" s="7" t="s">
        <v>619</v>
      </c>
      <c r="O773" s="7">
        <v>95</v>
      </c>
      <c r="P773" s="7">
        <f t="shared" si="66"/>
        <v>437.95000000000005</v>
      </c>
      <c r="Q773" s="7" t="s">
        <v>28</v>
      </c>
      <c r="R773" s="8">
        <v>43909</v>
      </c>
      <c r="S773" s="8">
        <v>401768</v>
      </c>
      <c r="T773" s="7"/>
      <c r="U773" s="9">
        <f t="shared" si="67"/>
        <v>0</v>
      </c>
    </row>
    <row r="774" spans="1:21" x14ac:dyDescent="0.25">
      <c r="A774" s="2" t="s">
        <v>4150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842</v>
      </c>
      <c r="J774" s="7">
        <v>0</v>
      </c>
      <c r="K774" s="7" t="s">
        <v>843</v>
      </c>
      <c r="L774" s="7" t="s">
        <v>26</v>
      </c>
      <c r="M774" s="7">
        <v>5.74</v>
      </c>
      <c r="N774" s="7" t="s">
        <v>619</v>
      </c>
      <c r="O774" s="7">
        <v>95</v>
      </c>
      <c r="P774" s="7">
        <f t="shared" si="66"/>
        <v>545.30000000000007</v>
      </c>
      <c r="Q774" s="7" t="s">
        <v>28</v>
      </c>
      <c r="R774" s="8">
        <v>46172</v>
      </c>
      <c r="S774" s="8">
        <v>401768</v>
      </c>
      <c r="T774" s="7"/>
      <c r="U774" s="9">
        <f t="shared" si="67"/>
        <v>0</v>
      </c>
    </row>
    <row r="775" spans="1:21" x14ac:dyDescent="0.25">
      <c r="A775" s="2" t="s">
        <v>4615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845</v>
      </c>
      <c r="J775" s="7">
        <v>0</v>
      </c>
      <c r="K775" s="7" t="s">
        <v>846</v>
      </c>
      <c r="L775" s="7" t="s">
        <v>26</v>
      </c>
      <c r="M775" s="7">
        <v>2.4900000000000002</v>
      </c>
      <c r="N775" s="7" t="s">
        <v>619</v>
      </c>
      <c r="O775" s="7">
        <v>95</v>
      </c>
      <c r="P775" s="7">
        <f t="shared" si="66"/>
        <v>236.55</v>
      </c>
      <c r="Q775" s="7" t="s">
        <v>28</v>
      </c>
      <c r="R775" s="8">
        <v>44957</v>
      </c>
      <c r="S775" s="8">
        <v>401768</v>
      </c>
      <c r="T775" s="7"/>
      <c r="U775" s="9">
        <f t="shared" si="67"/>
        <v>0</v>
      </c>
    </row>
    <row r="776" spans="1:21" x14ac:dyDescent="0.25">
      <c r="A776" s="2" t="s">
        <v>5521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5522</v>
      </c>
      <c r="J776" s="7">
        <v>0</v>
      </c>
      <c r="K776" s="7" t="s">
        <v>5523</v>
      </c>
      <c r="L776" s="7" t="s">
        <v>26</v>
      </c>
      <c r="M776" s="7">
        <v>5.13</v>
      </c>
      <c r="N776" s="7" t="s">
        <v>619</v>
      </c>
      <c r="O776" s="7">
        <v>95</v>
      </c>
      <c r="P776" s="7">
        <f t="shared" si="66"/>
        <v>487.34999999999997</v>
      </c>
      <c r="Q776" s="7" t="s">
        <v>28</v>
      </c>
      <c r="R776" s="8">
        <v>46172</v>
      </c>
      <c r="S776" s="8">
        <v>401768</v>
      </c>
      <c r="T776" s="7"/>
      <c r="U776" s="9">
        <f t="shared" si="67"/>
        <v>0</v>
      </c>
    </row>
    <row r="777" spans="1:21" x14ac:dyDescent="0.25">
      <c r="A777" s="2" t="s">
        <v>5524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848</v>
      </c>
      <c r="J777" s="7">
        <v>0</v>
      </c>
      <c r="K777" s="7" t="s">
        <v>849</v>
      </c>
      <c r="L777" s="7" t="s">
        <v>26</v>
      </c>
      <c r="M777" s="7">
        <v>22.59</v>
      </c>
      <c r="N777" s="7" t="s">
        <v>619</v>
      </c>
      <c r="O777" s="7">
        <v>95</v>
      </c>
      <c r="P777" s="7">
        <f t="shared" si="66"/>
        <v>2146.0500000000002</v>
      </c>
      <c r="Q777" s="7" t="s">
        <v>28</v>
      </c>
      <c r="R777" s="8">
        <v>44509</v>
      </c>
      <c r="S777" s="8">
        <v>401768</v>
      </c>
      <c r="T777" s="7"/>
      <c r="U777" s="9">
        <f t="shared" si="67"/>
        <v>0</v>
      </c>
    </row>
    <row r="778" spans="1:21" x14ac:dyDescent="0.25">
      <c r="A778" s="2" t="s">
        <v>3990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850</v>
      </c>
      <c r="J778" s="7">
        <v>0</v>
      </c>
      <c r="K778" s="7" t="s">
        <v>851</v>
      </c>
      <c r="L778" s="7" t="s">
        <v>26</v>
      </c>
      <c r="M778" s="7">
        <v>27.46</v>
      </c>
      <c r="N778" s="7" t="s">
        <v>619</v>
      </c>
      <c r="O778" s="7">
        <v>95</v>
      </c>
      <c r="P778" s="7">
        <f t="shared" si="66"/>
        <v>2608.7000000000003</v>
      </c>
      <c r="Q778" s="7" t="s">
        <v>28</v>
      </c>
      <c r="R778" s="8">
        <v>46172</v>
      </c>
      <c r="S778" s="8">
        <v>401768</v>
      </c>
      <c r="T778" s="7"/>
      <c r="U778" s="9">
        <f t="shared" si="67"/>
        <v>0</v>
      </c>
    </row>
    <row r="779" spans="1:21" x14ac:dyDescent="0.25">
      <c r="A779" s="2" t="s">
        <v>5525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5526</v>
      </c>
      <c r="J779" s="7">
        <v>0</v>
      </c>
      <c r="K779" s="7" t="s">
        <v>5527</v>
      </c>
      <c r="L779" s="7" t="s">
        <v>26</v>
      </c>
      <c r="M779" s="7">
        <v>0</v>
      </c>
      <c r="N779" s="7" t="s">
        <v>619</v>
      </c>
      <c r="O779" s="7">
        <v>95</v>
      </c>
      <c r="P779" s="7">
        <f t="shared" si="66"/>
        <v>0</v>
      </c>
      <c r="Q779" s="7" t="s">
        <v>28</v>
      </c>
      <c r="R779" s="8">
        <v>42060</v>
      </c>
      <c r="S779" s="8">
        <v>401768</v>
      </c>
      <c r="T779" s="7"/>
      <c r="U779" s="9">
        <f t="shared" si="67"/>
        <v>0</v>
      </c>
    </row>
    <row r="780" spans="1:21" x14ac:dyDescent="0.25">
      <c r="A780" s="2" t="s">
        <v>5528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5464</v>
      </c>
      <c r="J780" s="7">
        <v>0</v>
      </c>
      <c r="K780" s="7" t="s">
        <v>5465</v>
      </c>
      <c r="L780" s="7" t="s">
        <v>26</v>
      </c>
      <c r="M780" s="7">
        <v>16.899999999999999</v>
      </c>
      <c r="N780" s="7" t="s">
        <v>619</v>
      </c>
      <c r="O780" s="7">
        <v>95</v>
      </c>
      <c r="P780" s="7">
        <f t="shared" si="66"/>
        <v>1605.4999999999998</v>
      </c>
      <c r="Q780" s="7" t="s">
        <v>28</v>
      </c>
      <c r="R780" s="8">
        <v>42241</v>
      </c>
      <c r="S780" s="8">
        <v>401768</v>
      </c>
      <c r="T780" s="7"/>
      <c r="U780" s="9">
        <f t="shared" si="67"/>
        <v>0</v>
      </c>
    </row>
    <row r="781" spans="1:21" x14ac:dyDescent="0.25">
      <c r="A781" s="2" t="s">
        <v>5529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862</v>
      </c>
      <c r="J781" s="7">
        <v>0</v>
      </c>
      <c r="K781" s="7" t="s">
        <v>863</v>
      </c>
      <c r="L781" s="7" t="s">
        <v>26</v>
      </c>
      <c r="M781" s="7">
        <v>0</v>
      </c>
      <c r="N781" s="7" t="s">
        <v>619</v>
      </c>
      <c r="O781" s="7">
        <v>95</v>
      </c>
      <c r="P781" s="7">
        <f t="shared" si="66"/>
        <v>0</v>
      </c>
      <c r="Q781" s="7" t="s">
        <v>28</v>
      </c>
      <c r="R781" s="8">
        <v>43330</v>
      </c>
      <c r="S781" s="8">
        <v>401768</v>
      </c>
      <c r="T781" s="7"/>
      <c r="U781" s="9">
        <f t="shared" si="67"/>
        <v>0</v>
      </c>
    </row>
    <row r="782" spans="1:21" x14ac:dyDescent="0.25">
      <c r="A782" s="2" t="s">
        <v>5961</v>
      </c>
      <c r="B782" s="6">
        <v>44202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821</v>
      </c>
      <c r="J782" s="7">
        <v>0</v>
      </c>
      <c r="K782" s="7" t="s">
        <v>822</v>
      </c>
      <c r="L782" s="7" t="s">
        <v>26</v>
      </c>
      <c r="M782" s="7">
        <v>0.62</v>
      </c>
      <c r="N782" s="7" t="s">
        <v>619</v>
      </c>
      <c r="O782" s="7">
        <v>95</v>
      </c>
      <c r="P782" s="7">
        <f t="shared" si="66"/>
        <v>58.9</v>
      </c>
      <c r="Q782" s="7" t="s">
        <v>28</v>
      </c>
      <c r="R782" s="8">
        <v>46172</v>
      </c>
      <c r="S782" s="8">
        <v>401768</v>
      </c>
      <c r="T782" s="7"/>
      <c r="U782" s="9">
        <f t="shared" si="67"/>
        <v>0</v>
      </c>
    </row>
    <row r="783" spans="1:21" x14ac:dyDescent="0.25">
      <c r="A783" s="2" t="s">
        <v>7420</v>
      </c>
      <c r="B783" s="6">
        <v>46122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7639</v>
      </c>
      <c r="J783" s="7">
        <v>0</v>
      </c>
      <c r="K783" s="7" t="s">
        <v>7640</v>
      </c>
      <c r="L783" s="7" t="s">
        <v>26</v>
      </c>
      <c r="M783" s="7">
        <v>7.5</v>
      </c>
      <c r="N783" s="7" t="s">
        <v>619</v>
      </c>
      <c r="O783" s="7">
        <v>95</v>
      </c>
      <c r="P783" s="7">
        <f t="shared" si="66"/>
        <v>712.5</v>
      </c>
      <c r="Q783" s="7" t="s">
        <v>28</v>
      </c>
      <c r="R783" s="8">
        <v>46134</v>
      </c>
      <c r="S783" s="8">
        <v>401768</v>
      </c>
      <c r="T783" s="7"/>
      <c r="U783" s="9">
        <f t="shared" si="67"/>
        <v>0</v>
      </c>
    </row>
  </sheetData>
  <autoFilter ref="A1:U783" xr:uid="{C1A5A472-5BFF-45B1-8275-ED64135DAC37}">
    <sortState xmlns:xlrd2="http://schemas.microsoft.com/office/spreadsheetml/2017/richdata2" ref="A2:U783">
      <sortCondition ref="H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D358-8CE7-4293-9190-A297EA556458}">
  <sheetPr filterMode="1"/>
  <dimension ref="A3:K786"/>
  <sheetViews>
    <sheetView workbookViewId="0">
      <selection activeCell="D1" sqref="D1:K1048576"/>
    </sheetView>
  </sheetViews>
  <sheetFormatPr defaultRowHeight="15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/>
  </cols>
  <sheetData>
    <row r="3" spans="1:11" x14ac:dyDescent="0.25">
      <c r="K3" s="17">
        <f>SUM(K5:K786)</f>
        <v>1120.3546569999999</v>
      </c>
    </row>
    <row r="4" spans="1:11" s="3" customFormat="1" ht="41.25" customHeight="1" x14ac:dyDescent="0.25">
      <c r="A4" s="15" t="s">
        <v>6</v>
      </c>
      <c r="B4" s="15" t="s">
        <v>7</v>
      </c>
      <c r="C4" s="15" t="s">
        <v>8</v>
      </c>
      <c r="D4" s="15" t="s">
        <v>10</v>
      </c>
      <c r="E4" s="16" t="s">
        <v>11</v>
      </c>
      <c r="F4" s="11" t="s">
        <v>12</v>
      </c>
      <c r="G4" s="11" t="s">
        <v>13</v>
      </c>
      <c r="H4" s="12" t="s">
        <v>7710</v>
      </c>
      <c r="I4" s="16" t="s">
        <v>7711</v>
      </c>
      <c r="J4" s="16" t="s">
        <v>7708</v>
      </c>
      <c r="K4" s="16" t="s">
        <v>7709</v>
      </c>
    </row>
    <row r="5" spans="1:11" hidden="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9">
        <f t="shared" ref="K5:K68" si="0">J5*I5/100000</f>
        <v>0</v>
      </c>
    </row>
    <row r="6" spans="1:11" hidden="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9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9">
        <f t="shared" si="0"/>
        <v>1.55975</v>
      </c>
    </row>
    <row r="8" spans="1:11" hidden="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9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9">
        <f t="shared" si="0"/>
        <v>4.9487760000000005</v>
      </c>
    </row>
    <row r="10" spans="1:11" hidden="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311.60000000000002</v>
      </c>
      <c r="G10" s="7" t="s">
        <v>27</v>
      </c>
      <c r="H10" s="7">
        <f t="shared" si="1"/>
        <v>311.60000000000002</v>
      </c>
      <c r="I10" s="7">
        <f t="shared" si="2"/>
        <v>311.60000000000002</v>
      </c>
      <c r="J10" s="7"/>
      <c r="K10" s="9">
        <f t="shared" si="0"/>
        <v>0</v>
      </c>
    </row>
    <row r="11" spans="1:11" hidden="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9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9">
        <f t="shared" si="0"/>
        <v>2.5278399999999999</v>
      </c>
    </row>
    <row r="13" spans="1:11" hidden="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9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9">
        <f t="shared" si="0"/>
        <v>1.2639199999999999</v>
      </c>
    </row>
    <row r="15" spans="1:11" hidden="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9">
        <f t="shared" si="0"/>
        <v>0</v>
      </c>
    </row>
    <row r="16" spans="1:11" hidden="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9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9">
        <f t="shared" si="0"/>
        <v>16.644342000000002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9">
        <f t="shared" si="0"/>
        <v>42.469615999999995</v>
      </c>
    </row>
    <row r="19" spans="1:11" hidden="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9">
        <f t="shared" si="0"/>
        <v>0</v>
      </c>
    </row>
    <row r="20" spans="1:11" hidden="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9">
        <f t="shared" si="0"/>
        <v>0</v>
      </c>
    </row>
    <row r="21" spans="1:11" hidden="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9">
        <f t="shared" si="0"/>
        <v>0</v>
      </c>
    </row>
    <row r="22" spans="1:11" hidden="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9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9">
        <f t="shared" si="0"/>
        <v>0.56083499999999997</v>
      </c>
    </row>
    <row r="24" spans="1:11" hidden="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9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9">
        <f t="shared" si="0"/>
        <v>1.6071500000000001</v>
      </c>
    </row>
    <row r="26" spans="1:11" hidden="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9">
        <f t="shared" si="0"/>
        <v>0</v>
      </c>
    </row>
    <row r="27" spans="1:11" hidden="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9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9">
        <f t="shared" si="0"/>
        <v>4.8493199999999996</v>
      </c>
    </row>
    <row r="29" spans="1:11" hidden="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9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9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9">
        <f t="shared" si="0"/>
        <v>10.374030400000001</v>
      </c>
    </row>
    <row r="32" spans="1:11" hidden="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9">
        <f t="shared" si="0"/>
        <v>0</v>
      </c>
    </row>
    <row r="33" spans="1:11" hidden="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9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9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9">
        <f t="shared" si="0"/>
        <v>0.1135456</v>
      </c>
    </row>
    <row r="36" spans="1:11" hidden="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9">
        <f t="shared" si="0"/>
        <v>0</v>
      </c>
    </row>
    <row r="37" spans="1:11" hidden="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9">
        <f t="shared" si="0"/>
        <v>0</v>
      </c>
    </row>
    <row r="38" spans="1:11" hidden="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9">
        <f t="shared" si="0"/>
        <v>0</v>
      </c>
    </row>
    <row r="39" spans="1:11" hidden="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9">
        <f t="shared" si="0"/>
        <v>0</v>
      </c>
    </row>
    <row r="40" spans="1:11" hidden="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9">
        <f t="shared" si="0"/>
        <v>0</v>
      </c>
    </row>
    <row r="41" spans="1:11" hidden="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9">
        <f t="shared" si="0"/>
        <v>0</v>
      </c>
    </row>
    <row r="42" spans="1:11" hidden="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9">
        <f t="shared" si="0"/>
        <v>0</v>
      </c>
    </row>
    <row r="43" spans="1:11" hidden="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9">
        <f t="shared" si="0"/>
        <v>0</v>
      </c>
    </row>
    <row r="44" spans="1:11" hidden="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9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9">
        <f t="shared" si="0"/>
        <v>4.7937500000000002</v>
      </c>
    </row>
    <row r="46" spans="1:11" hidden="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9">
        <f t="shared" si="0"/>
        <v>0</v>
      </c>
    </row>
    <row r="47" spans="1:11" hidden="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9">
        <f t="shared" si="0"/>
        <v>0</v>
      </c>
    </row>
    <row r="48" spans="1:11" hidden="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9">
        <f t="shared" si="0"/>
        <v>0</v>
      </c>
    </row>
    <row r="49" spans="1:11" hidden="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9">
        <f t="shared" si="0"/>
        <v>0</v>
      </c>
    </row>
    <row r="50" spans="1:11" hidden="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9">
        <f t="shared" si="0"/>
        <v>0</v>
      </c>
    </row>
    <row r="51" spans="1:11" hidden="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9">
        <f t="shared" si="0"/>
        <v>0</v>
      </c>
    </row>
    <row r="52" spans="1:11" hidden="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9">
        <f t="shared" si="0"/>
        <v>0</v>
      </c>
    </row>
    <row r="53" spans="1:11" hidden="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9">
        <f t="shared" si="0"/>
        <v>0</v>
      </c>
    </row>
    <row r="54" spans="1:11" hidden="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9">
        <f t="shared" si="0"/>
        <v>0</v>
      </c>
    </row>
    <row r="55" spans="1:11" hidden="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9">
        <f t="shared" si="0"/>
        <v>0</v>
      </c>
    </row>
    <row r="56" spans="1:11" hidden="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35.200000000000003</v>
      </c>
      <c r="J56" s="7"/>
      <c r="K56" s="9">
        <f t="shared" si="0"/>
        <v>0</v>
      </c>
    </row>
    <row r="57" spans="1:11" hidden="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9">
        <f t="shared" si="0"/>
        <v>0</v>
      </c>
    </row>
    <row r="58" spans="1:11" hidden="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9">
        <f t="shared" si="0"/>
        <v>0</v>
      </c>
    </row>
    <row r="59" spans="1:11" hidden="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4.4800000000000004</v>
      </c>
      <c r="G59" s="7" t="s">
        <v>160</v>
      </c>
      <c r="H59" s="7">
        <v>110</v>
      </c>
      <c r="I59" s="7">
        <f t="shared" si="3"/>
        <v>492.80000000000007</v>
      </c>
      <c r="J59" s="7"/>
      <c r="K59" s="9">
        <f t="shared" si="0"/>
        <v>0</v>
      </c>
    </row>
    <row r="60" spans="1:11" hidden="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9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9">
        <f t="shared" si="0"/>
        <v>5.0688000000000004</v>
      </c>
    </row>
    <row r="62" spans="1:11" hidden="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9">
        <f t="shared" si="0"/>
        <v>0</v>
      </c>
    </row>
    <row r="63" spans="1:11" hidden="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9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9">
        <f t="shared" si="0"/>
        <v>5.0688000000000004</v>
      </c>
    </row>
    <row r="65" spans="1:11" hidden="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0.57999999999999996</v>
      </c>
      <c r="G65" s="7" t="s">
        <v>160</v>
      </c>
      <c r="H65" s="7">
        <v>110</v>
      </c>
      <c r="I65" s="7">
        <f t="shared" si="3"/>
        <v>63.8</v>
      </c>
      <c r="J65" s="7"/>
      <c r="K65" s="9">
        <f t="shared" si="0"/>
        <v>0</v>
      </c>
    </row>
    <row r="66" spans="1:11" hidden="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9">
        <f t="shared" si="0"/>
        <v>0</v>
      </c>
    </row>
    <row r="67" spans="1:11" hidden="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4.9000000000000004</v>
      </c>
      <c r="G67" s="7" t="s">
        <v>160</v>
      </c>
      <c r="H67" s="7">
        <v>110</v>
      </c>
      <c r="I67" s="7">
        <f t="shared" si="3"/>
        <v>539</v>
      </c>
      <c r="J67" s="7"/>
      <c r="K67" s="9">
        <f t="shared" si="0"/>
        <v>0</v>
      </c>
    </row>
    <row r="68" spans="1:11" hidden="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0.57999999999999996</v>
      </c>
      <c r="G68" s="7" t="s">
        <v>160</v>
      </c>
      <c r="H68" s="7">
        <v>110</v>
      </c>
      <c r="I68" s="7">
        <f t="shared" si="3"/>
        <v>63.8</v>
      </c>
      <c r="J68" s="7"/>
      <c r="K68" s="9">
        <f t="shared" si="0"/>
        <v>0</v>
      </c>
    </row>
    <row r="69" spans="1:11" hidden="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9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4.9000000000000004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9">
        <f t="shared" si="4"/>
        <v>9.6049799999999994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4.9000000000000004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9">
        <f t="shared" si="4"/>
        <v>9.6049799999999994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9">
        <f t="shared" si="4"/>
        <v>3.5481600000000002</v>
      </c>
    </row>
    <row r="73" spans="1:11" hidden="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9">
        <f t="shared" si="4"/>
        <v>0</v>
      </c>
    </row>
    <row r="74" spans="1:11" hidden="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9">
        <f t="shared" si="4"/>
        <v>0</v>
      </c>
    </row>
    <row r="75" spans="1:11" hidden="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9">
        <f t="shared" si="4"/>
        <v>0</v>
      </c>
    </row>
    <row r="76" spans="1:11" hidden="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9">
        <f t="shared" si="4"/>
        <v>0</v>
      </c>
    </row>
    <row r="77" spans="1:11" hidden="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9">
        <f t="shared" si="4"/>
        <v>0</v>
      </c>
    </row>
    <row r="78" spans="1:11" hidden="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9">
        <f t="shared" si="4"/>
        <v>0</v>
      </c>
    </row>
    <row r="79" spans="1:11" hidden="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9">
        <f t="shared" si="4"/>
        <v>0</v>
      </c>
    </row>
    <row r="80" spans="1:11" hidden="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9">
        <f t="shared" si="4"/>
        <v>0</v>
      </c>
    </row>
    <row r="81" spans="1:11" hidden="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71.900000000000006</v>
      </c>
      <c r="G81" s="7" t="s">
        <v>27</v>
      </c>
      <c r="H81" s="7">
        <f t="shared" si="5"/>
        <v>71.900000000000006</v>
      </c>
      <c r="I81" s="7">
        <f t="shared" si="6"/>
        <v>71.900000000000006</v>
      </c>
      <c r="J81" s="7"/>
      <c r="K81" s="9">
        <f t="shared" si="4"/>
        <v>0</v>
      </c>
    </row>
    <row r="82" spans="1:11" hidden="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78.260000000000005</v>
      </c>
      <c r="G82" s="7" t="s">
        <v>27</v>
      </c>
      <c r="H82" s="7">
        <f t="shared" si="5"/>
        <v>78.260000000000005</v>
      </c>
      <c r="I82" s="7">
        <f t="shared" si="6"/>
        <v>78.260000000000005</v>
      </c>
      <c r="J82" s="7"/>
      <c r="K82" s="9">
        <f t="shared" si="4"/>
        <v>0</v>
      </c>
    </row>
    <row r="83" spans="1:11" hidden="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79.260000000000005</v>
      </c>
      <c r="G83" s="7" t="s">
        <v>27</v>
      </c>
      <c r="H83" s="7">
        <f t="shared" si="5"/>
        <v>79.260000000000005</v>
      </c>
      <c r="I83" s="7">
        <f t="shared" si="6"/>
        <v>79.260000000000005</v>
      </c>
      <c r="J83" s="7"/>
      <c r="K83" s="9">
        <f t="shared" si="4"/>
        <v>0</v>
      </c>
    </row>
    <row r="84" spans="1:11" hidden="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9">
        <f t="shared" si="4"/>
        <v>0</v>
      </c>
    </row>
    <row r="85" spans="1:11" hidden="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9">
        <f t="shared" si="4"/>
        <v>0</v>
      </c>
    </row>
    <row r="86" spans="1:11" hidden="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9">
        <f t="shared" si="4"/>
        <v>0</v>
      </c>
    </row>
    <row r="87" spans="1:11" hidden="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9">
        <f t="shared" si="4"/>
        <v>0</v>
      </c>
    </row>
    <row r="88" spans="1:11" hidden="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9">
        <f t="shared" si="4"/>
        <v>0</v>
      </c>
    </row>
    <row r="89" spans="1:11" hidden="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306.39999999999998</v>
      </c>
      <c r="G89" s="7" t="s">
        <v>27</v>
      </c>
      <c r="H89" s="7">
        <f t="shared" si="5"/>
        <v>306.39999999999998</v>
      </c>
      <c r="I89" s="7">
        <f t="shared" si="6"/>
        <v>306.39999999999998</v>
      </c>
      <c r="J89" s="7"/>
      <c r="K89" s="9">
        <f t="shared" si="4"/>
        <v>0</v>
      </c>
    </row>
    <row r="90" spans="1:11" hidden="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9">
        <f t="shared" si="4"/>
        <v>0</v>
      </c>
    </row>
    <row r="91" spans="1:11" hidden="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9">
        <f t="shared" si="4"/>
        <v>0</v>
      </c>
    </row>
    <row r="92" spans="1:11" hidden="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9">
        <f t="shared" si="4"/>
        <v>0</v>
      </c>
    </row>
    <row r="93" spans="1:11" hidden="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9">
        <f t="shared" si="4"/>
        <v>0</v>
      </c>
    </row>
    <row r="94" spans="1:11" hidden="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9">
        <f t="shared" si="4"/>
        <v>0</v>
      </c>
    </row>
    <row r="95" spans="1:11" hidden="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9">
        <f t="shared" si="4"/>
        <v>0</v>
      </c>
    </row>
    <row r="96" spans="1:11" hidden="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9">
        <f t="shared" si="4"/>
        <v>0</v>
      </c>
    </row>
    <row r="97" spans="1:11" hidden="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9">
        <f t="shared" si="4"/>
        <v>0</v>
      </c>
    </row>
    <row r="98" spans="1:11" hidden="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9">
        <f t="shared" si="4"/>
        <v>0</v>
      </c>
    </row>
    <row r="99" spans="1:11" hidden="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9">
        <f t="shared" si="4"/>
        <v>0</v>
      </c>
    </row>
    <row r="100" spans="1:11" hidden="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9">
        <f t="shared" si="4"/>
        <v>0</v>
      </c>
    </row>
    <row r="101" spans="1:11" hidden="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9">
        <f t="shared" si="4"/>
        <v>0</v>
      </c>
    </row>
    <row r="102" spans="1:11" hidden="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9">
        <f t="shared" si="4"/>
        <v>0</v>
      </c>
    </row>
    <row r="103" spans="1:11" hidden="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9">
        <f t="shared" si="4"/>
        <v>0</v>
      </c>
    </row>
    <row r="104" spans="1:11" hidden="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9">
        <f t="shared" si="4"/>
        <v>0</v>
      </c>
    </row>
    <row r="105" spans="1:11" hidden="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9">
        <f t="shared" si="4"/>
        <v>0</v>
      </c>
    </row>
    <row r="106" spans="1:11" hidden="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9">
        <f t="shared" si="4"/>
        <v>0</v>
      </c>
    </row>
    <row r="107" spans="1:11" hidden="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9">
        <f t="shared" si="4"/>
        <v>0</v>
      </c>
    </row>
    <row r="108" spans="1:11" hidden="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718.30000000000007</v>
      </c>
      <c r="J108" s="7"/>
      <c r="K108" s="9">
        <f t="shared" si="4"/>
        <v>0</v>
      </c>
    </row>
    <row r="109" spans="1:11" hidden="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9">
        <f t="shared" si="4"/>
        <v>0</v>
      </c>
    </row>
    <row r="110" spans="1:11" hidden="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566.20000000000005</v>
      </c>
      <c r="J110" s="7"/>
      <c r="K110" s="9">
        <f t="shared" si="4"/>
        <v>0</v>
      </c>
    </row>
    <row r="111" spans="1:11" hidden="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9">
        <f t="shared" si="4"/>
        <v>0</v>
      </c>
    </row>
    <row r="112" spans="1:11" hidden="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9">
        <f t="shared" si="4"/>
        <v>0</v>
      </c>
    </row>
    <row r="113" spans="1:11" hidden="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9">
        <f t="shared" si="4"/>
        <v>0</v>
      </c>
    </row>
    <row r="114" spans="1:11" hidden="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9">
        <f t="shared" si="4"/>
        <v>0</v>
      </c>
    </row>
    <row r="115" spans="1:11" hidden="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9">
        <f t="shared" si="4"/>
        <v>0</v>
      </c>
    </row>
    <row r="116" spans="1:11" hidden="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9.9600000000000009</v>
      </c>
      <c r="G116" s="7" t="s">
        <v>619</v>
      </c>
      <c r="H116" s="7">
        <v>95</v>
      </c>
      <c r="I116" s="7">
        <f t="shared" si="7"/>
        <v>946.2</v>
      </c>
      <c r="J116" s="7"/>
      <c r="K116" s="9">
        <f t="shared" si="4"/>
        <v>0</v>
      </c>
    </row>
    <row r="117" spans="1:11" hidden="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1591.9358999999999</v>
      </c>
      <c r="J117" s="7"/>
      <c r="K117" s="9">
        <f t="shared" si="4"/>
        <v>0</v>
      </c>
    </row>
    <row r="118" spans="1:11" hidden="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9">
        <f t="shared" si="4"/>
        <v>0</v>
      </c>
    </row>
    <row r="119" spans="1:11" hidden="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545.30000000000007</v>
      </c>
      <c r="J119" s="7"/>
      <c r="K119" s="9">
        <f t="shared" si="4"/>
        <v>0</v>
      </c>
    </row>
    <row r="120" spans="1:11" hidden="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2.4900000000000002</v>
      </c>
      <c r="G120" s="7" t="s">
        <v>619</v>
      </c>
      <c r="H120" s="7">
        <v>95</v>
      </c>
      <c r="I120" s="7">
        <f t="shared" si="7"/>
        <v>236.55</v>
      </c>
      <c r="J120" s="7"/>
      <c r="K120" s="9">
        <f t="shared" si="4"/>
        <v>0</v>
      </c>
    </row>
    <row r="121" spans="1:11" hidden="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9">
        <f t="shared" si="4"/>
        <v>0</v>
      </c>
    </row>
    <row r="122" spans="1:11" hidden="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9">
        <f t="shared" si="4"/>
        <v>0</v>
      </c>
    </row>
    <row r="123" spans="1:11" hidden="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9">
        <f t="shared" si="4"/>
        <v>0</v>
      </c>
    </row>
    <row r="124" spans="1:11" hidden="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9">
        <f t="shared" si="4"/>
        <v>0</v>
      </c>
    </row>
    <row r="125" spans="1:11" hidden="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2150.8000000000002</v>
      </c>
      <c r="J125" s="7"/>
      <c r="K125" s="9">
        <f t="shared" si="4"/>
        <v>0</v>
      </c>
    </row>
    <row r="126" spans="1:11" hidden="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9">
        <f t="shared" si="4"/>
        <v>0</v>
      </c>
    </row>
    <row r="127" spans="1:11" hidden="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9">
        <f t="shared" si="4"/>
        <v>0</v>
      </c>
    </row>
    <row r="128" spans="1:11" hidden="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9">
        <f t="shared" si="4"/>
        <v>0</v>
      </c>
    </row>
    <row r="129" spans="1:11" hidden="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9">
        <f t="shared" si="4"/>
        <v>0</v>
      </c>
    </row>
    <row r="130" spans="1:11" hidden="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9">
        <f t="shared" si="4"/>
        <v>0</v>
      </c>
    </row>
    <row r="131" spans="1:11" hidden="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9">
        <f t="shared" si="4"/>
        <v>0</v>
      </c>
    </row>
    <row r="132" spans="1:11" hidden="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8.2200000000000006</v>
      </c>
      <c r="G132" s="7" t="s">
        <v>619</v>
      </c>
      <c r="H132" s="7">
        <v>95</v>
      </c>
      <c r="I132" s="7">
        <f t="shared" si="7"/>
        <v>780.90000000000009</v>
      </c>
      <c r="J132" s="7"/>
      <c r="K132" s="9">
        <f t="shared" si="4"/>
        <v>0</v>
      </c>
    </row>
    <row r="133" spans="1:11" hidden="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9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9">
        <f t="shared" si="8"/>
        <v>11.78</v>
      </c>
    </row>
    <row r="135" spans="1:11" hidden="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9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9">
        <f t="shared" si="8"/>
        <v>7.5485099999999999E-2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9">
        <f t="shared" si="8"/>
        <v>7.6715099999999994E-2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160.08000000000001</v>
      </c>
      <c r="G138" s="7" t="s">
        <v>27</v>
      </c>
      <c r="H138" s="7">
        <f t="shared" si="10"/>
        <v>160.08000000000001</v>
      </c>
      <c r="I138" s="7">
        <f t="shared" si="11"/>
        <v>160.08000000000001</v>
      </c>
      <c r="J138" s="7">
        <v>44682</v>
      </c>
      <c r="K138" s="9">
        <f t="shared" si="8"/>
        <v>71.526945600000005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146.66999999999999</v>
      </c>
      <c r="G139" s="7" t="s">
        <v>27</v>
      </c>
      <c r="H139" s="7">
        <f t="shared" si="10"/>
        <v>146.66999999999999</v>
      </c>
      <c r="I139" s="7">
        <f t="shared" si="11"/>
        <v>146.66999999999999</v>
      </c>
      <c r="J139" s="7">
        <v>6515</v>
      </c>
      <c r="K139" s="9">
        <f t="shared" si="8"/>
        <v>9.5555504999999989</v>
      </c>
    </row>
    <row r="140" spans="1:11" hidden="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9">
        <f t="shared" si="8"/>
        <v>0</v>
      </c>
    </row>
    <row r="141" spans="1:11" hidden="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9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146.66999999999999</v>
      </c>
      <c r="G142" s="7" t="s">
        <v>27</v>
      </c>
      <c r="H142" s="7">
        <f t="shared" si="10"/>
        <v>146.66999999999999</v>
      </c>
      <c r="I142" s="7">
        <f t="shared" si="11"/>
        <v>146.66999999999999</v>
      </c>
      <c r="J142" s="7">
        <v>26583</v>
      </c>
      <c r="K142" s="9">
        <f t="shared" si="8"/>
        <v>38.989286100000001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9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9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9">
        <f t="shared" si="8"/>
        <v>7.4703222000000009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9">
        <f t="shared" si="8"/>
        <v>7.4131572000000006</v>
      </c>
    </row>
    <row r="147" spans="1:11" hidden="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9">
        <f t="shared" si="8"/>
        <v>0</v>
      </c>
    </row>
    <row r="148" spans="1:11" hidden="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9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9">
        <f t="shared" si="8"/>
        <v>19.209759999999999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9">
        <f t="shared" si="8"/>
        <v>19.1794288</v>
      </c>
    </row>
    <row r="151" spans="1:11" hidden="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9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9">
        <f t="shared" si="8"/>
        <v>6.0719399999999997</v>
      </c>
    </row>
    <row r="153" spans="1:11" hidden="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9">
        <f t="shared" si="8"/>
        <v>0</v>
      </c>
    </row>
    <row r="154" spans="1:11" hidden="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9">
        <f t="shared" si="8"/>
        <v>0</v>
      </c>
    </row>
    <row r="155" spans="1:11" hidden="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9">
        <f t="shared" si="8"/>
        <v>0</v>
      </c>
    </row>
    <row r="156" spans="1:11" hidden="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9">
        <f t="shared" si="8"/>
        <v>0</v>
      </c>
    </row>
    <row r="157" spans="1:11" hidden="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9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66.959999999999994</v>
      </c>
      <c r="G158" s="7" t="s">
        <v>27</v>
      </c>
      <c r="H158" s="7">
        <f t="shared" si="10"/>
        <v>66.959999999999994</v>
      </c>
      <c r="I158" s="7">
        <f t="shared" si="11"/>
        <v>66.959999999999994</v>
      </c>
      <c r="J158" s="7">
        <v>1156</v>
      </c>
      <c r="K158" s="9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9">
        <f t="shared" si="8"/>
        <v>0.76804640000000002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9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9">
        <f t="shared" si="8"/>
        <v>0.2446875</v>
      </c>
    </row>
    <row r="162" spans="1:11" hidden="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9">
        <f t="shared" si="8"/>
        <v>0</v>
      </c>
    </row>
    <row r="163" spans="1:11" hidden="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9">
        <f t="shared" si="8"/>
        <v>0</v>
      </c>
    </row>
    <row r="164" spans="1:11" hidden="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9">
        <f t="shared" si="8"/>
        <v>0</v>
      </c>
    </row>
    <row r="165" spans="1:11" hidden="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9">
        <f t="shared" si="8"/>
        <v>0</v>
      </c>
    </row>
    <row r="166" spans="1:11" hidden="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9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9">
        <f t="shared" si="8"/>
        <v>16.88466</v>
      </c>
    </row>
    <row r="168" spans="1:11" hidden="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9">
        <f t="shared" si="8"/>
        <v>0</v>
      </c>
    </row>
    <row r="169" spans="1:11" hidden="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9">
        <f t="shared" si="8"/>
        <v>0</v>
      </c>
    </row>
    <row r="170" spans="1:11" hidden="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9">
        <f t="shared" si="8"/>
        <v>0</v>
      </c>
    </row>
    <row r="171" spans="1:11" hidden="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9">
        <f t="shared" si="8"/>
        <v>0</v>
      </c>
    </row>
    <row r="172" spans="1:11" hidden="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9">
        <f t="shared" si="8"/>
        <v>0</v>
      </c>
    </row>
    <row r="173" spans="1:11" hidden="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9">
        <f t="shared" si="8"/>
        <v>0</v>
      </c>
    </row>
    <row r="174" spans="1:11" hidden="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9">
        <f t="shared" si="8"/>
        <v>0</v>
      </c>
    </row>
    <row r="175" spans="1:11" hidden="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9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9">
        <f t="shared" si="8"/>
        <v>1.65</v>
      </c>
    </row>
    <row r="177" spans="1:11" hidden="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9">
        <f t="shared" si="8"/>
        <v>0</v>
      </c>
    </row>
    <row r="178" spans="1:11" hidden="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9">
        <f t="shared" si="8"/>
        <v>0</v>
      </c>
    </row>
    <row r="179" spans="1:11" hidden="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9">
        <f t="shared" si="8"/>
        <v>0</v>
      </c>
    </row>
    <row r="180" spans="1:11" hidden="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646.70000000000005</v>
      </c>
      <c r="G180" s="7" t="s">
        <v>27</v>
      </c>
      <c r="H180" s="7">
        <f t="shared" ref="H180:H187" si="14">F180</f>
        <v>646.70000000000005</v>
      </c>
      <c r="I180" s="7">
        <f t="shared" ref="I180:I187" si="15">H180</f>
        <v>646.70000000000005</v>
      </c>
      <c r="J180" s="7"/>
      <c r="K180" s="9">
        <f t="shared" si="8"/>
        <v>0</v>
      </c>
    </row>
    <row r="181" spans="1:11" hidden="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9">
        <f t="shared" si="8"/>
        <v>0</v>
      </c>
    </row>
    <row r="182" spans="1:11" hidden="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9">
        <f t="shared" si="8"/>
        <v>0</v>
      </c>
    </row>
    <row r="183" spans="1:11" hidden="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646.70000000000005</v>
      </c>
      <c r="G183" s="7" t="s">
        <v>27</v>
      </c>
      <c r="H183" s="7">
        <f t="shared" si="14"/>
        <v>646.70000000000005</v>
      </c>
      <c r="I183" s="7">
        <f t="shared" si="15"/>
        <v>646.70000000000005</v>
      </c>
      <c r="J183" s="7"/>
      <c r="K183" s="9">
        <f t="shared" si="8"/>
        <v>0</v>
      </c>
    </row>
    <row r="184" spans="1:11" hidden="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9">
        <f t="shared" si="8"/>
        <v>0</v>
      </c>
    </row>
    <row r="185" spans="1:11" hidden="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9">
        <f t="shared" si="8"/>
        <v>0</v>
      </c>
    </row>
    <row r="186" spans="1:11" hidden="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9">
        <f t="shared" si="8"/>
        <v>0</v>
      </c>
    </row>
    <row r="187" spans="1:11" hidden="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9">
        <f t="shared" si="8"/>
        <v>0</v>
      </c>
    </row>
    <row r="188" spans="1:11" hidden="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9">
        <f t="shared" si="8"/>
        <v>0</v>
      </c>
    </row>
    <row r="189" spans="1:11" hidden="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8.6300000000000008</v>
      </c>
      <c r="G189" s="7" t="s">
        <v>160</v>
      </c>
      <c r="H189" s="7">
        <v>110</v>
      </c>
      <c r="I189" s="7">
        <f t="shared" si="9"/>
        <v>949.30000000000007</v>
      </c>
      <c r="J189" s="7"/>
      <c r="K189" s="9">
        <f t="shared" si="8"/>
        <v>0</v>
      </c>
    </row>
    <row r="190" spans="1:11" hidden="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9">
        <f t="shared" si="8"/>
        <v>0</v>
      </c>
    </row>
    <row r="191" spans="1:11" hidden="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9">
        <f t="shared" si="8"/>
        <v>0</v>
      </c>
    </row>
    <row r="192" spans="1:11" hidden="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9">
        <f t="shared" si="8"/>
        <v>0</v>
      </c>
    </row>
    <row r="193" spans="1:11" hidden="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9">
        <f t="shared" si="8"/>
        <v>0</v>
      </c>
    </row>
    <row r="194" spans="1:11" hidden="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9">
        <f t="shared" si="8"/>
        <v>0</v>
      </c>
    </row>
    <row r="195" spans="1:11" hidden="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9">
        <f t="shared" si="8"/>
        <v>0</v>
      </c>
    </row>
    <row r="196" spans="1:11" hidden="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9">
        <f t="shared" si="8"/>
        <v>0</v>
      </c>
    </row>
    <row r="197" spans="1:11" hidden="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9">
        <f t="shared" ref="K197:K260" si="18">J197*I197/100000</f>
        <v>0</v>
      </c>
    </row>
    <row r="198" spans="1:11" hidden="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9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9">
        <f t="shared" si="18"/>
        <v>4.7831000000000001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9">
        <f t="shared" si="18"/>
        <v>25.766999999999999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9">
        <f t="shared" si="18"/>
        <v>3.2673000000000001</v>
      </c>
    </row>
    <row r="202" spans="1:11" hidden="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9">
        <f t="shared" si="18"/>
        <v>0</v>
      </c>
    </row>
    <row r="203" spans="1:11" hidden="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9">
        <f t="shared" si="18"/>
        <v>0</v>
      </c>
    </row>
    <row r="204" spans="1:11" hidden="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9">
        <f t="shared" si="18"/>
        <v>0</v>
      </c>
    </row>
    <row r="205" spans="1:11" hidden="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9">
        <f t="shared" si="18"/>
        <v>0</v>
      </c>
    </row>
    <row r="206" spans="1:11" hidden="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9">
        <f t="shared" si="18"/>
        <v>0</v>
      </c>
    </row>
    <row r="207" spans="1:11" hidden="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9">
        <f t="shared" si="18"/>
        <v>0</v>
      </c>
    </row>
    <row r="208" spans="1:11" hidden="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9">
        <f t="shared" si="18"/>
        <v>0</v>
      </c>
    </row>
    <row r="209" spans="1:11" hidden="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9">
        <f t="shared" si="18"/>
        <v>0</v>
      </c>
    </row>
    <row r="210" spans="1:11" hidden="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9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9">
        <f t="shared" si="18"/>
        <v>0.21782000000000001</v>
      </c>
    </row>
    <row r="212" spans="1:11" hidden="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9">
        <f t="shared" si="18"/>
        <v>0</v>
      </c>
    </row>
    <row r="213" spans="1:11" hidden="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9">
        <f t="shared" si="18"/>
        <v>0</v>
      </c>
    </row>
    <row r="214" spans="1:11" hidden="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9">
        <f t="shared" si="18"/>
        <v>0</v>
      </c>
    </row>
    <row r="215" spans="1:11" hidden="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9">
        <f t="shared" si="18"/>
        <v>0</v>
      </c>
    </row>
    <row r="216" spans="1:11" hidden="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9">
        <f t="shared" si="18"/>
        <v>0</v>
      </c>
    </row>
    <row r="217" spans="1:11" hidden="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9">
        <f t="shared" si="18"/>
        <v>0</v>
      </c>
    </row>
    <row r="218" spans="1:11" hidden="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9">
        <f t="shared" si="18"/>
        <v>0</v>
      </c>
    </row>
    <row r="219" spans="1:11" hidden="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9">
        <f t="shared" si="18"/>
        <v>0</v>
      </c>
    </row>
    <row r="220" spans="1:11" hidden="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9">
        <f t="shared" si="18"/>
        <v>0</v>
      </c>
    </row>
    <row r="221" spans="1:11" hidden="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9">
        <f t="shared" si="18"/>
        <v>0</v>
      </c>
    </row>
    <row r="222" spans="1:11" hidden="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9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9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9">
        <f t="shared" si="18"/>
        <v>3.2</v>
      </c>
    </row>
    <row r="225" spans="1:11" hidden="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9">
        <f t="shared" si="18"/>
        <v>0</v>
      </c>
    </row>
    <row r="226" spans="1:11" hidden="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9">
        <f t="shared" si="18"/>
        <v>0</v>
      </c>
    </row>
    <row r="227" spans="1:11" hidden="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9">
        <f t="shared" si="18"/>
        <v>0</v>
      </c>
    </row>
    <row r="228" spans="1:11" hidden="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9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9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9">
        <f t="shared" si="18"/>
        <v>57.015999999999998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9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9">
        <f t="shared" si="18"/>
        <v>27.288</v>
      </c>
    </row>
    <row r="233" spans="1:11" hidden="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9">
        <f t="shared" si="18"/>
        <v>0</v>
      </c>
    </row>
    <row r="234" spans="1:11" hidden="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9">
        <f t="shared" si="18"/>
        <v>0</v>
      </c>
    </row>
    <row r="235" spans="1:11" hidden="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9">
        <f t="shared" si="18"/>
        <v>0</v>
      </c>
    </row>
    <row r="236" spans="1:11" hidden="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9">
        <f t="shared" si="18"/>
        <v>0</v>
      </c>
    </row>
    <row r="237" spans="1:11" hidden="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9">
        <f t="shared" si="18"/>
        <v>0</v>
      </c>
    </row>
    <row r="238" spans="1:11" hidden="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4.0599999999999996</v>
      </c>
      <c r="G238" s="7" t="s">
        <v>27</v>
      </c>
      <c r="H238" s="7">
        <f t="shared" si="20"/>
        <v>4.0599999999999996</v>
      </c>
      <c r="I238" s="7">
        <f t="shared" si="21"/>
        <v>4.0599999999999996</v>
      </c>
      <c r="J238" s="7"/>
      <c r="K238" s="9">
        <f t="shared" si="18"/>
        <v>0</v>
      </c>
    </row>
    <row r="239" spans="1:11" hidden="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2.0099999999999998</v>
      </c>
      <c r="G239" s="7" t="s">
        <v>27</v>
      </c>
      <c r="H239" s="7">
        <f t="shared" si="20"/>
        <v>2.0099999999999998</v>
      </c>
      <c r="I239" s="7">
        <f t="shared" si="21"/>
        <v>2.0099999999999998</v>
      </c>
      <c r="J239" s="7"/>
      <c r="K239" s="9">
        <f t="shared" si="18"/>
        <v>0</v>
      </c>
    </row>
    <row r="240" spans="1:11" hidden="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9">
        <f t="shared" si="18"/>
        <v>0</v>
      </c>
    </row>
    <row r="241" spans="1:11" hidden="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9">
        <f t="shared" si="18"/>
        <v>0</v>
      </c>
    </row>
    <row r="242" spans="1:11" hidden="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9">
        <f t="shared" si="18"/>
        <v>0</v>
      </c>
    </row>
    <row r="243" spans="1:11" hidden="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9">
        <f t="shared" si="18"/>
        <v>0</v>
      </c>
    </row>
    <row r="244" spans="1:11" hidden="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5.0599999999999996</v>
      </c>
      <c r="G244" s="7" t="s">
        <v>27</v>
      </c>
      <c r="H244" s="7">
        <f t="shared" si="20"/>
        <v>5.0599999999999996</v>
      </c>
      <c r="I244" s="7">
        <f t="shared" si="21"/>
        <v>5.0599999999999996</v>
      </c>
      <c r="J244" s="7"/>
      <c r="K244" s="9">
        <f t="shared" si="18"/>
        <v>0</v>
      </c>
    </row>
    <row r="245" spans="1:11" hidden="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2.5099999999999998</v>
      </c>
      <c r="G245" s="7" t="s">
        <v>27</v>
      </c>
      <c r="H245" s="7">
        <f t="shared" si="20"/>
        <v>2.5099999999999998</v>
      </c>
      <c r="I245" s="7">
        <f t="shared" si="21"/>
        <v>2.5099999999999998</v>
      </c>
      <c r="J245" s="7"/>
      <c r="K245" s="9">
        <f t="shared" si="18"/>
        <v>0</v>
      </c>
    </row>
    <row r="246" spans="1:11" hidden="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9">
        <f t="shared" si="18"/>
        <v>0</v>
      </c>
    </row>
    <row r="247" spans="1:11" hidden="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9">
        <f t="shared" si="18"/>
        <v>0</v>
      </c>
    </row>
    <row r="248" spans="1:11" hidden="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9">
        <f t="shared" si="18"/>
        <v>0</v>
      </c>
    </row>
    <row r="249" spans="1:11" hidden="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9">
        <f t="shared" si="18"/>
        <v>0</v>
      </c>
    </row>
    <row r="250" spans="1:11" hidden="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9">
        <f t="shared" si="18"/>
        <v>0</v>
      </c>
    </row>
    <row r="251" spans="1:11" hidden="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9">
        <f t="shared" si="18"/>
        <v>0</v>
      </c>
    </row>
    <row r="252" spans="1:11" hidden="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9">
        <f t="shared" si="18"/>
        <v>0</v>
      </c>
    </row>
    <row r="253" spans="1:11" hidden="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9">
        <f t="shared" si="18"/>
        <v>0</v>
      </c>
    </row>
    <row r="254" spans="1:11" hidden="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9">
        <f t="shared" si="18"/>
        <v>0</v>
      </c>
    </row>
    <row r="255" spans="1:11" hidden="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9">
        <f t="shared" si="18"/>
        <v>0</v>
      </c>
    </row>
    <row r="256" spans="1:11" hidden="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9">
        <f t="shared" si="18"/>
        <v>0</v>
      </c>
    </row>
    <row r="257" spans="1:11" hidden="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9">
        <f t="shared" si="18"/>
        <v>0</v>
      </c>
    </row>
    <row r="258" spans="1:11" hidden="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9">
        <f t="shared" si="18"/>
        <v>0</v>
      </c>
    </row>
    <row r="259" spans="1:11" hidden="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9">
        <f t="shared" si="18"/>
        <v>0</v>
      </c>
    </row>
    <row r="260" spans="1:11" hidden="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9">
        <f t="shared" si="18"/>
        <v>0</v>
      </c>
    </row>
    <row r="261" spans="1:11" hidden="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9">
        <f t="shared" ref="K261:K324" si="24">J261*I261/100000</f>
        <v>0</v>
      </c>
    </row>
    <row r="262" spans="1:11" hidden="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9">
        <f t="shared" si="24"/>
        <v>0</v>
      </c>
    </row>
    <row r="263" spans="1:11" hidden="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9">
        <f t="shared" si="24"/>
        <v>0</v>
      </c>
    </row>
    <row r="264" spans="1:11" hidden="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9">
        <f t="shared" si="24"/>
        <v>0</v>
      </c>
    </row>
    <row r="265" spans="1:11" hidden="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9">
        <f t="shared" si="24"/>
        <v>0</v>
      </c>
    </row>
    <row r="266" spans="1:11" hidden="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9">
        <f t="shared" si="24"/>
        <v>0</v>
      </c>
    </row>
    <row r="267" spans="1:11" hidden="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9">
        <f t="shared" si="24"/>
        <v>0</v>
      </c>
    </row>
    <row r="268" spans="1:11" hidden="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9">
        <f t="shared" si="24"/>
        <v>0</v>
      </c>
    </row>
    <row r="269" spans="1:11" hidden="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9">
        <f t="shared" si="24"/>
        <v>0</v>
      </c>
    </row>
    <row r="270" spans="1:11" hidden="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9">
        <f t="shared" si="24"/>
        <v>0</v>
      </c>
    </row>
    <row r="271" spans="1:11" hidden="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9">
        <f t="shared" si="24"/>
        <v>0</v>
      </c>
    </row>
    <row r="272" spans="1:11" hidden="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9">
        <f t="shared" si="24"/>
        <v>0</v>
      </c>
    </row>
    <row r="273" spans="1:11" hidden="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9">
        <f t="shared" si="24"/>
        <v>0</v>
      </c>
    </row>
    <row r="274" spans="1:11" hidden="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9">
        <f t="shared" si="24"/>
        <v>0</v>
      </c>
    </row>
    <row r="275" spans="1:11" hidden="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9">
        <f t="shared" si="24"/>
        <v>0</v>
      </c>
    </row>
    <row r="276" spans="1:11" hidden="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9">
        <f t="shared" si="24"/>
        <v>0</v>
      </c>
    </row>
    <row r="277" spans="1:11" hidden="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9">
        <f t="shared" si="24"/>
        <v>0</v>
      </c>
    </row>
    <row r="278" spans="1:11" hidden="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9">
        <f t="shared" si="24"/>
        <v>0</v>
      </c>
    </row>
    <row r="279" spans="1:11" hidden="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9">
        <f t="shared" si="24"/>
        <v>0</v>
      </c>
    </row>
    <row r="280" spans="1:11" hidden="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9">
        <f t="shared" si="24"/>
        <v>0</v>
      </c>
    </row>
    <row r="281" spans="1:11" hidden="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40.659999999999997</v>
      </c>
      <c r="G281" s="7" t="s">
        <v>27</v>
      </c>
      <c r="H281" s="7">
        <f t="shared" si="26"/>
        <v>40.659999999999997</v>
      </c>
      <c r="I281" s="7">
        <f t="shared" si="27"/>
        <v>40.659999999999997</v>
      </c>
      <c r="J281" s="7"/>
      <c r="K281" s="9">
        <f t="shared" si="24"/>
        <v>0</v>
      </c>
    </row>
    <row r="282" spans="1:11" hidden="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9">
        <f t="shared" si="24"/>
        <v>0</v>
      </c>
    </row>
    <row r="283" spans="1:11" hidden="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9">
        <f t="shared" si="24"/>
        <v>0</v>
      </c>
    </row>
    <row r="284" spans="1:11" hidden="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9">
        <f t="shared" si="24"/>
        <v>0</v>
      </c>
    </row>
    <row r="285" spans="1:11" hidden="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9">
        <f t="shared" si="24"/>
        <v>0</v>
      </c>
    </row>
    <row r="286" spans="1:11" hidden="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9">
        <f t="shared" si="24"/>
        <v>0</v>
      </c>
    </row>
    <row r="287" spans="1:11" hidden="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9">
        <f t="shared" si="24"/>
        <v>0</v>
      </c>
    </row>
    <row r="288" spans="1:11" hidden="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9">
        <f t="shared" si="24"/>
        <v>0</v>
      </c>
    </row>
    <row r="289" spans="1:11" hidden="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9">
        <f t="shared" si="24"/>
        <v>0</v>
      </c>
    </row>
    <row r="290" spans="1:11" hidden="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9">
        <f t="shared" si="24"/>
        <v>0</v>
      </c>
    </row>
    <row r="291" spans="1:11" hidden="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9">
        <f t="shared" si="24"/>
        <v>0</v>
      </c>
    </row>
    <row r="292" spans="1:11" hidden="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9">
        <f t="shared" si="24"/>
        <v>0</v>
      </c>
    </row>
    <row r="293" spans="1:11" hidden="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9">
        <f t="shared" si="24"/>
        <v>0</v>
      </c>
    </row>
    <row r="294" spans="1:11" hidden="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9">
        <f t="shared" si="24"/>
        <v>0</v>
      </c>
    </row>
    <row r="295" spans="1:11" hidden="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1288.1600000000001</v>
      </c>
      <c r="G295" s="7" t="s">
        <v>27</v>
      </c>
      <c r="H295" s="7">
        <f t="shared" si="26"/>
        <v>1288.1600000000001</v>
      </c>
      <c r="I295" s="7">
        <f t="shared" si="27"/>
        <v>1288.1600000000001</v>
      </c>
      <c r="J295" s="7"/>
      <c r="K295" s="9">
        <f t="shared" si="24"/>
        <v>0</v>
      </c>
    </row>
    <row r="296" spans="1:11" hidden="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9">
        <f t="shared" si="24"/>
        <v>0</v>
      </c>
    </row>
    <row r="297" spans="1:11" hidden="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9">
        <f t="shared" si="24"/>
        <v>0</v>
      </c>
    </row>
    <row r="298" spans="1:11" hidden="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9">
        <f t="shared" si="24"/>
        <v>0</v>
      </c>
    </row>
    <row r="299" spans="1:11" hidden="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9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9">
        <f t="shared" si="24"/>
        <v>26.125</v>
      </c>
    </row>
    <row r="301" spans="1:11" hidden="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9">
        <f t="shared" si="24"/>
        <v>0</v>
      </c>
    </row>
    <row r="302" spans="1:11" hidden="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9">
        <f t="shared" si="24"/>
        <v>0</v>
      </c>
    </row>
    <row r="303" spans="1:11" hidden="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9">
        <f t="shared" si="24"/>
        <v>0</v>
      </c>
    </row>
    <row r="304" spans="1:11" hidden="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9">
        <f t="shared" si="24"/>
        <v>0</v>
      </c>
    </row>
    <row r="305" spans="1:11" hidden="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9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38.369999999999997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9">
        <f t="shared" si="24"/>
        <v>3.6451499999999992</v>
      </c>
    </row>
    <row r="307" spans="1:11" hidden="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9">
        <f t="shared" si="24"/>
        <v>0</v>
      </c>
    </row>
    <row r="308" spans="1:11" hidden="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9">
        <f t="shared" si="24"/>
        <v>0</v>
      </c>
    </row>
    <row r="309" spans="1:11" hidden="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9">
        <f t="shared" si="24"/>
        <v>0</v>
      </c>
    </row>
    <row r="310" spans="1:11" hidden="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9">
        <f t="shared" si="24"/>
        <v>0</v>
      </c>
    </row>
    <row r="311" spans="1:11" hidden="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9">
        <f t="shared" si="24"/>
        <v>0</v>
      </c>
    </row>
    <row r="312" spans="1:11" hidden="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9">
        <f t="shared" si="24"/>
        <v>0</v>
      </c>
    </row>
    <row r="313" spans="1:11" hidden="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9">
        <f t="shared" si="24"/>
        <v>0</v>
      </c>
    </row>
    <row r="314" spans="1:11" hidden="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9">
        <f t="shared" si="24"/>
        <v>0</v>
      </c>
    </row>
    <row r="315" spans="1:11" hidden="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9">
        <f t="shared" si="24"/>
        <v>0</v>
      </c>
    </row>
    <row r="316" spans="1:11" hidden="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9">
        <f t="shared" si="24"/>
        <v>0</v>
      </c>
    </row>
    <row r="317" spans="1:11" hidden="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7.0000000000000007E-2</v>
      </c>
      <c r="G317" s="7" t="s">
        <v>619</v>
      </c>
      <c r="H317" s="7">
        <v>95</v>
      </c>
      <c r="I317" s="7">
        <f t="shared" si="25"/>
        <v>6.65</v>
      </c>
      <c r="J317" s="7"/>
      <c r="K317" s="9">
        <f t="shared" si="24"/>
        <v>0</v>
      </c>
    </row>
    <row r="318" spans="1:11" hidden="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9">
        <f t="shared" si="24"/>
        <v>0</v>
      </c>
    </row>
    <row r="319" spans="1:11" hidden="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9">
        <f t="shared" si="24"/>
        <v>0</v>
      </c>
    </row>
    <row r="320" spans="1:11" hidden="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9">
        <f t="shared" si="24"/>
        <v>0</v>
      </c>
    </row>
    <row r="321" spans="1:11" hidden="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0.28000000000000003</v>
      </c>
      <c r="G321" s="7" t="s">
        <v>619</v>
      </c>
      <c r="H321" s="7">
        <v>95</v>
      </c>
      <c r="I321" s="7">
        <f t="shared" si="25"/>
        <v>26.6</v>
      </c>
      <c r="J321" s="7"/>
      <c r="K321" s="9">
        <f t="shared" si="24"/>
        <v>0</v>
      </c>
    </row>
    <row r="322" spans="1:11" hidden="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1.1000000000000001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9">
        <f t="shared" si="24"/>
        <v>0</v>
      </c>
    </row>
    <row r="323" spans="1:11" hidden="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69.349999999999994</v>
      </c>
      <c r="J323" s="7"/>
      <c r="K323" s="9">
        <f t="shared" si="24"/>
        <v>0</v>
      </c>
    </row>
    <row r="324" spans="1:11" hidden="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0.31459999999999999</v>
      </c>
      <c r="G324" s="7" t="s">
        <v>619</v>
      </c>
      <c r="H324" s="7">
        <v>95</v>
      </c>
      <c r="I324" s="7">
        <f t="shared" si="25"/>
        <v>29.887</v>
      </c>
      <c r="J324" s="7"/>
      <c r="K324" s="9">
        <f t="shared" si="24"/>
        <v>0</v>
      </c>
    </row>
    <row r="325" spans="1:11" hidden="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1.0900000000000001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9">
        <f t="shared" ref="K325:K388" si="28">J325*I325/100000</f>
        <v>0</v>
      </c>
    </row>
    <row r="326" spans="1:11" hidden="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9">
        <f t="shared" si="28"/>
        <v>0</v>
      </c>
    </row>
    <row r="327" spans="1:11" hidden="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9">
        <f t="shared" si="28"/>
        <v>0</v>
      </c>
    </row>
    <row r="328" spans="1:11" hidden="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9">
        <f t="shared" si="28"/>
        <v>0</v>
      </c>
    </row>
    <row r="329" spans="1:11" hidden="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9">
        <f t="shared" si="28"/>
        <v>0</v>
      </c>
    </row>
    <row r="330" spans="1:11" hidden="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9">
        <f t="shared" si="28"/>
        <v>0</v>
      </c>
    </row>
    <row r="331" spans="1:11" hidden="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9">
        <f t="shared" si="28"/>
        <v>0</v>
      </c>
    </row>
    <row r="332" spans="1:11" hidden="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9">
        <f t="shared" si="28"/>
        <v>0</v>
      </c>
    </row>
    <row r="333" spans="1:11" hidden="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9">
        <f t="shared" si="28"/>
        <v>0</v>
      </c>
    </row>
    <row r="334" spans="1:11" hidden="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9">
        <f t="shared" si="28"/>
        <v>0</v>
      </c>
    </row>
    <row r="335" spans="1:11" hidden="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9">
        <f t="shared" si="28"/>
        <v>0</v>
      </c>
    </row>
    <row r="336" spans="1:11" hidden="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68.399999999999991</v>
      </c>
      <c r="J336" s="7"/>
      <c r="K336" s="9">
        <f t="shared" si="28"/>
        <v>0</v>
      </c>
    </row>
    <row r="337" spans="1:11" hidden="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9">
        <f t="shared" si="28"/>
        <v>0</v>
      </c>
    </row>
    <row r="338" spans="1:11" hidden="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9">
        <f t="shared" si="28"/>
        <v>0</v>
      </c>
    </row>
    <row r="339" spans="1:11" hidden="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9">
        <f t="shared" si="28"/>
        <v>0</v>
      </c>
    </row>
    <row r="340" spans="1:11" hidden="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9">
        <f t="shared" si="28"/>
        <v>0</v>
      </c>
    </row>
    <row r="341" spans="1:11" hidden="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9">
        <f t="shared" si="28"/>
        <v>0</v>
      </c>
    </row>
    <row r="342" spans="1:11" hidden="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9">
        <f t="shared" si="28"/>
        <v>0</v>
      </c>
    </row>
    <row r="343" spans="1:11" hidden="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9">
        <f t="shared" si="28"/>
        <v>0</v>
      </c>
    </row>
    <row r="344" spans="1:11" hidden="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9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9">
        <f t="shared" si="28"/>
        <v>0.65010000000000012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9">
        <f t="shared" si="28"/>
        <v>2.7174</v>
      </c>
    </row>
    <row r="347" spans="1:11" hidden="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9">
        <f t="shared" si="28"/>
        <v>0</v>
      </c>
    </row>
    <row r="348" spans="1:11" hidden="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9">
        <f t="shared" si="28"/>
        <v>0</v>
      </c>
    </row>
    <row r="349" spans="1:11" hidden="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64.599999999999994</v>
      </c>
      <c r="G349" s="7" t="s">
        <v>27</v>
      </c>
      <c r="H349" s="7">
        <f t="shared" si="30"/>
        <v>64.599999999999994</v>
      </c>
      <c r="I349" s="7">
        <f t="shared" si="31"/>
        <v>64.599999999999994</v>
      </c>
      <c r="J349" s="7"/>
      <c r="K349" s="9">
        <f t="shared" si="28"/>
        <v>0</v>
      </c>
    </row>
    <row r="350" spans="1:11" hidden="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9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9">
        <f t="shared" si="28"/>
        <v>2.9770650000000001</v>
      </c>
    </row>
    <row r="352" spans="1:11" hidden="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9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9">
        <f t="shared" si="28"/>
        <v>0.12912000000000001</v>
      </c>
    </row>
    <row r="354" spans="1:11" hidden="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9">
        <f t="shared" si="28"/>
        <v>0</v>
      </c>
    </row>
    <row r="355" spans="1:11" hidden="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9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9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9">
        <f t="shared" si="28"/>
        <v>0.33610000000000001</v>
      </c>
    </row>
    <row r="358" spans="1:11" hidden="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9">
        <f t="shared" si="28"/>
        <v>0</v>
      </c>
    </row>
    <row r="359" spans="1:11" hidden="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68.849999999999994</v>
      </c>
      <c r="G359" s="7" t="s">
        <v>27</v>
      </c>
      <c r="H359" s="7">
        <f t="shared" si="30"/>
        <v>68.849999999999994</v>
      </c>
      <c r="I359" s="7">
        <f t="shared" si="31"/>
        <v>68.849999999999994</v>
      </c>
      <c r="J359" s="7"/>
      <c r="K359" s="9">
        <f t="shared" si="28"/>
        <v>0</v>
      </c>
    </row>
    <row r="360" spans="1:11" hidden="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9">
        <f t="shared" si="28"/>
        <v>0</v>
      </c>
    </row>
    <row r="361" spans="1:11" hidden="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9">
        <f t="shared" si="28"/>
        <v>0</v>
      </c>
    </row>
    <row r="362" spans="1:11" hidden="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9">
        <f t="shared" si="28"/>
        <v>0</v>
      </c>
    </row>
    <row r="363" spans="1:11" hidden="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9">
        <f t="shared" si="28"/>
        <v>0</v>
      </c>
    </row>
    <row r="364" spans="1:11" hidden="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9">
        <f t="shared" si="28"/>
        <v>0</v>
      </c>
    </row>
    <row r="365" spans="1:11" hidden="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9">
        <f t="shared" si="28"/>
        <v>0</v>
      </c>
    </row>
    <row r="366" spans="1:11" hidden="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9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9">
        <f t="shared" si="28"/>
        <v>3.6480000000000001</v>
      </c>
    </row>
    <row r="368" spans="1:11" hidden="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9">
        <f t="shared" si="28"/>
        <v>0</v>
      </c>
    </row>
    <row r="369" spans="1:11" hidden="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0.57999999999999996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9">
        <f t="shared" si="28"/>
        <v>0</v>
      </c>
    </row>
    <row r="370" spans="1:11" hidden="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9">
        <f t="shared" si="28"/>
        <v>0</v>
      </c>
    </row>
    <row r="371" spans="1:11" hidden="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9">
        <f t="shared" si="28"/>
        <v>0</v>
      </c>
    </row>
    <row r="372" spans="1:11" hidden="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9">
        <f t="shared" si="28"/>
        <v>0</v>
      </c>
    </row>
    <row r="373" spans="1:11" hidden="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9">
        <f t="shared" si="28"/>
        <v>0</v>
      </c>
    </row>
    <row r="374" spans="1:11" hidden="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69.349999999999994</v>
      </c>
      <c r="J374" s="7"/>
      <c r="K374" s="9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9">
        <f t="shared" si="28"/>
        <v>1.4820000000000002</v>
      </c>
    </row>
    <row r="376" spans="1:11" hidden="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9">
        <f t="shared" si="28"/>
        <v>0</v>
      </c>
    </row>
    <row r="377" spans="1:11" hidden="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9">
        <f t="shared" si="28"/>
        <v>0</v>
      </c>
    </row>
    <row r="378" spans="1:11" hidden="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9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267.89999999999998</v>
      </c>
      <c r="J379" s="7">
        <v>960</v>
      </c>
      <c r="K379" s="9">
        <f t="shared" si="28"/>
        <v>2.5718399999999999</v>
      </c>
    </row>
    <row r="380" spans="1:11" hidden="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9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9">
        <f t="shared" si="28"/>
        <v>4.5462060000000006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9">
        <f t="shared" si="28"/>
        <v>3.1463999999999999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9">
        <f t="shared" si="28"/>
        <v>3.00048</v>
      </c>
    </row>
    <row r="384" spans="1:11" hidden="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9">
        <f t="shared" si="28"/>
        <v>0</v>
      </c>
    </row>
    <row r="385" spans="1:11" hidden="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9">
        <f t="shared" si="28"/>
        <v>0</v>
      </c>
    </row>
    <row r="386" spans="1:11" hidden="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9">
        <f t="shared" si="28"/>
        <v>0</v>
      </c>
    </row>
    <row r="387" spans="1:11" hidden="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9">
        <f t="shared" si="28"/>
        <v>0</v>
      </c>
    </row>
    <row r="388" spans="1:11" hidden="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9">
        <f t="shared" si="28"/>
        <v>0</v>
      </c>
    </row>
    <row r="389" spans="1:11" hidden="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9">
        <f t="shared" ref="K389:K452" si="32">J389*I389/100000</f>
        <v>0</v>
      </c>
    </row>
    <row r="390" spans="1:11" hidden="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4.0599999999999996</v>
      </c>
      <c r="G390" s="7" t="s">
        <v>619</v>
      </c>
      <c r="H390" s="7">
        <v>95</v>
      </c>
      <c r="I390" s="7">
        <f t="shared" si="29"/>
        <v>385.7</v>
      </c>
      <c r="J390" s="7"/>
      <c r="K390" s="9">
        <f t="shared" si="32"/>
        <v>0</v>
      </c>
    </row>
    <row r="391" spans="1:11" hidden="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9">
        <f t="shared" si="32"/>
        <v>0</v>
      </c>
    </row>
    <row r="392" spans="1:11" hidden="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9">
        <f t="shared" si="32"/>
        <v>0</v>
      </c>
    </row>
    <row r="393" spans="1:11" hidden="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9">
        <f t="shared" si="32"/>
        <v>0</v>
      </c>
    </row>
    <row r="394" spans="1:11" hidden="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9">
        <f t="shared" si="32"/>
        <v>0</v>
      </c>
    </row>
    <row r="395" spans="1:11" hidden="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9">
        <f t="shared" si="32"/>
        <v>0</v>
      </c>
    </row>
    <row r="396" spans="1:11" hidden="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9">
        <f t="shared" si="32"/>
        <v>0</v>
      </c>
    </row>
    <row r="397" spans="1:11" hidden="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267.89999999999998</v>
      </c>
      <c r="J397" s="7"/>
      <c r="K397" s="9">
        <f t="shared" si="32"/>
        <v>0</v>
      </c>
    </row>
    <row r="398" spans="1:11" hidden="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9">
        <f t="shared" si="32"/>
        <v>0</v>
      </c>
    </row>
    <row r="399" spans="1:11" hidden="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9">
        <f t="shared" si="32"/>
        <v>0</v>
      </c>
    </row>
    <row r="400" spans="1:11" hidden="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9">
        <f t="shared" si="32"/>
        <v>0</v>
      </c>
    </row>
    <row r="401" spans="1:11" hidden="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9">
        <f t="shared" si="32"/>
        <v>0</v>
      </c>
    </row>
    <row r="402" spans="1:11" hidden="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604.20000000000005</v>
      </c>
      <c r="J402" s="7"/>
      <c r="K402" s="9">
        <f t="shared" si="32"/>
        <v>0</v>
      </c>
    </row>
    <row r="403" spans="1:11" hidden="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77.899999999999991</v>
      </c>
      <c r="J403" s="7"/>
      <c r="K403" s="9">
        <f t="shared" si="32"/>
        <v>0</v>
      </c>
    </row>
    <row r="404" spans="1:11" hidden="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9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9">
        <f t="shared" si="32"/>
        <v>43.89</v>
      </c>
    </row>
    <row r="406" spans="1:11" hidden="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9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9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9">
        <f t="shared" si="32"/>
        <v>0.17574999999999999</v>
      </c>
    </row>
    <row r="409" spans="1:11" hidden="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1.1399999999999999</v>
      </c>
      <c r="G409" s="7" t="s">
        <v>619</v>
      </c>
      <c r="H409" s="7">
        <v>95</v>
      </c>
      <c r="I409" s="7">
        <f t="shared" si="33"/>
        <v>108.3</v>
      </c>
      <c r="J409" s="7"/>
      <c r="K409" s="9">
        <f t="shared" si="32"/>
        <v>0</v>
      </c>
    </row>
    <row r="410" spans="1:11" hidden="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9">
        <f t="shared" si="32"/>
        <v>0</v>
      </c>
    </row>
    <row r="411" spans="1:11" hidden="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306.85000000000002</v>
      </c>
      <c r="J411" s="7"/>
      <c r="K411" s="9">
        <f t="shared" si="32"/>
        <v>0</v>
      </c>
    </row>
    <row r="412" spans="1:11" hidden="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74.100000000000009</v>
      </c>
      <c r="J412" s="7"/>
      <c r="K412" s="9">
        <f t="shared" si="32"/>
        <v>0</v>
      </c>
    </row>
    <row r="413" spans="1:11" hidden="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9">
        <f t="shared" si="32"/>
        <v>0</v>
      </c>
    </row>
    <row r="414" spans="1:11" hidden="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68.399999999999991</v>
      </c>
      <c r="J414" s="7"/>
      <c r="K414" s="9">
        <f t="shared" si="32"/>
        <v>0</v>
      </c>
    </row>
    <row r="415" spans="1:11" hidden="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69.349999999999994</v>
      </c>
      <c r="J415" s="7"/>
      <c r="K415" s="9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1.0900000000000001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9">
        <f t="shared" si="32"/>
        <v>2.0710000000000002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151.05000000000001</v>
      </c>
      <c r="J417" s="7">
        <v>5000</v>
      </c>
      <c r="K417" s="9">
        <f t="shared" si="32"/>
        <v>7.5525000000000002</v>
      </c>
    </row>
    <row r="418" spans="1:11" hidden="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570.94999999999993</v>
      </c>
      <c r="J418" s="7"/>
      <c r="K418" s="9">
        <f t="shared" si="32"/>
        <v>0</v>
      </c>
    </row>
    <row r="419" spans="1:11" hidden="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2.5499999999999998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9">
        <f t="shared" si="32"/>
        <v>0</v>
      </c>
    </row>
    <row r="420" spans="1:11" hidden="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9">
        <f t="shared" si="32"/>
        <v>0</v>
      </c>
    </row>
    <row r="421" spans="1:11" hidden="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9">
        <f t="shared" si="32"/>
        <v>0</v>
      </c>
    </row>
    <row r="422" spans="1:11" hidden="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9">
        <f t="shared" si="32"/>
        <v>0</v>
      </c>
    </row>
    <row r="423" spans="1:11" hidden="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9">
        <f t="shared" si="32"/>
        <v>0</v>
      </c>
    </row>
    <row r="424" spans="1:11" hidden="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9">
        <f t="shared" si="32"/>
        <v>0</v>
      </c>
    </row>
    <row r="425" spans="1:11" hidden="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9">
        <f t="shared" si="32"/>
        <v>0</v>
      </c>
    </row>
    <row r="426" spans="1:11" hidden="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9">
        <f t="shared" si="32"/>
        <v>0</v>
      </c>
    </row>
    <row r="427" spans="1:11" hidden="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9">
        <f t="shared" si="32"/>
        <v>0</v>
      </c>
    </row>
    <row r="428" spans="1:11" hidden="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3.0609000000000002</v>
      </c>
      <c r="G428" s="7" t="s">
        <v>619</v>
      </c>
      <c r="H428" s="7">
        <v>95</v>
      </c>
      <c r="I428" s="7">
        <f t="shared" si="33"/>
        <v>290.78550000000001</v>
      </c>
      <c r="J428" s="7"/>
      <c r="K428" s="9">
        <f t="shared" si="32"/>
        <v>0</v>
      </c>
    </row>
    <row r="429" spans="1:11" hidden="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9">
        <f t="shared" si="32"/>
        <v>0</v>
      </c>
    </row>
    <row r="430" spans="1:11" hidden="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9">
        <f t="shared" si="32"/>
        <v>0</v>
      </c>
    </row>
    <row r="431" spans="1:11" hidden="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9">
        <f t="shared" si="32"/>
        <v>0</v>
      </c>
    </row>
    <row r="432" spans="1:11" hidden="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78.849999999999994</v>
      </c>
      <c r="J432" s="7"/>
      <c r="K432" s="9">
        <f t="shared" si="32"/>
        <v>0</v>
      </c>
    </row>
    <row r="433" spans="1:11" hidden="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9">
        <f t="shared" si="32"/>
        <v>0</v>
      </c>
    </row>
    <row r="434" spans="1:11" hidden="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564.30000000000007</v>
      </c>
      <c r="J434" s="7"/>
      <c r="K434" s="9">
        <f t="shared" si="32"/>
        <v>0</v>
      </c>
    </row>
    <row r="435" spans="1:11" hidden="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9">
        <f t="shared" si="32"/>
        <v>0</v>
      </c>
    </row>
    <row r="436" spans="1:11" hidden="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2.7387999999999999</v>
      </c>
      <c r="G436" s="7" t="s">
        <v>619</v>
      </c>
      <c r="H436" s="7">
        <v>95</v>
      </c>
      <c r="I436" s="7">
        <f t="shared" si="33"/>
        <v>260.18599999999998</v>
      </c>
      <c r="J436" s="7"/>
      <c r="K436" s="9">
        <f t="shared" si="32"/>
        <v>0</v>
      </c>
    </row>
    <row r="437" spans="1:11" hidden="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9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9">
        <f t="shared" si="32"/>
        <v>1.6181760000000001</v>
      </c>
    </row>
    <row r="439" spans="1:11" hidden="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9">
        <f t="shared" si="32"/>
        <v>0</v>
      </c>
    </row>
    <row r="440" spans="1:11" hidden="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9">
        <f t="shared" si="32"/>
        <v>0</v>
      </c>
    </row>
    <row r="441" spans="1:11" hidden="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9">
        <f t="shared" si="32"/>
        <v>0</v>
      </c>
    </row>
    <row r="442" spans="1:11" hidden="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9">
        <f t="shared" si="32"/>
        <v>0</v>
      </c>
    </row>
    <row r="443" spans="1:11" hidden="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1.1299999999999999</v>
      </c>
      <c r="G443" s="7" t="s">
        <v>619</v>
      </c>
      <c r="H443" s="7">
        <v>95</v>
      </c>
      <c r="I443" s="7">
        <f t="shared" si="33"/>
        <v>107.35</v>
      </c>
      <c r="J443" s="7"/>
      <c r="K443" s="9">
        <f t="shared" si="32"/>
        <v>0</v>
      </c>
    </row>
    <row r="444" spans="1:11" hidden="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9">
        <f t="shared" si="32"/>
        <v>0</v>
      </c>
    </row>
    <row r="445" spans="1:11" hidden="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9">
        <f t="shared" si="32"/>
        <v>0</v>
      </c>
    </row>
    <row r="446" spans="1:11" hidden="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9">
        <f t="shared" si="32"/>
        <v>0</v>
      </c>
    </row>
    <row r="447" spans="1:11" hidden="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9">
        <f t="shared" si="32"/>
        <v>0</v>
      </c>
    </row>
    <row r="448" spans="1:11" hidden="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1.1399999999999999</v>
      </c>
      <c r="G448" s="7" t="s">
        <v>619</v>
      </c>
      <c r="H448" s="7">
        <v>95</v>
      </c>
      <c r="I448" s="7">
        <f t="shared" si="33"/>
        <v>108.3</v>
      </c>
      <c r="J448" s="7"/>
      <c r="K448" s="9">
        <f t="shared" si="32"/>
        <v>0</v>
      </c>
    </row>
    <row r="449" spans="1:11" hidden="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1.1299999999999999</v>
      </c>
      <c r="G449" s="7" t="s">
        <v>619</v>
      </c>
      <c r="H449" s="7">
        <v>95</v>
      </c>
      <c r="I449" s="7">
        <f t="shared" si="33"/>
        <v>107.35</v>
      </c>
      <c r="J449" s="7"/>
      <c r="K449" s="9">
        <f t="shared" si="32"/>
        <v>0</v>
      </c>
    </row>
    <row r="450" spans="1:11" hidden="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1.1499999999999999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9">
        <f t="shared" si="32"/>
        <v>0</v>
      </c>
    </row>
    <row r="451" spans="1:11" hidden="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9">
        <f t="shared" si="32"/>
        <v>0</v>
      </c>
    </row>
    <row r="452" spans="1:11" hidden="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9">
        <f t="shared" si="32"/>
        <v>0</v>
      </c>
    </row>
    <row r="453" spans="1:11" hidden="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9">
        <f t="shared" ref="K453:K516" si="38">J453*I453/100000</f>
        <v>0</v>
      </c>
    </row>
    <row r="454" spans="1:11" hidden="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9">
        <f t="shared" si="38"/>
        <v>0</v>
      </c>
    </row>
    <row r="455" spans="1:11" hidden="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9">
        <f t="shared" si="38"/>
        <v>0</v>
      </c>
    </row>
    <row r="456" spans="1:11" hidden="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9">
        <f t="shared" si="38"/>
        <v>0</v>
      </c>
    </row>
    <row r="457" spans="1:11" hidden="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9">
        <f t="shared" si="38"/>
        <v>0</v>
      </c>
    </row>
    <row r="458" spans="1:11" hidden="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9">
        <f t="shared" si="38"/>
        <v>0</v>
      </c>
    </row>
    <row r="459" spans="1:11" hidden="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9">
        <f t="shared" si="38"/>
        <v>0</v>
      </c>
    </row>
    <row r="460" spans="1:11" hidden="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73.150000000000006</v>
      </c>
      <c r="J460" s="7"/>
      <c r="K460" s="9">
        <f t="shared" si="38"/>
        <v>0</v>
      </c>
    </row>
    <row r="461" spans="1:11" hidden="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146.30000000000001</v>
      </c>
      <c r="J461" s="7"/>
      <c r="K461" s="9">
        <f t="shared" si="38"/>
        <v>0</v>
      </c>
    </row>
    <row r="462" spans="1:11" hidden="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9">
        <f t="shared" si="38"/>
        <v>0</v>
      </c>
    </row>
    <row r="463" spans="1:11" hidden="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9">
        <f t="shared" si="38"/>
        <v>0</v>
      </c>
    </row>
    <row r="464" spans="1:11" hidden="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162.44999999999999</v>
      </c>
      <c r="J464" s="7"/>
      <c r="K464" s="9">
        <f t="shared" si="38"/>
        <v>0</v>
      </c>
    </row>
    <row r="465" spans="1:11" hidden="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9">
        <f t="shared" si="38"/>
        <v>0</v>
      </c>
    </row>
    <row r="466" spans="1:11" hidden="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78.849999999999994</v>
      </c>
      <c r="J466" s="7"/>
      <c r="K466" s="9">
        <f t="shared" si="38"/>
        <v>0</v>
      </c>
    </row>
    <row r="467" spans="1:11" hidden="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9">
        <f t="shared" si="38"/>
        <v>0</v>
      </c>
    </row>
    <row r="468" spans="1:11" hidden="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9">
        <f t="shared" si="38"/>
        <v>0</v>
      </c>
    </row>
    <row r="469" spans="1:11" hidden="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9">
        <f t="shared" si="38"/>
        <v>0</v>
      </c>
    </row>
    <row r="470" spans="1:11" hidden="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1.1299999999999999</v>
      </c>
      <c r="G470" s="7" t="s">
        <v>619</v>
      </c>
      <c r="H470" s="7">
        <v>95</v>
      </c>
      <c r="I470" s="7">
        <f t="shared" si="33"/>
        <v>107.35</v>
      </c>
      <c r="J470" s="7"/>
      <c r="K470" s="9">
        <f t="shared" si="38"/>
        <v>0</v>
      </c>
    </row>
    <row r="471" spans="1:11" hidden="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9">
        <f t="shared" si="38"/>
        <v>0</v>
      </c>
    </row>
    <row r="472" spans="1:11" hidden="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7.0000000000000007E-2</v>
      </c>
      <c r="G472" s="7" t="s">
        <v>619</v>
      </c>
      <c r="H472" s="7">
        <v>95</v>
      </c>
      <c r="I472" s="7">
        <f t="shared" si="39"/>
        <v>6.65</v>
      </c>
      <c r="J472" s="7"/>
      <c r="K472" s="9">
        <f t="shared" si="38"/>
        <v>0</v>
      </c>
    </row>
    <row r="473" spans="1:11" hidden="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7.0000000000000007E-2</v>
      </c>
      <c r="G473" s="7" t="s">
        <v>619</v>
      </c>
      <c r="H473" s="7">
        <v>95</v>
      </c>
      <c r="I473" s="7">
        <f t="shared" si="39"/>
        <v>6.65</v>
      </c>
      <c r="J473" s="7"/>
      <c r="K473" s="9">
        <f t="shared" si="38"/>
        <v>0</v>
      </c>
    </row>
    <row r="474" spans="1:11" hidden="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7.0000000000000007E-2</v>
      </c>
      <c r="G474" s="7" t="s">
        <v>619</v>
      </c>
      <c r="H474" s="7">
        <v>95</v>
      </c>
      <c r="I474" s="7">
        <f t="shared" si="39"/>
        <v>6.65</v>
      </c>
      <c r="J474" s="7"/>
      <c r="K474" s="9">
        <f t="shared" si="38"/>
        <v>0</v>
      </c>
    </row>
    <row r="475" spans="1:11" hidden="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9">
        <f t="shared" si="38"/>
        <v>0</v>
      </c>
    </row>
    <row r="476" spans="1:11" hidden="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9">
        <f t="shared" si="38"/>
        <v>0</v>
      </c>
    </row>
    <row r="477" spans="1:11" hidden="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9">
        <f t="shared" si="38"/>
        <v>0</v>
      </c>
    </row>
    <row r="478" spans="1:11" hidden="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9">
        <f t="shared" si="38"/>
        <v>0</v>
      </c>
    </row>
    <row r="479" spans="1:11" hidden="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138.69999999999999</v>
      </c>
      <c r="J479" s="7"/>
      <c r="K479" s="9">
        <f t="shared" si="38"/>
        <v>0</v>
      </c>
    </row>
    <row r="480" spans="1:11" hidden="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9">
        <f t="shared" si="38"/>
        <v>0</v>
      </c>
    </row>
    <row r="481" spans="1:11" hidden="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9">
        <f t="shared" si="38"/>
        <v>0</v>
      </c>
    </row>
    <row r="482" spans="1:11" hidden="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9">
        <f t="shared" si="38"/>
        <v>0</v>
      </c>
    </row>
    <row r="483" spans="1:11" hidden="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9">
        <f t="shared" si="38"/>
        <v>0</v>
      </c>
    </row>
    <row r="484" spans="1:11" hidden="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9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69.790000000000006</v>
      </c>
      <c r="G485" s="7" t="s">
        <v>27</v>
      </c>
      <c r="H485" s="7">
        <f t="shared" si="40"/>
        <v>69.790000000000006</v>
      </c>
      <c r="I485" s="7">
        <f t="shared" si="41"/>
        <v>69.790000000000006</v>
      </c>
      <c r="J485" s="7">
        <v>50000</v>
      </c>
      <c r="K485" s="9">
        <f t="shared" si="38"/>
        <v>34.895000000000003</v>
      </c>
    </row>
    <row r="486" spans="1:11" hidden="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2.2400000000000002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9">
        <f t="shared" si="38"/>
        <v>0</v>
      </c>
    </row>
    <row r="487" spans="1:11" hidden="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9">
        <f t="shared" si="38"/>
        <v>0</v>
      </c>
    </row>
    <row r="488" spans="1:11" hidden="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2.2400000000000002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9">
        <f t="shared" si="38"/>
        <v>0</v>
      </c>
    </row>
    <row r="489" spans="1:11" hidden="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9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9">
        <f t="shared" si="38"/>
        <v>7.125</v>
      </c>
    </row>
    <row r="491" spans="1:11" hidden="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9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9">
        <f t="shared" si="38"/>
        <v>9.4078499999999998</v>
      </c>
    </row>
    <row r="493" spans="1:11" hidden="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39.159999999999997</v>
      </c>
      <c r="G493" s="7" t="s">
        <v>27</v>
      </c>
      <c r="H493" s="7">
        <f t="shared" ref="H493:H522" si="42">F493</f>
        <v>39.159999999999997</v>
      </c>
      <c r="I493" s="7">
        <f t="shared" ref="I493:I522" si="43">H493</f>
        <v>39.159999999999997</v>
      </c>
      <c r="J493" s="7"/>
      <c r="K493" s="9">
        <f t="shared" si="38"/>
        <v>0</v>
      </c>
    </row>
    <row r="494" spans="1:11" hidden="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40.840000000000003</v>
      </c>
      <c r="G494" s="7" t="s">
        <v>27</v>
      </c>
      <c r="H494" s="7">
        <f t="shared" si="42"/>
        <v>40.840000000000003</v>
      </c>
      <c r="I494" s="7">
        <f t="shared" si="43"/>
        <v>40.840000000000003</v>
      </c>
      <c r="J494" s="7"/>
      <c r="K494" s="9">
        <f t="shared" si="38"/>
        <v>0</v>
      </c>
    </row>
    <row r="495" spans="1:11" hidden="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9">
        <f t="shared" si="38"/>
        <v>0</v>
      </c>
    </row>
    <row r="496" spans="1:11" hidden="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9">
        <f t="shared" si="38"/>
        <v>0</v>
      </c>
    </row>
    <row r="497" spans="1:11" hidden="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9">
        <f t="shared" si="38"/>
        <v>0</v>
      </c>
    </row>
    <row r="498" spans="1:11" hidden="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9">
        <f t="shared" si="38"/>
        <v>0</v>
      </c>
    </row>
    <row r="499" spans="1:11" hidden="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9">
        <f t="shared" si="38"/>
        <v>0</v>
      </c>
    </row>
    <row r="500" spans="1:11" hidden="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75.510000000000005</v>
      </c>
      <c r="G500" s="7" t="s">
        <v>27</v>
      </c>
      <c r="H500" s="7">
        <f t="shared" si="42"/>
        <v>75.510000000000005</v>
      </c>
      <c r="I500" s="7">
        <f t="shared" si="43"/>
        <v>75.510000000000005</v>
      </c>
      <c r="J500" s="7"/>
      <c r="K500" s="9">
        <f t="shared" si="38"/>
        <v>0</v>
      </c>
    </row>
    <row r="501" spans="1:11" hidden="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9">
        <f t="shared" si="38"/>
        <v>0</v>
      </c>
    </row>
    <row r="502" spans="1:11" hidden="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80.040000000000006</v>
      </c>
      <c r="G502" s="7" t="s">
        <v>27</v>
      </c>
      <c r="H502" s="7">
        <f t="shared" si="42"/>
        <v>80.040000000000006</v>
      </c>
      <c r="I502" s="7">
        <f t="shared" si="43"/>
        <v>80.040000000000006</v>
      </c>
      <c r="J502" s="7"/>
      <c r="K502" s="9">
        <f t="shared" si="38"/>
        <v>0</v>
      </c>
    </row>
    <row r="503" spans="1:11" hidden="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9">
        <f t="shared" si="38"/>
        <v>0</v>
      </c>
    </row>
    <row r="504" spans="1:11" hidden="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9">
        <f t="shared" si="38"/>
        <v>0</v>
      </c>
    </row>
    <row r="505" spans="1:11" hidden="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9">
        <f t="shared" si="38"/>
        <v>0</v>
      </c>
    </row>
    <row r="506" spans="1:11" hidden="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9">
        <f t="shared" si="38"/>
        <v>0</v>
      </c>
    </row>
    <row r="507" spans="1:11" hidden="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9">
        <f t="shared" si="38"/>
        <v>0</v>
      </c>
    </row>
    <row r="508" spans="1:11" hidden="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9">
        <f t="shared" si="38"/>
        <v>0</v>
      </c>
    </row>
    <row r="509" spans="1:11" hidden="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9">
        <f t="shared" si="38"/>
        <v>0</v>
      </c>
    </row>
    <row r="510" spans="1:11" hidden="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9">
        <f t="shared" si="38"/>
        <v>0</v>
      </c>
    </row>
    <row r="511" spans="1:11" hidden="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9">
        <f t="shared" si="38"/>
        <v>0</v>
      </c>
    </row>
    <row r="512" spans="1:11" hidden="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9">
        <f t="shared" si="38"/>
        <v>0</v>
      </c>
    </row>
    <row r="513" spans="1:11" hidden="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77.569999999999993</v>
      </c>
      <c r="G513" s="7" t="s">
        <v>27</v>
      </c>
      <c r="H513" s="7">
        <f t="shared" si="42"/>
        <v>77.569999999999993</v>
      </c>
      <c r="I513" s="7">
        <f t="shared" si="43"/>
        <v>77.569999999999993</v>
      </c>
      <c r="J513" s="7"/>
      <c r="K513" s="9">
        <f t="shared" si="38"/>
        <v>0</v>
      </c>
    </row>
    <row r="514" spans="1:11" hidden="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9">
        <f t="shared" si="38"/>
        <v>0</v>
      </c>
    </row>
    <row r="515" spans="1:11" hidden="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9">
        <f t="shared" si="38"/>
        <v>0</v>
      </c>
    </row>
    <row r="516" spans="1:11" hidden="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9">
        <f t="shared" si="38"/>
        <v>0</v>
      </c>
    </row>
    <row r="517" spans="1:11" hidden="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9">
        <f t="shared" ref="K517:K580" si="44">J517*I517/100000</f>
        <v>0</v>
      </c>
    </row>
    <row r="518" spans="1:11" hidden="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9">
        <f t="shared" si="44"/>
        <v>0</v>
      </c>
    </row>
    <row r="519" spans="1:11" hidden="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9">
        <f t="shared" si="44"/>
        <v>0</v>
      </c>
    </row>
    <row r="520" spans="1:11" hidden="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613309.19999999995</v>
      </c>
      <c r="G520" s="7" t="s">
        <v>27</v>
      </c>
      <c r="H520" s="7">
        <f t="shared" si="42"/>
        <v>613309.19999999995</v>
      </c>
      <c r="I520" s="7">
        <f t="shared" si="43"/>
        <v>613309.19999999995</v>
      </c>
      <c r="J520" s="7"/>
      <c r="K520" s="9">
        <f t="shared" si="44"/>
        <v>0</v>
      </c>
    </row>
    <row r="521" spans="1:11" hidden="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9">
        <f t="shared" si="44"/>
        <v>0</v>
      </c>
    </row>
    <row r="522" spans="1:11" hidden="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9">
        <f t="shared" si="44"/>
        <v>0</v>
      </c>
    </row>
    <row r="523" spans="1:11" hidden="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1.1599999999999999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9">
        <f t="shared" si="44"/>
        <v>0</v>
      </c>
    </row>
    <row r="524" spans="1:11" hidden="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9">
        <f t="shared" si="44"/>
        <v>0</v>
      </c>
    </row>
    <row r="525" spans="1:11" hidden="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9">
        <f t="shared" si="44"/>
        <v>0</v>
      </c>
    </row>
    <row r="526" spans="1:11" hidden="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9">
        <f t="shared" si="44"/>
        <v>0</v>
      </c>
    </row>
    <row r="527" spans="1:11" hidden="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9">
        <f t="shared" si="44"/>
        <v>0</v>
      </c>
    </row>
    <row r="528" spans="1:11" hidden="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9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9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9">
        <f t="shared" si="44"/>
        <v>4.9748400000000004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9">
        <f t="shared" si="44"/>
        <v>5.1549731999999997</v>
      </c>
    </row>
    <row r="532" spans="1:11" hidden="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9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9">
        <f t="shared" si="44"/>
        <v>27.505939999999999</v>
      </c>
    </row>
    <row r="534" spans="1:11" hidden="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9">
        <f t="shared" si="44"/>
        <v>0</v>
      </c>
    </row>
    <row r="535" spans="1:11" hidden="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9">
        <f t="shared" si="44"/>
        <v>0</v>
      </c>
    </row>
    <row r="536" spans="1:11" hidden="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9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9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570.16999999999996</v>
      </c>
      <c r="G538" s="7" t="s">
        <v>27</v>
      </c>
      <c r="H538" s="7">
        <f t="shared" si="46"/>
        <v>570.16999999999996</v>
      </c>
      <c r="I538" s="7">
        <f t="shared" si="47"/>
        <v>570.16999999999996</v>
      </c>
      <c r="J538" s="7">
        <v>12320</v>
      </c>
      <c r="K538" s="9">
        <f t="shared" si="44"/>
        <v>70.24494399999999</v>
      </c>
    </row>
    <row r="539" spans="1:11" hidden="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81.400000000000006</v>
      </c>
      <c r="G539" s="7" t="s">
        <v>27</v>
      </c>
      <c r="H539" s="7">
        <f t="shared" si="46"/>
        <v>81.400000000000006</v>
      </c>
      <c r="I539" s="7">
        <f t="shared" si="47"/>
        <v>81.400000000000006</v>
      </c>
      <c r="J539" s="7"/>
      <c r="K539" s="9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9">
        <f t="shared" si="44"/>
        <v>21.682836000000002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9">
        <f t="shared" si="44"/>
        <v>21.294974400000001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9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9">
        <f t="shared" si="44"/>
        <v>8.4545820000000003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9">
        <f t="shared" si="44"/>
        <v>6.5315807999999995</v>
      </c>
    </row>
    <row r="545" spans="1:11" hidden="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9">
        <f t="shared" si="44"/>
        <v>0</v>
      </c>
    </row>
    <row r="546" spans="1:11" hidden="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9">
        <f t="shared" si="44"/>
        <v>0</v>
      </c>
    </row>
    <row r="547" spans="1:11" hidden="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278.95999999999998</v>
      </c>
      <c r="G547" s="7" t="s">
        <v>27</v>
      </c>
      <c r="H547" s="7">
        <f t="shared" si="46"/>
        <v>278.95999999999998</v>
      </c>
      <c r="I547" s="7">
        <f t="shared" si="47"/>
        <v>278.95999999999998</v>
      </c>
      <c r="J547" s="7"/>
      <c r="K547" s="9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9">
        <f t="shared" si="44"/>
        <v>35.327031999999996</v>
      </c>
    </row>
    <row r="549" spans="1:11" hidden="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278.95999999999998</v>
      </c>
      <c r="G549" s="7" t="s">
        <v>27</v>
      </c>
      <c r="H549" s="7">
        <f t="shared" si="46"/>
        <v>278.95999999999998</v>
      </c>
      <c r="I549" s="7">
        <f t="shared" si="47"/>
        <v>278.95999999999998</v>
      </c>
      <c r="J549" s="7"/>
      <c r="K549" s="9">
        <f t="shared" si="44"/>
        <v>0</v>
      </c>
    </row>
    <row r="550" spans="1:11" hidden="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279.70999999999998</v>
      </c>
      <c r="G550" s="7" t="s">
        <v>27</v>
      </c>
      <c r="H550" s="7">
        <f t="shared" si="46"/>
        <v>279.70999999999998</v>
      </c>
      <c r="I550" s="7">
        <f t="shared" si="47"/>
        <v>279.70999999999998</v>
      </c>
      <c r="J550" s="7"/>
      <c r="K550" s="9">
        <f t="shared" si="44"/>
        <v>0</v>
      </c>
    </row>
    <row r="551" spans="1:11" hidden="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9">
        <f t="shared" si="44"/>
        <v>0</v>
      </c>
    </row>
    <row r="552" spans="1:11" hidden="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325.47000000000003</v>
      </c>
      <c r="G552" s="7" t="s">
        <v>27</v>
      </c>
      <c r="H552" s="7">
        <f t="shared" si="46"/>
        <v>325.47000000000003</v>
      </c>
      <c r="I552" s="7">
        <f t="shared" si="47"/>
        <v>325.47000000000003</v>
      </c>
      <c r="J552" s="7"/>
      <c r="K552" s="9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9">
        <f t="shared" si="44"/>
        <v>31.074247999999997</v>
      </c>
    </row>
    <row r="554" spans="1:11" hidden="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9">
        <f t="shared" si="44"/>
        <v>0</v>
      </c>
    </row>
    <row r="555" spans="1:11" hidden="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0.81200000000000006</v>
      </c>
      <c r="G555" s="7" t="s">
        <v>160</v>
      </c>
      <c r="H555" s="7">
        <v>110</v>
      </c>
      <c r="I555" s="7">
        <f t="shared" si="45"/>
        <v>89.320000000000007</v>
      </c>
      <c r="J555" s="7"/>
      <c r="K555" s="9">
        <f t="shared" si="44"/>
        <v>0</v>
      </c>
    </row>
    <row r="556" spans="1:11" hidden="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9">
        <f t="shared" si="44"/>
        <v>0</v>
      </c>
    </row>
    <row r="557" spans="1:11" hidden="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9">
        <f t="shared" si="44"/>
        <v>0</v>
      </c>
    </row>
    <row r="558" spans="1:11" hidden="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9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9">
        <f t="shared" si="44"/>
        <v>24.595199999999998</v>
      </c>
    </row>
    <row r="560" spans="1:11" hidden="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9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9">
        <f t="shared" si="44"/>
        <v>2.5336799999999999</v>
      </c>
    </row>
    <row r="562" spans="1:11" hidden="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9">
        <f t="shared" si="44"/>
        <v>0</v>
      </c>
    </row>
    <row r="563" spans="1:11" hidden="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9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9">
        <f t="shared" si="44"/>
        <v>5.0106000000000002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9">
        <f t="shared" si="44"/>
        <v>0.90720000000000001</v>
      </c>
    </row>
    <row r="566" spans="1:11" hidden="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9">
        <f t="shared" si="44"/>
        <v>0</v>
      </c>
    </row>
    <row r="567" spans="1:11" hidden="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9">
        <f t="shared" si="44"/>
        <v>0</v>
      </c>
    </row>
    <row r="568" spans="1:11" hidden="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9">
        <f t="shared" si="44"/>
        <v>0</v>
      </c>
    </row>
    <row r="569" spans="1:11" hidden="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9">
        <f t="shared" si="44"/>
        <v>0</v>
      </c>
    </row>
    <row r="570" spans="1:11" hidden="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9">
        <f t="shared" si="44"/>
        <v>0</v>
      </c>
    </row>
    <row r="571" spans="1:11" hidden="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9">
        <f t="shared" si="44"/>
        <v>0</v>
      </c>
    </row>
    <row r="572" spans="1:11" hidden="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9">
        <f t="shared" si="44"/>
        <v>0</v>
      </c>
    </row>
    <row r="573" spans="1:11" hidden="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9">
        <f t="shared" si="44"/>
        <v>0</v>
      </c>
    </row>
    <row r="574" spans="1:11" hidden="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9">
        <f t="shared" si="44"/>
        <v>0</v>
      </c>
    </row>
    <row r="575" spans="1:11" hidden="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9">
        <f t="shared" si="44"/>
        <v>0</v>
      </c>
    </row>
    <row r="576" spans="1:11" hidden="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78.260000000000005</v>
      </c>
      <c r="G576" s="7" t="s">
        <v>27</v>
      </c>
      <c r="H576" s="7">
        <f t="shared" si="48"/>
        <v>78.260000000000005</v>
      </c>
      <c r="I576" s="7">
        <f t="shared" si="49"/>
        <v>78.260000000000005</v>
      </c>
      <c r="J576" s="7"/>
      <c r="K576" s="9">
        <f t="shared" si="44"/>
        <v>0</v>
      </c>
    </row>
    <row r="577" spans="1:11" hidden="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9">
        <f t="shared" si="44"/>
        <v>0</v>
      </c>
    </row>
    <row r="578" spans="1:11" hidden="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76.349999999999994</v>
      </c>
      <c r="G578" s="7" t="s">
        <v>27</v>
      </c>
      <c r="H578" s="7">
        <f t="shared" si="48"/>
        <v>76.349999999999994</v>
      </c>
      <c r="I578" s="7">
        <f t="shared" si="49"/>
        <v>76.349999999999994</v>
      </c>
      <c r="J578" s="7"/>
      <c r="K578" s="9">
        <f t="shared" si="44"/>
        <v>0</v>
      </c>
    </row>
    <row r="579" spans="1:11" hidden="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319.41000000000003</v>
      </c>
      <c r="G579" s="7" t="s">
        <v>27</v>
      </c>
      <c r="H579" s="7">
        <f t="shared" si="48"/>
        <v>319.41000000000003</v>
      </c>
      <c r="I579" s="7">
        <f t="shared" si="49"/>
        <v>319.41000000000003</v>
      </c>
      <c r="J579" s="7"/>
      <c r="K579" s="9">
        <f t="shared" si="44"/>
        <v>0</v>
      </c>
    </row>
    <row r="580" spans="1:11" hidden="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9">
        <f t="shared" si="44"/>
        <v>0</v>
      </c>
    </row>
    <row r="581" spans="1:11" hidden="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9">
        <f t="shared" ref="K581:K644" si="50">J581*I581/100000</f>
        <v>0</v>
      </c>
    </row>
    <row r="582" spans="1:11" hidden="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9">
        <f t="shared" si="50"/>
        <v>0</v>
      </c>
    </row>
    <row r="583" spans="1:11" hidden="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9">
        <f t="shared" si="50"/>
        <v>0</v>
      </c>
    </row>
    <row r="584" spans="1:11" hidden="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9">
        <f t="shared" si="50"/>
        <v>0</v>
      </c>
    </row>
    <row r="585" spans="1:11" hidden="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9">
        <f t="shared" si="50"/>
        <v>0</v>
      </c>
    </row>
    <row r="586" spans="1:11" hidden="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9">
        <f t="shared" si="50"/>
        <v>0</v>
      </c>
    </row>
    <row r="587" spans="1:11" hidden="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9">
        <f t="shared" si="50"/>
        <v>0</v>
      </c>
    </row>
    <row r="588" spans="1:11" hidden="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9">
        <f t="shared" si="50"/>
        <v>0</v>
      </c>
    </row>
    <row r="589" spans="1:11" hidden="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9">
        <f t="shared" si="50"/>
        <v>0</v>
      </c>
    </row>
    <row r="590" spans="1:11" hidden="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9">
        <f t="shared" si="50"/>
        <v>0</v>
      </c>
    </row>
    <row r="591" spans="1:11" hidden="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9">
        <f t="shared" si="50"/>
        <v>0</v>
      </c>
    </row>
    <row r="592" spans="1:11" hidden="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9">
        <f t="shared" si="50"/>
        <v>0</v>
      </c>
    </row>
    <row r="593" spans="1:11" hidden="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9">
        <f t="shared" si="50"/>
        <v>0</v>
      </c>
    </row>
    <row r="594" spans="1:11" hidden="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9">
        <f t="shared" si="50"/>
        <v>0</v>
      </c>
    </row>
    <row r="595" spans="1:11" hidden="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9">
        <f t="shared" si="50"/>
        <v>0</v>
      </c>
    </row>
    <row r="596" spans="1:11" hidden="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9">
        <f t="shared" si="50"/>
        <v>0</v>
      </c>
    </row>
    <row r="597" spans="1:11" hidden="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9">
        <f t="shared" si="50"/>
        <v>0</v>
      </c>
    </row>
    <row r="598" spans="1:11" hidden="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9">
        <f t="shared" si="50"/>
        <v>0</v>
      </c>
    </row>
    <row r="599" spans="1:11" hidden="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9">
        <f t="shared" si="50"/>
        <v>0</v>
      </c>
    </row>
    <row r="600" spans="1:11" hidden="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9">
        <f t="shared" si="50"/>
        <v>0</v>
      </c>
    </row>
    <row r="601" spans="1:11" hidden="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9">
        <f t="shared" si="50"/>
        <v>0</v>
      </c>
    </row>
    <row r="602" spans="1:11" hidden="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9">
        <f t="shared" si="50"/>
        <v>0</v>
      </c>
    </row>
    <row r="603" spans="1:11" hidden="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9">
        <f t="shared" si="50"/>
        <v>0</v>
      </c>
    </row>
    <row r="604" spans="1:11" hidden="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9">
        <f t="shared" si="50"/>
        <v>0</v>
      </c>
    </row>
    <row r="605" spans="1:11" hidden="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9">
        <f t="shared" si="50"/>
        <v>0</v>
      </c>
    </row>
    <row r="606" spans="1:11" hidden="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9">
        <f t="shared" si="50"/>
        <v>0</v>
      </c>
    </row>
    <row r="607" spans="1:11" hidden="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9">
        <f t="shared" si="50"/>
        <v>0</v>
      </c>
    </row>
    <row r="608" spans="1:11" hidden="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9">
        <f t="shared" si="50"/>
        <v>0</v>
      </c>
    </row>
    <row r="609" spans="1:11" hidden="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9">
        <f t="shared" si="50"/>
        <v>0</v>
      </c>
    </row>
    <row r="610" spans="1:11" hidden="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9">
        <f t="shared" si="50"/>
        <v>0</v>
      </c>
    </row>
    <row r="611" spans="1:11" hidden="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9">
        <f t="shared" si="50"/>
        <v>0</v>
      </c>
    </row>
    <row r="612" spans="1:11" hidden="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9">
        <f t="shared" si="50"/>
        <v>0</v>
      </c>
    </row>
    <row r="613" spans="1:11" hidden="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9">
        <f t="shared" si="50"/>
        <v>0</v>
      </c>
    </row>
    <row r="614" spans="1:11" hidden="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9">
        <f t="shared" si="50"/>
        <v>0</v>
      </c>
    </row>
    <row r="615" spans="1:11" hidden="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9">
        <f t="shared" si="50"/>
        <v>0</v>
      </c>
    </row>
    <row r="616" spans="1:11" hidden="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9">
        <f t="shared" si="50"/>
        <v>0</v>
      </c>
    </row>
    <row r="617" spans="1:11" hidden="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2.2599999999999998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9">
        <f t="shared" si="50"/>
        <v>0</v>
      </c>
    </row>
    <row r="618" spans="1:11" hidden="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9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2.2000000000000002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9">
        <f t="shared" si="50"/>
        <v>0.7260000000000002</v>
      </c>
    </row>
    <row r="620" spans="1:11" hidden="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9">
        <f t="shared" si="50"/>
        <v>0</v>
      </c>
    </row>
    <row r="621" spans="1:11" hidden="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67.099999999999994</v>
      </c>
      <c r="J621" s="7"/>
      <c r="K621" s="9">
        <f t="shared" si="50"/>
        <v>0</v>
      </c>
    </row>
    <row r="622" spans="1:11" hidden="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9">
        <f t="shared" si="50"/>
        <v>0</v>
      </c>
    </row>
    <row r="623" spans="1:11" hidden="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9">
        <f t="shared" si="50"/>
        <v>0</v>
      </c>
    </row>
    <row r="624" spans="1:11" hidden="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9">
        <f t="shared" si="50"/>
        <v>0</v>
      </c>
    </row>
    <row r="625" spans="1:11" hidden="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64.899999999999991</v>
      </c>
      <c r="J625" s="7"/>
      <c r="K625" s="9">
        <f t="shared" si="50"/>
        <v>0</v>
      </c>
    </row>
    <row r="626" spans="1:11" hidden="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9">
        <f t="shared" si="50"/>
        <v>0</v>
      </c>
    </row>
    <row r="627" spans="1:11" hidden="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9">
        <f t="shared" si="50"/>
        <v>0</v>
      </c>
    </row>
    <row r="628" spans="1:11" hidden="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9">
        <f t="shared" si="50"/>
        <v>0</v>
      </c>
    </row>
    <row r="629" spans="1:11" hidden="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35.200000000000003</v>
      </c>
      <c r="J629" s="7"/>
      <c r="K629" s="9">
        <f t="shared" si="50"/>
        <v>0</v>
      </c>
    </row>
    <row r="630" spans="1:11" hidden="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9">
        <f t="shared" si="50"/>
        <v>0</v>
      </c>
    </row>
    <row r="631" spans="1:11" hidden="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1.1000000000000001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9">
        <f t="shared" si="50"/>
        <v>0</v>
      </c>
    </row>
    <row r="632" spans="1:11" hidden="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1.1000000000000001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9">
        <f t="shared" si="50"/>
        <v>0</v>
      </c>
    </row>
    <row r="633" spans="1:11" hidden="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9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9">
        <f t="shared" si="50"/>
        <v>2.4750000000000001</v>
      </c>
    </row>
    <row r="635" spans="1:11" hidden="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9">
        <f t="shared" si="50"/>
        <v>0</v>
      </c>
    </row>
    <row r="636" spans="1:11" hidden="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9">
        <f t="shared" si="50"/>
        <v>0</v>
      </c>
    </row>
    <row r="637" spans="1:11" hidden="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9">
        <f t="shared" si="50"/>
        <v>0</v>
      </c>
    </row>
    <row r="638" spans="1:11" hidden="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9">
        <f t="shared" si="50"/>
        <v>0</v>
      </c>
    </row>
    <row r="639" spans="1:11" hidden="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9">
        <f t="shared" si="50"/>
        <v>0</v>
      </c>
    </row>
    <row r="640" spans="1:11" hidden="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9">
        <f t="shared" si="50"/>
        <v>0</v>
      </c>
    </row>
    <row r="641" spans="1:11" hidden="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9">
        <f t="shared" si="50"/>
        <v>0</v>
      </c>
    </row>
    <row r="642" spans="1:11" hidden="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9">
        <f t="shared" si="50"/>
        <v>0</v>
      </c>
    </row>
    <row r="643" spans="1:11" hidden="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9">
        <f t="shared" si="50"/>
        <v>0</v>
      </c>
    </row>
    <row r="644" spans="1:11" hidden="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9">
        <f t="shared" si="50"/>
        <v>0</v>
      </c>
    </row>
    <row r="645" spans="1:11" hidden="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9">
        <f t="shared" ref="K645:K708" si="52">J645*I645/100000</f>
        <v>0</v>
      </c>
    </row>
    <row r="646" spans="1:11" hidden="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9">
        <f t="shared" si="52"/>
        <v>0</v>
      </c>
    </row>
    <row r="647" spans="1:11" hidden="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9">
        <f t="shared" si="52"/>
        <v>0</v>
      </c>
    </row>
    <row r="648" spans="1:11" hidden="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9">
        <f t="shared" si="52"/>
        <v>0</v>
      </c>
    </row>
    <row r="649" spans="1:11" hidden="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9">
        <f t="shared" si="52"/>
        <v>0</v>
      </c>
    </row>
    <row r="650" spans="1:11" hidden="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9">
        <f t="shared" si="52"/>
        <v>0</v>
      </c>
    </row>
    <row r="651" spans="1:11" hidden="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9">
        <f t="shared" si="52"/>
        <v>0</v>
      </c>
    </row>
    <row r="652" spans="1:11" hidden="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9">
        <f t="shared" si="52"/>
        <v>0</v>
      </c>
    </row>
    <row r="653" spans="1:11" hidden="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9">
        <f t="shared" si="52"/>
        <v>0</v>
      </c>
    </row>
    <row r="654" spans="1:11" hidden="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9">
        <f t="shared" si="52"/>
        <v>0</v>
      </c>
    </row>
    <row r="655" spans="1:11" hidden="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9">
        <f t="shared" si="52"/>
        <v>0</v>
      </c>
    </row>
    <row r="656" spans="1:11" hidden="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9">
        <f t="shared" si="52"/>
        <v>0</v>
      </c>
    </row>
    <row r="657" spans="1:11" hidden="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9">
        <f t="shared" si="52"/>
        <v>0</v>
      </c>
    </row>
    <row r="658" spans="1:11" hidden="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9">
        <f t="shared" si="52"/>
        <v>0</v>
      </c>
    </row>
    <row r="659" spans="1:11" hidden="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9">
        <f t="shared" si="52"/>
        <v>0</v>
      </c>
    </row>
    <row r="660" spans="1:11" hidden="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9">
        <f t="shared" si="52"/>
        <v>0</v>
      </c>
    </row>
    <row r="661" spans="1:11" hidden="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9">
        <f t="shared" si="52"/>
        <v>0</v>
      </c>
    </row>
    <row r="662" spans="1:11" hidden="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9">
        <f t="shared" si="52"/>
        <v>0</v>
      </c>
    </row>
    <row r="663" spans="1:11" hidden="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9">
        <f t="shared" si="52"/>
        <v>0</v>
      </c>
    </row>
    <row r="664" spans="1:11" hidden="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9">
        <f t="shared" si="52"/>
        <v>0</v>
      </c>
    </row>
    <row r="665" spans="1:11" hidden="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9">
        <f t="shared" si="52"/>
        <v>0</v>
      </c>
    </row>
    <row r="666" spans="1:11" hidden="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9">
        <f t="shared" si="52"/>
        <v>0</v>
      </c>
    </row>
    <row r="667" spans="1:11" hidden="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9">
        <f t="shared" si="52"/>
        <v>0</v>
      </c>
    </row>
    <row r="668" spans="1:11" hidden="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9">
        <f t="shared" si="52"/>
        <v>0</v>
      </c>
    </row>
    <row r="669" spans="1:11" hidden="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294.39999999999998</v>
      </c>
      <c r="G669" s="7" t="s">
        <v>27</v>
      </c>
      <c r="H669" s="7">
        <f t="shared" si="59"/>
        <v>294.39999999999998</v>
      </c>
      <c r="I669" s="7">
        <f t="shared" si="60"/>
        <v>294.39999999999998</v>
      </c>
      <c r="J669" s="7"/>
      <c r="K669" s="9">
        <f t="shared" si="52"/>
        <v>0</v>
      </c>
    </row>
    <row r="670" spans="1:11" hidden="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9">
        <f t="shared" si="52"/>
        <v>0</v>
      </c>
    </row>
    <row r="671" spans="1:11" hidden="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9">
        <f t="shared" si="52"/>
        <v>0</v>
      </c>
    </row>
    <row r="672" spans="1:11" hidden="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9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128.61000000000001</v>
      </c>
      <c r="G673" s="7" t="s">
        <v>27</v>
      </c>
      <c r="H673" s="7">
        <f t="shared" si="59"/>
        <v>128.61000000000001</v>
      </c>
      <c r="I673" s="7">
        <f t="shared" si="60"/>
        <v>128.61000000000001</v>
      </c>
      <c r="J673" s="7">
        <v>718</v>
      </c>
      <c r="K673" s="9">
        <f t="shared" si="52"/>
        <v>0.92341980000000012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9">
        <f t="shared" si="52"/>
        <v>0.70036199999999993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9">
        <f t="shared" si="52"/>
        <v>0.65097360000000004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9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77.099999999999994</v>
      </c>
      <c r="G677" s="7" t="s">
        <v>27</v>
      </c>
      <c r="H677" s="7">
        <f t="shared" si="59"/>
        <v>77.099999999999994</v>
      </c>
      <c r="I677" s="7">
        <f t="shared" si="60"/>
        <v>77.099999999999994</v>
      </c>
      <c r="J677" s="7">
        <v>2310</v>
      </c>
      <c r="K677" s="9">
        <f t="shared" si="52"/>
        <v>1.78101</v>
      </c>
    </row>
    <row r="678" spans="1:11" hidden="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9">
        <f t="shared" si="52"/>
        <v>0</v>
      </c>
    </row>
    <row r="679" spans="1:11" hidden="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9">
        <f t="shared" si="52"/>
        <v>0</v>
      </c>
    </row>
    <row r="680" spans="1:11" hidden="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9">
        <f t="shared" si="52"/>
        <v>0</v>
      </c>
    </row>
    <row r="681" spans="1:11" hidden="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9">
        <f t="shared" si="52"/>
        <v>0</v>
      </c>
    </row>
    <row r="682" spans="1:11" hidden="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9">
        <f t="shared" si="52"/>
        <v>0</v>
      </c>
    </row>
    <row r="683" spans="1:11" hidden="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9">
        <f t="shared" si="52"/>
        <v>0</v>
      </c>
    </row>
    <row r="684" spans="1:11" hidden="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9">
        <f t="shared" si="52"/>
        <v>0</v>
      </c>
    </row>
    <row r="685" spans="1:11" hidden="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9">
        <f t="shared" si="52"/>
        <v>0</v>
      </c>
    </row>
    <row r="686" spans="1:11" hidden="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9">
        <f t="shared" si="52"/>
        <v>0</v>
      </c>
    </row>
    <row r="687" spans="1:11" hidden="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9">
        <f t="shared" si="52"/>
        <v>0</v>
      </c>
    </row>
    <row r="688" spans="1:11" hidden="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9">
        <f t="shared" si="52"/>
        <v>0</v>
      </c>
    </row>
    <row r="689" spans="1:11" hidden="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9">
        <f t="shared" si="52"/>
        <v>0</v>
      </c>
    </row>
    <row r="690" spans="1:11" hidden="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9">
        <f t="shared" si="52"/>
        <v>0</v>
      </c>
    </row>
    <row r="691" spans="1:11" hidden="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9">
        <f t="shared" si="52"/>
        <v>0</v>
      </c>
    </row>
    <row r="692" spans="1:11" hidden="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9">
        <f t="shared" si="52"/>
        <v>0</v>
      </c>
    </row>
    <row r="693" spans="1:11" hidden="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9">
        <f t="shared" si="52"/>
        <v>0</v>
      </c>
    </row>
    <row r="694" spans="1:11" hidden="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9">
        <f t="shared" si="52"/>
        <v>0</v>
      </c>
    </row>
    <row r="695" spans="1:11" hidden="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9">
        <f t="shared" si="52"/>
        <v>0</v>
      </c>
    </row>
    <row r="696" spans="1:11" hidden="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9">
        <f t="shared" si="52"/>
        <v>0</v>
      </c>
    </row>
    <row r="697" spans="1:11" hidden="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9">
        <f t="shared" si="52"/>
        <v>0</v>
      </c>
    </row>
    <row r="698" spans="1:11" hidden="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9">
        <f t="shared" si="52"/>
        <v>0</v>
      </c>
    </row>
    <row r="699" spans="1:11" hidden="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9">
        <f t="shared" si="52"/>
        <v>0</v>
      </c>
    </row>
    <row r="700" spans="1:11" hidden="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9">
        <f t="shared" si="52"/>
        <v>0</v>
      </c>
    </row>
    <row r="701" spans="1:11" hidden="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9">
        <f t="shared" si="52"/>
        <v>0</v>
      </c>
    </row>
    <row r="702" spans="1:11" hidden="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9">
        <f t="shared" si="52"/>
        <v>0</v>
      </c>
    </row>
    <row r="703" spans="1:11" hidden="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9">
        <f t="shared" si="52"/>
        <v>0</v>
      </c>
    </row>
    <row r="704" spans="1:11" hidden="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9">
        <f t="shared" si="52"/>
        <v>0</v>
      </c>
    </row>
    <row r="705" spans="1:11" hidden="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9">
        <f t="shared" si="52"/>
        <v>0</v>
      </c>
    </row>
    <row r="706" spans="1:11" hidden="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9">
        <f t="shared" si="52"/>
        <v>0</v>
      </c>
    </row>
    <row r="707" spans="1:11" hidden="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9">
        <f t="shared" si="52"/>
        <v>0</v>
      </c>
    </row>
    <row r="708" spans="1:11" hidden="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9">
        <f t="shared" si="52"/>
        <v>0</v>
      </c>
    </row>
    <row r="709" spans="1:11" hidden="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9">
        <f t="shared" ref="K709:K772" si="61">J709*I709/100000</f>
        <v>0</v>
      </c>
    </row>
    <row r="710" spans="1:11" hidden="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9">
        <f t="shared" si="61"/>
        <v>0</v>
      </c>
    </row>
    <row r="711" spans="1:11" hidden="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9">
        <f t="shared" si="61"/>
        <v>0</v>
      </c>
    </row>
    <row r="712" spans="1:11" hidden="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9">
        <f t="shared" si="61"/>
        <v>0</v>
      </c>
    </row>
    <row r="713" spans="1:11" hidden="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9">
        <f t="shared" si="61"/>
        <v>0</v>
      </c>
    </row>
    <row r="714" spans="1:11" hidden="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9">
        <f t="shared" si="61"/>
        <v>0</v>
      </c>
    </row>
    <row r="715" spans="1:11" hidden="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9">
        <f t="shared" si="61"/>
        <v>0</v>
      </c>
    </row>
    <row r="716" spans="1:11" hidden="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9">
        <f t="shared" si="61"/>
        <v>0</v>
      </c>
    </row>
    <row r="717" spans="1:11" hidden="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9">
        <f t="shared" si="61"/>
        <v>0</v>
      </c>
    </row>
    <row r="718" spans="1:11" hidden="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9">
        <f t="shared" si="61"/>
        <v>0</v>
      </c>
    </row>
    <row r="719" spans="1:11" hidden="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9">
        <f t="shared" si="61"/>
        <v>0</v>
      </c>
    </row>
    <row r="720" spans="1:11" hidden="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9">
        <f t="shared" si="61"/>
        <v>0</v>
      </c>
    </row>
    <row r="721" spans="1:11" hidden="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9">
        <f t="shared" si="61"/>
        <v>0</v>
      </c>
    </row>
    <row r="722" spans="1:11" hidden="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34.479999999999997</v>
      </c>
      <c r="G722" s="7" t="s">
        <v>27</v>
      </c>
      <c r="H722" s="7">
        <f t="shared" si="63"/>
        <v>34.479999999999997</v>
      </c>
      <c r="I722" s="7">
        <f t="shared" si="64"/>
        <v>34.479999999999997</v>
      </c>
      <c r="J722" s="7"/>
      <c r="K722" s="9">
        <f t="shared" si="61"/>
        <v>0</v>
      </c>
    </row>
    <row r="723" spans="1:11" hidden="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9">
        <f t="shared" si="61"/>
        <v>0</v>
      </c>
    </row>
    <row r="724" spans="1:11" hidden="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9">
        <f t="shared" si="61"/>
        <v>0</v>
      </c>
    </row>
    <row r="725" spans="1:11" hidden="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9">
        <f t="shared" si="61"/>
        <v>0</v>
      </c>
    </row>
    <row r="726" spans="1:11" hidden="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9">
        <f t="shared" si="61"/>
        <v>0</v>
      </c>
    </row>
    <row r="727" spans="1:11" hidden="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9">
        <f t="shared" si="61"/>
        <v>0</v>
      </c>
    </row>
    <row r="728" spans="1:11" hidden="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9">
        <f t="shared" si="61"/>
        <v>0</v>
      </c>
    </row>
    <row r="729" spans="1:11" hidden="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9">
        <f t="shared" si="61"/>
        <v>0</v>
      </c>
    </row>
    <row r="730" spans="1:11" hidden="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9">
        <f t="shared" si="61"/>
        <v>0</v>
      </c>
    </row>
    <row r="731" spans="1:11" hidden="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9">
        <f t="shared" si="61"/>
        <v>0</v>
      </c>
    </row>
    <row r="732" spans="1:11" hidden="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9">
        <f t="shared" si="61"/>
        <v>0</v>
      </c>
    </row>
    <row r="733" spans="1:11" hidden="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9">
        <f t="shared" si="61"/>
        <v>0</v>
      </c>
    </row>
    <row r="734" spans="1:11" hidden="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9">
        <f t="shared" si="61"/>
        <v>0</v>
      </c>
    </row>
    <row r="735" spans="1:11" hidden="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9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9">
        <f t="shared" si="61"/>
        <v>23.015999999999998</v>
      </c>
    </row>
    <row r="737" spans="1:11" hidden="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9">
        <f t="shared" si="61"/>
        <v>0</v>
      </c>
    </row>
    <row r="738" spans="1:11" hidden="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9">
        <f t="shared" si="61"/>
        <v>0</v>
      </c>
    </row>
    <row r="739" spans="1:11" hidden="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9">
        <f t="shared" si="61"/>
        <v>0</v>
      </c>
    </row>
    <row r="740" spans="1:11" hidden="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9">
        <f t="shared" si="61"/>
        <v>0</v>
      </c>
    </row>
    <row r="741" spans="1:11" hidden="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9">
        <f t="shared" si="61"/>
        <v>0</v>
      </c>
    </row>
    <row r="742" spans="1:11" hidden="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9">
        <f t="shared" si="61"/>
        <v>0</v>
      </c>
    </row>
    <row r="743" spans="1:11" hidden="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9">
        <f t="shared" si="61"/>
        <v>0</v>
      </c>
    </row>
    <row r="744" spans="1:11" hidden="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566.20000000000005</v>
      </c>
      <c r="J744" s="7"/>
      <c r="K744" s="9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9">
        <f t="shared" si="61"/>
        <v>7.524</v>
      </c>
    </row>
    <row r="746" spans="1:11" hidden="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10.050000000000001</v>
      </c>
      <c r="G746" s="7" t="s">
        <v>619</v>
      </c>
      <c r="H746" s="7">
        <v>95</v>
      </c>
      <c r="I746" s="7">
        <f t="shared" si="62"/>
        <v>954.75000000000011</v>
      </c>
      <c r="J746" s="7"/>
      <c r="K746" s="9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9">
        <f t="shared" si="61"/>
        <v>1.8676999999999999</v>
      </c>
    </row>
    <row r="748" spans="1:11" hidden="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545.30000000000007</v>
      </c>
      <c r="J748" s="7"/>
      <c r="K748" s="9">
        <f t="shared" si="61"/>
        <v>0</v>
      </c>
    </row>
    <row r="749" spans="1:11" hidden="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545.30000000000007</v>
      </c>
      <c r="J749" s="7"/>
      <c r="K749" s="9">
        <f t="shared" si="61"/>
        <v>0</v>
      </c>
    </row>
    <row r="750" spans="1:11" hidden="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2.4900000000000002</v>
      </c>
      <c r="G750" s="7" t="s">
        <v>619</v>
      </c>
      <c r="H750" s="7">
        <v>95</v>
      </c>
      <c r="I750" s="7">
        <f t="shared" si="62"/>
        <v>236.55</v>
      </c>
      <c r="J750" s="7"/>
      <c r="K750" s="9">
        <f t="shared" si="61"/>
        <v>0</v>
      </c>
    </row>
    <row r="751" spans="1:11" hidden="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9">
        <f t="shared" si="61"/>
        <v>0</v>
      </c>
    </row>
    <row r="752" spans="1:11" hidden="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9">
        <f t="shared" si="61"/>
        <v>0</v>
      </c>
    </row>
    <row r="753" spans="1:11" hidden="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4.5999999999999996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9">
        <f t="shared" si="61"/>
        <v>0</v>
      </c>
    </row>
    <row r="754" spans="1:11" hidden="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9">
        <f t="shared" si="61"/>
        <v>0</v>
      </c>
    </row>
    <row r="755" spans="1:11" hidden="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7.4999999999999997E-2</v>
      </c>
      <c r="G755" s="7" t="s">
        <v>619</v>
      </c>
      <c r="H755" s="7">
        <v>95</v>
      </c>
      <c r="I755" s="7">
        <f t="shared" si="62"/>
        <v>7.125</v>
      </c>
      <c r="J755" s="7"/>
      <c r="K755" s="9">
        <f t="shared" si="61"/>
        <v>0</v>
      </c>
    </row>
    <row r="756" spans="1:11" hidden="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9">
        <f t="shared" si="61"/>
        <v>0</v>
      </c>
    </row>
    <row r="757" spans="1:11" hidden="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9">
        <f t="shared" si="61"/>
        <v>0</v>
      </c>
    </row>
    <row r="758" spans="1:11" hidden="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74.100000000000009</v>
      </c>
      <c r="J758" s="7"/>
      <c r="K758" s="9">
        <f t="shared" si="61"/>
        <v>0</v>
      </c>
    </row>
    <row r="759" spans="1:11" hidden="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532.95000000000005</v>
      </c>
      <c r="J759" s="7"/>
      <c r="K759" s="9">
        <f t="shared" si="61"/>
        <v>0</v>
      </c>
    </row>
    <row r="760" spans="1:11" hidden="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9">
        <f t="shared" si="61"/>
        <v>0</v>
      </c>
    </row>
    <row r="761" spans="1:11" hidden="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687.80000000000007</v>
      </c>
      <c r="J761" s="7"/>
      <c r="K761" s="9">
        <f t="shared" si="61"/>
        <v>0</v>
      </c>
    </row>
    <row r="762" spans="1:11" hidden="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9">
        <f t="shared" si="61"/>
        <v>0</v>
      </c>
    </row>
    <row r="763" spans="1:11" hidden="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9">
        <f t="shared" si="61"/>
        <v>0</v>
      </c>
    </row>
    <row r="764" spans="1:11" hidden="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9">
        <f t="shared" si="61"/>
        <v>0</v>
      </c>
    </row>
    <row r="765" spans="1:11" hidden="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1591.9358999999999</v>
      </c>
      <c r="J765" s="7"/>
      <c r="K765" s="9">
        <f t="shared" si="61"/>
        <v>0</v>
      </c>
    </row>
    <row r="766" spans="1:11" hidden="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9">
        <f t="shared" si="61"/>
        <v>0</v>
      </c>
    </row>
    <row r="767" spans="1:11" hidden="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16.899999999999999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9">
        <f t="shared" si="61"/>
        <v>0</v>
      </c>
    </row>
    <row r="768" spans="1:11" hidden="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9">
        <f t="shared" si="61"/>
        <v>0</v>
      </c>
    </row>
    <row r="769" spans="1:11" hidden="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2150.8000000000002</v>
      </c>
      <c r="J769" s="7"/>
      <c r="K769" s="9">
        <f t="shared" si="61"/>
        <v>0</v>
      </c>
    </row>
    <row r="770" spans="1:11" hidden="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4.8600000000000003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9">
        <f t="shared" si="61"/>
        <v>0</v>
      </c>
    </row>
    <row r="771" spans="1:11" hidden="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9">
        <f t="shared" si="61"/>
        <v>0</v>
      </c>
    </row>
    <row r="772" spans="1:11" hidden="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9">
        <f t="shared" si="61"/>
        <v>0</v>
      </c>
    </row>
    <row r="773" spans="1:11" hidden="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687.80000000000007</v>
      </c>
      <c r="J773" s="7"/>
      <c r="K773" s="9">
        <f t="shared" ref="K773:K786" si="65">J773*I773/100000</f>
        <v>0</v>
      </c>
    </row>
    <row r="774" spans="1:11" hidden="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16.899999999999999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9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9">
        <f t="shared" si="65"/>
        <v>1.6910000000000001</v>
      </c>
    </row>
    <row r="776" spans="1:11" hidden="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4.6100000000000003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9">
        <f t="shared" si="65"/>
        <v>0</v>
      </c>
    </row>
    <row r="777" spans="1:11" hidden="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545.30000000000007</v>
      </c>
      <c r="J777" s="7"/>
      <c r="K777" s="9">
        <f t="shared" si="65"/>
        <v>0</v>
      </c>
    </row>
    <row r="778" spans="1:11" hidden="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2.4900000000000002</v>
      </c>
      <c r="G778" s="7" t="s">
        <v>619</v>
      </c>
      <c r="H778" s="7">
        <v>95</v>
      </c>
      <c r="I778" s="7">
        <f t="shared" si="62"/>
        <v>236.55</v>
      </c>
      <c r="J778" s="7"/>
      <c r="K778" s="9">
        <f t="shared" si="65"/>
        <v>0</v>
      </c>
    </row>
    <row r="779" spans="1:11" hidden="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9">
        <f t="shared" si="65"/>
        <v>0</v>
      </c>
    </row>
    <row r="780" spans="1:11" hidden="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2146.0500000000002</v>
      </c>
      <c r="J780" s="7"/>
      <c r="K780" s="9">
        <f t="shared" si="65"/>
        <v>0</v>
      </c>
    </row>
    <row r="781" spans="1:11" hidden="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9">
        <f t="shared" si="65"/>
        <v>0</v>
      </c>
    </row>
    <row r="782" spans="1:11" hidden="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9">
        <f t="shared" si="65"/>
        <v>0</v>
      </c>
    </row>
    <row r="783" spans="1:11" hidden="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16.899999999999999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9">
        <f t="shared" si="65"/>
        <v>0</v>
      </c>
    </row>
    <row r="784" spans="1:11" hidden="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9">
        <f t="shared" si="65"/>
        <v>0</v>
      </c>
    </row>
    <row r="785" spans="1:11" hidden="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9">
        <f t="shared" si="65"/>
        <v>0</v>
      </c>
    </row>
    <row r="786" spans="1:11" hidden="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9">
        <f t="shared" si="65"/>
        <v>0</v>
      </c>
    </row>
  </sheetData>
  <autoFilter ref="A4:K786" xr:uid="{C1A5A472-5BFF-45B1-8275-ED64135DAC37}">
    <filterColumn colId="9">
      <customFilters>
        <customFilter operator="notEqual" val=" "/>
      </customFilters>
    </filterColumn>
    <sortState xmlns:xlrd2="http://schemas.microsoft.com/office/spreadsheetml/2017/richdata2" ref="A5:K786">
      <sortCondition ref="B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7F6-5427-48E3-9A06-1C3331A8390D}">
  <dimension ref="A3:B29"/>
  <sheetViews>
    <sheetView topLeftCell="A9" workbookViewId="0">
      <selection activeCell="A3" sqref="A3:B29"/>
    </sheetView>
  </sheetViews>
  <sheetFormatPr defaultRowHeight="15" x14ac:dyDescent="0.25"/>
  <cols>
    <col min="1" max="1" width="43.28515625" customWidth="1"/>
    <col min="2" max="2" width="21.5703125" bestFit="1" customWidth="1"/>
  </cols>
  <sheetData>
    <row r="3" spans="1:2" x14ac:dyDescent="0.25">
      <c r="A3" s="13" t="s">
        <v>7712</v>
      </c>
      <c r="B3" t="s">
        <v>7715</v>
      </c>
    </row>
    <row r="4" spans="1:2" x14ac:dyDescent="0.25">
      <c r="A4" s="14" t="s">
        <v>128</v>
      </c>
      <c r="B4">
        <v>105.9809918</v>
      </c>
    </row>
    <row r="5" spans="1:2" x14ac:dyDescent="0.25">
      <c r="A5" s="14" t="s">
        <v>468</v>
      </c>
      <c r="B5">
        <v>32.895720000000004</v>
      </c>
    </row>
    <row r="6" spans="1:2" x14ac:dyDescent="0.25">
      <c r="A6" s="14" t="s">
        <v>6469</v>
      </c>
      <c r="B6">
        <v>11.78</v>
      </c>
    </row>
    <row r="7" spans="1:2" x14ac:dyDescent="0.25">
      <c r="A7" s="14" t="s">
        <v>954</v>
      </c>
      <c r="B7">
        <v>222.3160216</v>
      </c>
    </row>
    <row r="8" spans="1:2" x14ac:dyDescent="0.25">
      <c r="A8" s="14" t="s">
        <v>1008</v>
      </c>
      <c r="B8">
        <v>1.65</v>
      </c>
    </row>
    <row r="9" spans="1:2" x14ac:dyDescent="0.25">
      <c r="A9" s="14" t="s">
        <v>1247</v>
      </c>
      <c r="B9">
        <v>34.035220000000002</v>
      </c>
    </row>
    <row r="10" spans="1:2" x14ac:dyDescent="0.25">
      <c r="A10" s="14" t="s">
        <v>1710</v>
      </c>
      <c r="B10">
        <v>8.24</v>
      </c>
    </row>
    <row r="11" spans="1:2" x14ac:dyDescent="0.25">
      <c r="A11" s="14" t="s">
        <v>1672</v>
      </c>
      <c r="B11">
        <v>150.12400000000002</v>
      </c>
    </row>
    <row r="12" spans="1:2" x14ac:dyDescent="0.25">
      <c r="A12" s="14" t="s">
        <v>1935</v>
      </c>
      <c r="B12">
        <v>29.770150000000001</v>
      </c>
    </row>
    <row r="13" spans="1:2" x14ac:dyDescent="0.25">
      <c r="A13" s="14" t="s">
        <v>2488</v>
      </c>
      <c r="B13">
        <v>6.9432250000000009</v>
      </c>
    </row>
    <row r="14" spans="1:2" x14ac:dyDescent="0.25">
      <c r="A14" s="14" t="s">
        <v>2267</v>
      </c>
      <c r="B14">
        <v>62.284925999999999</v>
      </c>
    </row>
    <row r="15" spans="1:2" x14ac:dyDescent="0.25">
      <c r="A15" s="14" t="s">
        <v>2511</v>
      </c>
      <c r="B15">
        <v>10.11275</v>
      </c>
    </row>
    <row r="16" spans="1:2" x14ac:dyDescent="0.25">
      <c r="A16" s="14" t="s">
        <v>5978</v>
      </c>
      <c r="B16">
        <v>1.6181760000000001</v>
      </c>
    </row>
    <row r="17" spans="1:2" x14ac:dyDescent="0.25">
      <c r="A17" s="14" t="s">
        <v>2653</v>
      </c>
      <c r="B17">
        <v>34.895000000000003</v>
      </c>
    </row>
    <row r="18" spans="1:2" x14ac:dyDescent="0.25">
      <c r="A18" s="14" t="s">
        <v>2759</v>
      </c>
      <c r="B18">
        <v>16.53285</v>
      </c>
    </row>
    <row r="19" spans="1:2" x14ac:dyDescent="0.25">
      <c r="A19" s="14" t="s">
        <v>5691</v>
      </c>
      <c r="B19">
        <v>313.5580152</v>
      </c>
    </row>
    <row r="20" spans="1:2" x14ac:dyDescent="0.25">
      <c r="A20" s="14" t="s">
        <v>7175</v>
      </c>
      <c r="B20">
        <v>24.595199999999998</v>
      </c>
    </row>
    <row r="21" spans="1:2" x14ac:dyDescent="0.25">
      <c r="A21" s="14" t="s">
        <v>5741</v>
      </c>
      <c r="B21">
        <v>8.4514800000000001</v>
      </c>
    </row>
    <row r="22" spans="1:2" x14ac:dyDescent="0.25">
      <c r="A22" s="14" t="s">
        <v>7588</v>
      </c>
      <c r="B22">
        <v>0.7260000000000002</v>
      </c>
    </row>
    <row r="23" spans="1:2" x14ac:dyDescent="0.25">
      <c r="A23" s="14" t="s">
        <v>6312</v>
      </c>
      <c r="B23">
        <v>2.4750000000000001</v>
      </c>
    </row>
    <row r="24" spans="1:2" x14ac:dyDescent="0.25">
      <c r="A24" s="14" t="s">
        <v>4403</v>
      </c>
      <c r="B24">
        <v>7.2712313999999996</v>
      </c>
    </row>
    <row r="25" spans="1:2" x14ac:dyDescent="0.25">
      <c r="A25" s="14" t="s">
        <v>4858</v>
      </c>
      <c r="B25">
        <v>23.015999999999998</v>
      </c>
    </row>
    <row r="26" spans="1:2" x14ac:dyDescent="0.25">
      <c r="A26" s="14" t="s">
        <v>5411</v>
      </c>
      <c r="B26">
        <v>9.3917000000000002</v>
      </c>
    </row>
    <row r="27" spans="1:2" x14ac:dyDescent="0.25">
      <c r="A27" s="14" t="s">
        <v>5516</v>
      </c>
      <c r="B27">
        <v>1.6910000000000001</v>
      </c>
    </row>
    <row r="28" spans="1:2" x14ac:dyDescent="0.25">
      <c r="A28" s="14" t="s">
        <v>7713</v>
      </c>
    </row>
    <row r="29" spans="1:2" x14ac:dyDescent="0.25">
      <c r="A29" s="14" t="s">
        <v>7714</v>
      </c>
      <c r="B29">
        <v>1120.3546570000001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FD05-2E49-4B76-93F9-E582D1825ECD}">
  <sheetPr>
    <pageSetUpPr fitToPage="1"/>
  </sheetPr>
  <dimension ref="A1:O104"/>
  <sheetViews>
    <sheetView workbookViewId="0">
      <selection activeCell="L100" sqref="L10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</row>
    <row r="2" spans="1:15" ht="15" customHeight="1" x14ac:dyDescent="0.25">
      <c r="B2" s="11" t="s">
        <v>7721</v>
      </c>
      <c r="C2" s="19">
        <v>952.82</v>
      </c>
      <c r="D2" s="32"/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1080.8536569999999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v>11.78</v>
      </c>
      <c r="N24" s="4" t="s">
        <v>6312</v>
      </c>
      <c r="O24" s="22">
        <v>2.4750000000000001</v>
      </c>
    </row>
    <row r="25" spans="1:15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v>1.65</v>
      </c>
    </row>
    <row r="43" spans="1:1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v>0.21782000000000001</v>
      </c>
    </row>
    <row r="47" spans="1:1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v>2.9770650000000001</v>
      </c>
    </row>
    <row r="58" spans="1:1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v>0.12912000000000001</v>
      </c>
    </row>
    <row r="59" spans="1:1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v>0.13343999999999998</v>
      </c>
    </row>
    <row r="60" spans="1:1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29">
        <v>4.3890000000000002</v>
      </c>
      <c r="L67">
        <f>J67*I67/100000</f>
        <v>4.3890000000000002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v>9.4078499999999998</v>
      </c>
    </row>
    <row r="76" spans="1:12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v>1.78101</v>
      </c>
    </row>
    <row r="100" spans="1:1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v>1.6910000000000001</v>
      </c>
    </row>
    <row r="104" spans="1:11" x14ac:dyDescent="0.25">
      <c r="K104">
        <f>SUBTOTAL(9,K5:K103)</f>
        <v>1080.8536569999999</v>
      </c>
    </row>
  </sheetData>
  <autoFilter ref="A4:K103" xr:uid="{1422FD05-2E49-4B76-93F9-E582D1825ECD}"/>
  <mergeCells count="1">
    <mergeCell ref="D1:D3"/>
  </mergeCells>
  <pageMargins left="0.7" right="0.7" top="0.75" bottom="0.75" header="0.3" footer="0.3"/>
  <pageSetup paperSize="9" scale="98" fitToHeight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ABE0-6AD6-4CEF-B17F-CF162F44B0DA}">
  <dimension ref="G6:M16"/>
  <sheetViews>
    <sheetView workbookViewId="0">
      <selection activeCell="G6" sqref="G6:H16"/>
    </sheetView>
  </sheetViews>
  <sheetFormatPr defaultRowHeight="15" x14ac:dyDescent="0.25"/>
  <cols>
    <col min="7" max="7" width="15.5703125" style="2" bestFit="1" customWidth="1"/>
    <col min="8" max="8" width="10.7109375" style="2" customWidth="1"/>
    <col min="10" max="10" width="11.5703125" bestFit="1" customWidth="1"/>
    <col min="11" max="11" width="13.28515625" bestFit="1" customWidth="1"/>
    <col min="12" max="12" width="15" bestFit="1" customWidth="1"/>
  </cols>
  <sheetData>
    <row r="6" spans="7:13" x14ac:dyDescent="0.25">
      <c r="G6" s="7" t="s">
        <v>7725</v>
      </c>
      <c r="H6" s="7" t="s">
        <v>7726</v>
      </c>
    </row>
    <row r="7" spans="7:13" x14ac:dyDescent="0.25">
      <c r="G7" s="7" t="s">
        <v>7724</v>
      </c>
      <c r="H7" s="7">
        <v>6000</v>
      </c>
      <c r="J7">
        <v>8000</v>
      </c>
      <c r="K7" s="30">
        <f t="shared" ref="K7:K16" si="0">H7*20</f>
        <v>120000</v>
      </c>
      <c r="L7" s="30">
        <f>K7*25</f>
        <v>3000000</v>
      </c>
      <c r="M7" s="30">
        <f>-L7*12</f>
        <v>-36000000</v>
      </c>
    </row>
    <row r="8" spans="7:13" x14ac:dyDescent="0.25">
      <c r="G8" s="7">
        <v>420</v>
      </c>
      <c r="H8" s="7">
        <v>3000</v>
      </c>
      <c r="K8" s="30">
        <f t="shared" si="0"/>
        <v>60000</v>
      </c>
      <c r="L8" s="30">
        <f t="shared" ref="L8:L16" si="1">K8*25</f>
        <v>1500000</v>
      </c>
      <c r="M8" s="30">
        <f t="shared" ref="M8:M16" si="2">-L8*12</f>
        <v>-18000000</v>
      </c>
    </row>
    <row r="9" spans="7:13" x14ac:dyDescent="0.25">
      <c r="G9" s="7">
        <v>350</v>
      </c>
      <c r="H9" s="7">
        <v>2500</v>
      </c>
      <c r="K9" s="30">
        <f t="shared" si="0"/>
        <v>50000</v>
      </c>
      <c r="L9" s="30">
        <f t="shared" si="1"/>
        <v>1250000</v>
      </c>
      <c r="M9" s="30">
        <f t="shared" si="2"/>
        <v>-15000000</v>
      </c>
    </row>
    <row r="10" spans="7:13" x14ac:dyDescent="0.25">
      <c r="G10" s="7">
        <v>250</v>
      </c>
      <c r="H10" s="7">
        <v>2000</v>
      </c>
      <c r="K10" s="30">
        <f t="shared" si="0"/>
        <v>40000</v>
      </c>
      <c r="L10" s="30">
        <f t="shared" si="1"/>
        <v>1000000</v>
      </c>
      <c r="M10" s="30">
        <f t="shared" si="2"/>
        <v>-12000000</v>
      </c>
    </row>
    <row r="11" spans="7:13" x14ac:dyDescent="0.25">
      <c r="G11" s="7">
        <v>180</v>
      </c>
      <c r="H11" s="7">
        <v>1800</v>
      </c>
      <c r="K11" s="30">
        <f t="shared" si="0"/>
        <v>36000</v>
      </c>
      <c r="L11" s="30">
        <f t="shared" si="1"/>
        <v>900000</v>
      </c>
      <c r="M11" s="30">
        <f t="shared" si="2"/>
        <v>-10800000</v>
      </c>
    </row>
    <row r="12" spans="7:13" x14ac:dyDescent="0.25">
      <c r="G12" s="7">
        <v>150</v>
      </c>
      <c r="H12" s="7">
        <v>1440</v>
      </c>
      <c r="K12" s="30">
        <f t="shared" si="0"/>
        <v>28800</v>
      </c>
      <c r="L12" s="30">
        <f t="shared" si="1"/>
        <v>720000</v>
      </c>
      <c r="M12" s="30">
        <f t="shared" si="2"/>
        <v>-8640000</v>
      </c>
    </row>
    <row r="13" spans="7:13" x14ac:dyDescent="0.25">
      <c r="G13" s="7">
        <v>125</v>
      </c>
      <c r="H13" s="7">
        <v>1200</v>
      </c>
      <c r="K13" s="30">
        <f t="shared" si="0"/>
        <v>24000</v>
      </c>
      <c r="L13" s="30">
        <f t="shared" si="1"/>
        <v>600000</v>
      </c>
      <c r="M13" s="30">
        <f t="shared" si="2"/>
        <v>-7200000</v>
      </c>
    </row>
    <row r="14" spans="7:13" x14ac:dyDescent="0.25">
      <c r="G14" s="7">
        <v>120</v>
      </c>
      <c r="H14" s="7">
        <v>975</v>
      </c>
      <c r="K14" s="30">
        <f t="shared" si="0"/>
        <v>19500</v>
      </c>
      <c r="L14" s="30">
        <f t="shared" si="1"/>
        <v>487500</v>
      </c>
      <c r="M14" s="30">
        <f t="shared" si="2"/>
        <v>-5850000</v>
      </c>
    </row>
    <row r="15" spans="7:13" x14ac:dyDescent="0.25">
      <c r="G15" s="7">
        <v>100</v>
      </c>
      <c r="H15" s="7">
        <v>975</v>
      </c>
      <c r="K15" s="30">
        <f t="shared" si="0"/>
        <v>19500</v>
      </c>
      <c r="L15" s="30">
        <f t="shared" si="1"/>
        <v>487500</v>
      </c>
      <c r="M15" s="30">
        <f t="shared" si="2"/>
        <v>-5850000</v>
      </c>
    </row>
    <row r="16" spans="7:13" x14ac:dyDescent="0.25">
      <c r="G16" s="7">
        <v>80</v>
      </c>
      <c r="H16" s="7">
        <v>828</v>
      </c>
      <c r="K16" s="30">
        <f t="shared" si="0"/>
        <v>16560</v>
      </c>
      <c r="L16" s="30">
        <f t="shared" si="1"/>
        <v>414000</v>
      </c>
      <c r="M16" s="30">
        <f t="shared" si="2"/>
        <v>-4968000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F88-D444-49BA-A96C-5EDA5E5B2072}">
  <sheetPr>
    <pageSetUpPr fitToPage="1"/>
  </sheetPr>
  <dimension ref="A1:M104"/>
  <sheetViews>
    <sheetView workbookViewId="0">
      <selection activeCell="N10" sqref="N1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7.28515625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13" style="2" customWidth="1"/>
    <col min="13" max="13" width="11.7109375" style="2" customWidth="1"/>
  </cols>
  <sheetData>
    <row r="1" spans="1:13" ht="15.75" customHeight="1" x14ac:dyDescent="0.25">
      <c r="B1" s="11" t="s">
        <v>7720</v>
      </c>
      <c r="C1" s="19">
        <v>167.53</v>
      </c>
      <c r="D1" s="32" t="s">
        <v>7719</v>
      </c>
    </row>
    <row r="2" spans="1:13" ht="15" customHeight="1" x14ac:dyDescent="0.25">
      <c r="B2" s="11" t="s">
        <v>7721</v>
      </c>
      <c r="C2" s="19">
        <v>952.82</v>
      </c>
      <c r="D2" s="32"/>
    </row>
    <row r="3" spans="1:13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1082.6899069999999</v>
      </c>
      <c r="M3" s="31">
        <f>SUM(M5:M103)</f>
        <v>24.889990899999994</v>
      </c>
    </row>
    <row r="4" spans="1:13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L4" s="16" t="s">
        <v>7727</v>
      </c>
      <c r="M4" s="16" t="s">
        <v>7728</v>
      </c>
    </row>
    <row r="5" spans="1:13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f>J5*I5/100000</f>
        <v>1.55975</v>
      </c>
      <c r="L5" s="7"/>
      <c r="M5" s="9">
        <f>L5*I5/100000</f>
        <v>0</v>
      </c>
    </row>
    <row r="6" spans="1:13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f>J6*I6/100000</f>
        <v>4.9487760000000005</v>
      </c>
      <c r="L6" s="7"/>
      <c r="M6" s="9">
        <f t="shared" ref="M6:M69" si="0">L6*I6/100000</f>
        <v>0</v>
      </c>
    </row>
    <row r="7" spans="1:13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f t="shared" ref="K7:K70" si="1">J7*I7/100000</f>
        <v>2.5278399999999999</v>
      </c>
      <c r="L7" s="7"/>
      <c r="M7" s="9">
        <f t="shared" si="0"/>
        <v>0</v>
      </c>
    </row>
    <row r="8" spans="1:13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f t="shared" si="1"/>
        <v>1.2639199999999999</v>
      </c>
      <c r="L8" s="7"/>
      <c r="M8" s="9">
        <f t="shared" si="0"/>
        <v>0</v>
      </c>
    </row>
    <row r="9" spans="1:13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f t="shared" si="1"/>
        <v>16.644342000000002</v>
      </c>
      <c r="L9" s="7"/>
      <c r="M9" s="9">
        <f t="shared" si="0"/>
        <v>0</v>
      </c>
    </row>
    <row r="10" spans="1:13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f t="shared" si="1"/>
        <v>42.469615999999995</v>
      </c>
      <c r="L10" s="7"/>
      <c r="M10" s="9">
        <f t="shared" si="0"/>
        <v>0</v>
      </c>
    </row>
    <row r="11" spans="1:13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f t="shared" si="1"/>
        <v>0.56083499999999997</v>
      </c>
      <c r="L11" s="7"/>
      <c r="M11" s="9">
        <f t="shared" si="0"/>
        <v>0</v>
      </c>
    </row>
    <row r="12" spans="1:13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f t="shared" si="1"/>
        <v>1.6071500000000001</v>
      </c>
      <c r="L12" s="7"/>
      <c r="M12" s="9">
        <f t="shared" si="0"/>
        <v>0</v>
      </c>
    </row>
    <row r="13" spans="1:13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f t="shared" si="1"/>
        <v>4.8493199999999996</v>
      </c>
      <c r="L13" s="7"/>
      <c r="M13" s="9">
        <f t="shared" si="0"/>
        <v>0</v>
      </c>
    </row>
    <row r="14" spans="1:13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f t="shared" si="1"/>
        <v>14.1247288</v>
      </c>
      <c r="L14" s="7"/>
      <c r="M14" s="9">
        <f t="shared" si="0"/>
        <v>0</v>
      </c>
    </row>
    <row r="15" spans="1:13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f t="shared" si="1"/>
        <v>10.374030400000001</v>
      </c>
      <c r="L15" s="7"/>
      <c r="M15" s="9">
        <f t="shared" si="0"/>
        <v>0</v>
      </c>
    </row>
    <row r="16" spans="1:13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f t="shared" si="1"/>
        <v>0.14338800000000002</v>
      </c>
      <c r="L16" s="7"/>
      <c r="M16" s="9">
        <f t="shared" si="0"/>
        <v>0</v>
      </c>
    </row>
    <row r="17" spans="1:13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f t="shared" si="1"/>
        <v>0.1135456</v>
      </c>
      <c r="L17" s="7"/>
      <c r="M17" s="9">
        <f t="shared" si="0"/>
        <v>0</v>
      </c>
    </row>
    <row r="18" spans="1:13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408</v>
      </c>
      <c r="G18" s="7" t="s">
        <v>27</v>
      </c>
      <c r="H18" s="7">
        <v>408</v>
      </c>
      <c r="I18" s="7">
        <v>408</v>
      </c>
      <c r="J18" s="7">
        <v>1625</v>
      </c>
      <c r="K18" s="9">
        <f t="shared" si="1"/>
        <v>6.63</v>
      </c>
      <c r="L18" s="7"/>
      <c r="M18" s="9">
        <f t="shared" si="0"/>
        <v>0</v>
      </c>
    </row>
    <row r="19" spans="1:13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f t="shared" si="1"/>
        <v>5.0688000000000004</v>
      </c>
      <c r="L19" s="7"/>
      <c r="M19" s="9">
        <f t="shared" si="0"/>
        <v>0</v>
      </c>
    </row>
    <row r="20" spans="1:13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f t="shared" si="1"/>
        <v>5.0688000000000004</v>
      </c>
      <c r="L20" s="7"/>
      <c r="M20" s="9">
        <f t="shared" si="0"/>
        <v>0</v>
      </c>
    </row>
    <row r="21" spans="1:13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f t="shared" si="1"/>
        <v>9.6049799999999994</v>
      </c>
      <c r="L21" s="7"/>
      <c r="M21" s="9">
        <f t="shared" si="0"/>
        <v>0</v>
      </c>
    </row>
    <row r="22" spans="1:13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f t="shared" si="1"/>
        <v>9.6049799999999994</v>
      </c>
      <c r="L22" s="7"/>
      <c r="M22" s="9">
        <f t="shared" si="0"/>
        <v>0</v>
      </c>
    </row>
    <row r="23" spans="1:13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f t="shared" si="1"/>
        <v>3.5481600000000002</v>
      </c>
      <c r="L23" s="7"/>
      <c r="M23" s="9">
        <f t="shared" si="0"/>
        <v>0</v>
      </c>
    </row>
    <row r="24" spans="1:13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f t="shared" si="1"/>
        <v>11.78</v>
      </c>
      <c r="L24" s="7">
        <v>210</v>
      </c>
      <c r="M24" s="9">
        <f t="shared" si="0"/>
        <v>2.4738000000000002</v>
      </c>
    </row>
    <row r="25" spans="1:13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f t="shared" si="1"/>
        <v>7.5485099999999999E-2</v>
      </c>
      <c r="L25" s="7"/>
      <c r="M25" s="9">
        <f t="shared" si="0"/>
        <v>0</v>
      </c>
    </row>
    <row r="26" spans="1:13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f t="shared" si="1"/>
        <v>7.6715099999999994E-2</v>
      </c>
      <c r="L26" s="7"/>
      <c r="M26" s="9">
        <f t="shared" si="0"/>
        <v>0</v>
      </c>
    </row>
    <row r="27" spans="1:13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f t="shared" si="1"/>
        <v>71.526945600000005</v>
      </c>
      <c r="L27" s="7">
        <v>1728</v>
      </c>
      <c r="M27" s="9">
        <f t="shared" si="0"/>
        <v>2.7661824000000004</v>
      </c>
    </row>
    <row r="28" spans="1:13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f t="shared" si="1"/>
        <v>9.5555504999999989</v>
      </c>
      <c r="L28" s="7">
        <v>324</v>
      </c>
      <c r="M28" s="9">
        <f t="shared" si="0"/>
        <v>0.47521079999999993</v>
      </c>
    </row>
    <row r="29" spans="1:13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f t="shared" si="1"/>
        <v>38.989286100000001</v>
      </c>
      <c r="L29" s="7">
        <v>900</v>
      </c>
      <c r="M29" s="9">
        <f t="shared" si="0"/>
        <v>1.32003</v>
      </c>
    </row>
    <row r="30" spans="1:13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f t="shared" si="1"/>
        <v>11.9193</v>
      </c>
      <c r="L30" s="7">
        <v>480</v>
      </c>
      <c r="M30" s="9">
        <f t="shared" si="0"/>
        <v>0.3216</v>
      </c>
    </row>
    <row r="31" spans="1:13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f t="shared" si="1"/>
        <v>11.915742000000002</v>
      </c>
      <c r="L31" s="7">
        <v>480</v>
      </c>
      <c r="M31" s="9">
        <f t="shared" si="0"/>
        <v>0.32150400000000001</v>
      </c>
    </row>
    <row r="32" spans="1:13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f t="shared" si="1"/>
        <v>7.4703222000000009</v>
      </c>
      <c r="L32" s="7"/>
      <c r="M32" s="9">
        <f t="shared" si="0"/>
        <v>0</v>
      </c>
    </row>
    <row r="33" spans="1:13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f t="shared" si="1"/>
        <v>7.4131572000000006</v>
      </c>
      <c r="L33" s="7"/>
      <c r="M33" s="9">
        <f t="shared" si="0"/>
        <v>0</v>
      </c>
    </row>
    <row r="34" spans="1:13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f t="shared" si="1"/>
        <v>19.209759999999999</v>
      </c>
      <c r="L34" s="7">
        <v>1080</v>
      </c>
      <c r="M34" s="9">
        <f t="shared" si="0"/>
        <v>0.82079999999999997</v>
      </c>
    </row>
    <row r="35" spans="1:13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f t="shared" si="1"/>
        <v>19.1794288</v>
      </c>
      <c r="L35" s="7">
        <v>1080</v>
      </c>
      <c r="M35" s="9">
        <f t="shared" si="0"/>
        <v>0.8195039999999999</v>
      </c>
    </row>
    <row r="36" spans="1:13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f t="shared" si="1"/>
        <v>6.0719399999999997</v>
      </c>
      <c r="L36" s="7"/>
      <c r="M36" s="9">
        <f t="shared" si="0"/>
        <v>0</v>
      </c>
    </row>
    <row r="37" spans="1:13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f t="shared" si="1"/>
        <v>0.7740575999999999</v>
      </c>
      <c r="L37" s="7">
        <v>120</v>
      </c>
      <c r="M37" s="9">
        <f t="shared" si="0"/>
        <v>8.0351999999999993E-2</v>
      </c>
    </row>
    <row r="38" spans="1:13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f t="shared" si="1"/>
        <v>0.76804640000000002</v>
      </c>
      <c r="L38" s="7">
        <v>120</v>
      </c>
      <c r="M38" s="9">
        <f t="shared" si="0"/>
        <v>7.9727999999999993E-2</v>
      </c>
    </row>
    <row r="39" spans="1:13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f t="shared" si="1"/>
        <v>0.2409375</v>
      </c>
      <c r="L39" s="7"/>
      <c r="M39" s="9">
        <f t="shared" si="0"/>
        <v>0</v>
      </c>
    </row>
    <row r="40" spans="1:13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f t="shared" si="1"/>
        <v>0.2446875</v>
      </c>
      <c r="L40" s="7"/>
      <c r="M40" s="9">
        <f t="shared" si="0"/>
        <v>0</v>
      </c>
    </row>
    <row r="41" spans="1:13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f t="shared" si="1"/>
        <v>16.88466</v>
      </c>
      <c r="L41" s="7">
        <v>312</v>
      </c>
      <c r="M41" s="9">
        <f t="shared" si="0"/>
        <v>0.67538639999999994</v>
      </c>
    </row>
    <row r="42" spans="1:13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f t="shared" si="1"/>
        <v>1.65</v>
      </c>
      <c r="L42" s="7"/>
      <c r="M42" s="9">
        <f t="shared" si="0"/>
        <v>0</v>
      </c>
    </row>
    <row r="43" spans="1:13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f t="shared" si="1"/>
        <v>4.7831000000000001</v>
      </c>
      <c r="L43" s="7"/>
      <c r="M43" s="9">
        <f t="shared" si="0"/>
        <v>0</v>
      </c>
    </row>
    <row r="44" spans="1:13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f t="shared" si="1"/>
        <v>25.766999999999999</v>
      </c>
      <c r="L44" s="7"/>
      <c r="M44" s="9">
        <f t="shared" si="0"/>
        <v>0</v>
      </c>
    </row>
    <row r="45" spans="1:13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f t="shared" si="1"/>
        <v>3.2673000000000001</v>
      </c>
      <c r="L45" s="7"/>
      <c r="M45" s="9">
        <f t="shared" si="0"/>
        <v>0</v>
      </c>
    </row>
    <row r="46" spans="1:13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f t="shared" si="1"/>
        <v>0.21782000000000001</v>
      </c>
      <c r="L46" s="7"/>
      <c r="M46" s="9">
        <f t="shared" si="0"/>
        <v>0</v>
      </c>
    </row>
    <row r="47" spans="1:13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f t="shared" si="1"/>
        <v>5.04</v>
      </c>
      <c r="L47" s="7">
        <v>72</v>
      </c>
      <c r="M47" s="9">
        <f t="shared" si="0"/>
        <v>1.008</v>
      </c>
    </row>
    <row r="48" spans="1:13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f t="shared" si="1"/>
        <v>3.2</v>
      </c>
      <c r="L48" s="7">
        <v>10</v>
      </c>
      <c r="M48" s="9">
        <f t="shared" si="0"/>
        <v>0.8</v>
      </c>
    </row>
    <row r="49" spans="1:13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f t="shared" si="1"/>
        <v>42.86</v>
      </c>
      <c r="L49" s="7">
        <v>1190</v>
      </c>
      <c r="M49" s="9">
        <f t="shared" si="0"/>
        <v>1.275085</v>
      </c>
    </row>
    <row r="50" spans="1:13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f t="shared" si="1"/>
        <v>57.015999999999998</v>
      </c>
      <c r="L50" s="7">
        <v>0</v>
      </c>
      <c r="M50" s="9">
        <f t="shared" si="0"/>
        <v>0</v>
      </c>
    </row>
    <row r="51" spans="1:13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f t="shared" si="1"/>
        <v>22.96</v>
      </c>
      <c r="L51" s="7">
        <v>0</v>
      </c>
      <c r="M51" s="9">
        <f t="shared" si="0"/>
        <v>0</v>
      </c>
    </row>
    <row r="52" spans="1:13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f t="shared" si="1"/>
        <v>27.288</v>
      </c>
      <c r="L52" s="7">
        <v>1000</v>
      </c>
      <c r="M52" s="9">
        <f t="shared" si="0"/>
        <v>1.3644000000000001</v>
      </c>
    </row>
    <row r="53" spans="1:13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f t="shared" si="1"/>
        <v>26.125</v>
      </c>
      <c r="L53" s="7"/>
      <c r="M53" s="9">
        <f t="shared" si="0"/>
        <v>0</v>
      </c>
    </row>
    <row r="54" spans="1:13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f t="shared" si="1"/>
        <v>3.6451499999999992</v>
      </c>
      <c r="L54" s="7"/>
      <c r="M54" s="9">
        <f t="shared" si="0"/>
        <v>0</v>
      </c>
    </row>
    <row r="55" spans="1:13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f t="shared" si="1"/>
        <v>0.65010000000000012</v>
      </c>
      <c r="L55" s="7"/>
      <c r="M55" s="9">
        <f t="shared" si="0"/>
        <v>0</v>
      </c>
    </row>
    <row r="56" spans="1:13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f t="shared" si="1"/>
        <v>2.7174</v>
      </c>
      <c r="L56" s="7"/>
      <c r="M56" s="9">
        <f t="shared" si="0"/>
        <v>0</v>
      </c>
    </row>
    <row r="57" spans="1:13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f t="shared" si="1"/>
        <v>2.9770650000000001</v>
      </c>
      <c r="L57" s="7"/>
      <c r="M57" s="9">
        <f t="shared" si="0"/>
        <v>0</v>
      </c>
    </row>
    <row r="58" spans="1:13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f t="shared" si="1"/>
        <v>0.12912000000000001</v>
      </c>
      <c r="L58" s="7"/>
      <c r="M58" s="9">
        <f t="shared" si="0"/>
        <v>0</v>
      </c>
    </row>
    <row r="59" spans="1:13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f t="shared" si="1"/>
        <v>0.13343999999999998</v>
      </c>
      <c r="L59" s="7"/>
      <c r="M59" s="9">
        <f t="shared" si="0"/>
        <v>0</v>
      </c>
    </row>
    <row r="60" spans="1:13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f t="shared" si="1"/>
        <v>0.33610000000000001</v>
      </c>
      <c r="L60" s="7"/>
      <c r="M60" s="9">
        <f t="shared" si="0"/>
        <v>0</v>
      </c>
    </row>
    <row r="61" spans="1:13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f t="shared" si="1"/>
        <v>3.6480000000000001</v>
      </c>
      <c r="L61" s="7"/>
      <c r="M61" s="9">
        <f t="shared" si="0"/>
        <v>0</v>
      </c>
    </row>
    <row r="62" spans="1:13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f t="shared" si="1"/>
        <v>1.4820000000000002</v>
      </c>
      <c r="L62" s="7"/>
      <c r="M62" s="9">
        <f t="shared" si="0"/>
        <v>0</v>
      </c>
    </row>
    <row r="63" spans="1:13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f t="shared" si="1"/>
        <v>2.5718399999999999</v>
      </c>
      <c r="L63" s="7"/>
      <c r="M63" s="9">
        <f t="shared" si="0"/>
        <v>0</v>
      </c>
    </row>
    <row r="64" spans="1:13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f t="shared" si="1"/>
        <v>4.5462060000000006</v>
      </c>
      <c r="L64" s="7"/>
      <c r="M64" s="9">
        <f t="shared" si="0"/>
        <v>0</v>
      </c>
    </row>
    <row r="65" spans="1:13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f t="shared" si="1"/>
        <v>3.1463999999999999</v>
      </c>
      <c r="L65" s="7"/>
      <c r="M65" s="9">
        <f t="shared" si="0"/>
        <v>0</v>
      </c>
    </row>
    <row r="66" spans="1:13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f t="shared" si="1"/>
        <v>3.00048</v>
      </c>
      <c r="L66" s="7"/>
      <c r="M66" s="9">
        <f t="shared" si="0"/>
        <v>0</v>
      </c>
    </row>
    <row r="67" spans="1:13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9">
        <f t="shared" si="1"/>
        <v>4.3890000000000002</v>
      </c>
      <c r="L67" s="7"/>
      <c r="M67" s="9">
        <f t="shared" si="0"/>
        <v>0</v>
      </c>
    </row>
    <row r="68" spans="1:13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f t="shared" si="1"/>
        <v>0.3135</v>
      </c>
      <c r="L68" s="7"/>
      <c r="M68" s="9">
        <f t="shared" si="0"/>
        <v>0</v>
      </c>
    </row>
    <row r="69" spans="1:13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f t="shared" si="1"/>
        <v>0.17574999999999999</v>
      </c>
      <c r="L69" s="7"/>
      <c r="M69" s="9">
        <f t="shared" si="0"/>
        <v>0</v>
      </c>
    </row>
    <row r="70" spans="1:13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f t="shared" si="1"/>
        <v>2.0710000000000002</v>
      </c>
      <c r="L70" s="7"/>
      <c r="M70" s="9">
        <f t="shared" ref="M70:M103" si="2">L70*I70/100000</f>
        <v>0</v>
      </c>
    </row>
    <row r="71" spans="1:13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f t="shared" ref="K71:K103" si="3">J71*I71/100000</f>
        <v>7.5525000000000002</v>
      </c>
      <c r="L71" s="7"/>
      <c r="M71" s="9">
        <f t="shared" si="2"/>
        <v>0</v>
      </c>
    </row>
    <row r="72" spans="1:13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f t="shared" si="3"/>
        <v>1.6181760000000001</v>
      </c>
      <c r="L72" s="7"/>
      <c r="M72" s="9">
        <f t="shared" si="2"/>
        <v>0</v>
      </c>
    </row>
    <row r="73" spans="1:13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f t="shared" si="3"/>
        <v>34.895000000000003</v>
      </c>
      <c r="L73" s="7">
        <v>3000</v>
      </c>
      <c r="M73" s="9">
        <f t="shared" si="2"/>
        <v>2.0937000000000001</v>
      </c>
    </row>
    <row r="74" spans="1:13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f t="shared" si="3"/>
        <v>7.125</v>
      </c>
      <c r="L74" s="7"/>
      <c r="M74" s="9">
        <f t="shared" si="2"/>
        <v>0</v>
      </c>
    </row>
    <row r="75" spans="1:13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f t="shared" si="3"/>
        <v>9.4078499999999998</v>
      </c>
      <c r="L75" s="7"/>
      <c r="M75" s="9">
        <f t="shared" si="2"/>
        <v>0</v>
      </c>
    </row>
    <row r="76" spans="1:13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f t="shared" si="3"/>
        <v>56.819916799999994</v>
      </c>
      <c r="L76" s="7">
        <v>768</v>
      </c>
      <c r="M76" s="9">
        <f t="shared" si="2"/>
        <v>1.8134015999999999</v>
      </c>
    </row>
    <row r="77" spans="1:13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f t="shared" si="3"/>
        <v>4.9748400000000004</v>
      </c>
      <c r="L77" s="7">
        <v>960</v>
      </c>
      <c r="M77" s="9">
        <f t="shared" si="2"/>
        <v>0.51024000000000003</v>
      </c>
    </row>
    <row r="78" spans="1:13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f t="shared" si="3"/>
        <v>5.1549731999999997</v>
      </c>
      <c r="L78" s="7"/>
      <c r="M78" s="9">
        <f t="shared" si="2"/>
        <v>0</v>
      </c>
    </row>
    <row r="79" spans="1:13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f t="shared" si="3"/>
        <v>27.505939999999999</v>
      </c>
      <c r="L79" s="7">
        <v>0</v>
      </c>
      <c r="M79" s="9">
        <f t="shared" si="2"/>
        <v>0</v>
      </c>
    </row>
    <row r="80" spans="1:13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f t="shared" si="3"/>
        <v>13.079419199999998</v>
      </c>
      <c r="L80" s="7"/>
      <c r="M80" s="9">
        <f t="shared" si="2"/>
        <v>0</v>
      </c>
    </row>
    <row r="81" spans="1:13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f t="shared" si="3"/>
        <v>70.24494399999999</v>
      </c>
      <c r="L81" s="7">
        <v>330</v>
      </c>
      <c r="M81" s="9">
        <f t="shared" si="2"/>
        <v>1.8815609999999998</v>
      </c>
    </row>
    <row r="82" spans="1:13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f t="shared" si="3"/>
        <v>21.682836000000002</v>
      </c>
      <c r="L82" s="7">
        <v>1512</v>
      </c>
      <c r="M82" s="9">
        <f t="shared" si="2"/>
        <v>0.94711680000000009</v>
      </c>
    </row>
    <row r="83" spans="1:13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f t="shared" si="3"/>
        <v>21.294974400000001</v>
      </c>
      <c r="L83" s="7">
        <v>0</v>
      </c>
      <c r="M83" s="9">
        <f t="shared" si="2"/>
        <v>0</v>
      </c>
    </row>
    <row r="84" spans="1:13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f t="shared" si="3"/>
        <v>11.412728799999998</v>
      </c>
      <c r="L84" s="7">
        <v>0</v>
      </c>
      <c r="M84" s="9">
        <f t="shared" si="2"/>
        <v>0</v>
      </c>
    </row>
    <row r="85" spans="1:13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f t="shared" si="3"/>
        <v>8.4545820000000003</v>
      </c>
      <c r="L85" s="7"/>
      <c r="M85" s="9">
        <f t="shared" si="2"/>
        <v>0</v>
      </c>
    </row>
    <row r="86" spans="1:13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f t="shared" si="3"/>
        <v>6.5315807999999995</v>
      </c>
      <c r="L86" s="7"/>
      <c r="M86" s="9">
        <f t="shared" si="2"/>
        <v>0</v>
      </c>
    </row>
    <row r="87" spans="1:13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f t="shared" si="3"/>
        <v>35.327031999999996</v>
      </c>
      <c r="L87" s="7">
        <v>117</v>
      </c>
      <c r="M87" s="9">
        <f t="shared" si="2"/>
        <v>0.3943953</v>
      </c>
    </row>
    <row r="88" spans="1:13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f t="shared" si="3"/>
        <v>31.074247999999997</v>
      </c>
      <c r="L88" s="7">
        <v>336</v>
      </c>
      <c r="M88" s="9">
        <f t="shared" si="2"/>
        <v>0.99627359999999998</v>
      </c>
    </row>
    <row r="89" spans="1:13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f t="shared" si="3"/>
        <v>24.595199999999998</v>
      </c>
      <c r="L89" s="7">
        <v>800</v>
      </c>
      <c r="M89" s="9">
        <f t="shared" si="2"/>
        <v>1.22976</v>
      </c>
    </row>
    <row r="90" spans="1:13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f t="shared" si="3"/>
        <v>2.5336799999999999</v>
      </c>
      <c r="L90" s="7"/>
      <c r="M90" s="9">
        <f t="shared" si="2"/>
        <v>0</v>
      </c>
    </row>
    <row r="91" spans="1:13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f t="shared" si="3"/>
        <v>5.0106000000000002</v>
      </c>
      <c r="L91" s="7"/>
      <c r="M91" s="9">
        <f t="shared" si="2"/>
        <v>0</v>
      </c>
    </row>
    <row r="92" spans="1:13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f t="shared" si="3"/>
        <v>0.90720000000000001</v>
      </c>
      <c r="L92" s="7"/>
      <c r="M92" s="9">
        <f t="shared" si="2"/>
        <v>0</v>
      </c>
    </row>
    <row r="93" spans="1:13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f t="shared" si="3"/>
        <v>0.7260000000000002</v>
      </c>
      <c r="L93" s="7"/>
      <c r="M93" s="9">
        <f t="shared" si="2"/>
        <v>0</v>
      </c>
    </row>
    <row r="94" spans="1:13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f t="shared" si="3"/>
        <v>2.4750000000000001</v>
      </c>
      <c r="L94" s="7"/>
      <c r="M94" s="9">
        <f t="shared" si="2"/>
        <v>0</v>
      </c>
    </row>
    <row r="95" spans="1:13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f t="shared" si="3"/>
        <v>0.92341980000000012</v>
      </c>
      <c r="L95" s="7"/>
      <c r="M95" s="9">
        <f t="shared" si="2"/>
        <v>0</v>
      </c>
    </row>
    <row r="96" spans="1:13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f t="shared" si="3"/>
        <v>0.70036199999999993</v>
      </c>
      <c r="L96" s="7"/>
      <c r="M96" s="9">
        <f t="shared" si="2"/>
        <v>0</v>
      </c>
    </row>
    <row r="97" spans="1:13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f t="shared" si="3"/>
        <v>0.65097360000000004</v>
      </c>
      <c r="L97" s="7"/>
      <c r="M97" s="9">
        <f t="shared" si="2"/>
        <v>0</v>
      </c>
    </row>
    <row r="98" spans="1:13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f t="shared" si="3"/>
        <v>3.2154659999999997</v>
      </c>
      <c r="L98" s="7"/>
      <c r="M98" s="9">
        <f t="shared" si="2"/>
        <v>0</v>
      </c>
    </row>
    <row r="99" spans="1:13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f t="shared" si="3"/>
        <v>1.78101</v>
      </c>
      <c r="L99" s="7"/>
      <c r="M99" s="9">
        <f t="shared" si="2"/>
        <v>0</v>
      </c>
    </row>
    <row r="100" spans="1:13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f t="shared" si="3"/>
        <v>23.015999999999998</v>
      </c>
      <c r="L100" s="7">
        <v>110</v>
      </c>
      <c r="M100" s="9">
        <f t="shared" si="2"/>
        <v>0.42196</v>
      </c>
    </row>
    <row r="101" spans="1:13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f t="shared" si="3"/>
        <v>7.524</v>
      </c>
      <c r="L101" s="7"/>
      <c r="M101" s="9">
        <f t="shared" si="2"/>
        <v>0</v>
      </c>
    </row>
    <row r="102" spans="1:13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f t="shared" si="3"/>
        <v>1.8676999999999999</v>
      </c>
      <c r="L102" s="7"/>
      <c r="M102" s="9">
        <f t="shared" si="2"/>
        <v>0</v>
      </c>
    </row>
    <row r="103" spans="1:13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f t="shared" si="3"/>
        <v>1.6910000000000001</v>
      </c>
      <c r="L103" s="7"/>
      <c r="M103" s="9">
        <f t="shared" si="2"/>
        <v>0</v>
      </c>
    </row>
    <row r="104" spans="1:13" x14ac:dyDescent="0.25">
      <c r="K104">
        <f>SUBTOTAL(9,K5:K103)</f>
        <v>1082.6899069999999</v>
      </c>
      <c r="M104" s="10">
        <f>SUBTOTAL(9,M5:M103)</f>
        <v>24.889990899999994</v>
      </c>
    </row>
  </sheetData>
  <mergeCells count="1">
    <mergeCell ref="D1:D3"/>
  </mergeCells>
  <pageMargins left="0.7" right="0.7" top="0.75" bottom="0.75" header="0.3" footer="0.3"/>
  <pageSetup paperSize="9" scale="73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F2-7B55-42EF-AF82-B660EE6CC27C}">
  <sheetPr filterMode="1"/>
  <dimension ref="A1:O104"/>
  <sheetViews>
    <sheetView workbookViewId="0">
      <selection activeCell="D22" sqref="D22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bestFit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  <c r="E1" s="11" t="s">
        <v>7720</v>
      </c>
      <c r="I1" s="27">
        <f ca="1">SUMIF($E$5:$K$103,"Export",$K$5:$K$103)</f>
        <v>167.53009600000001</v>
      </c>
    </row>
    <row r="2" spans="1:15" ht="15" customHeight="1" x14ac:dyDescent="0.25">
      <c r="B2" s="11" t="s">
        <v>7721</v>
      </c>
      <c r="C2" s="19">
        <v>952.82</v>
      </c>
      <c r="D2" s="32"/>
      <c r="E2" s="11" t="s">
        <v>7721</v>
      </c>
      <c r="I2" s="27">
        <f ca="1">SUMIF($E$5:$K$103,"Domestic",$K$5:$K$103)</f>
        <v>952.82456099999968</v>
      </c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1120.3546569999999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hidden="1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hidden="1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hidden="1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hidden="1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hidden="1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hidden="1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hidden="1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hidden="1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hidden="1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hidden="1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hidden="1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hidden="1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hidden="1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hidden="1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hidden="1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9">
        <v>11.78</v>
      </c>
      <c r="N24" s="4" t="s">
        <v>6312</v>
      </c>
      <c r="O24" s="22">
        <v>2.4750000000000001</v>
      </c>
    </row>
    <row r="25" spans="1:15" hidden="1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hidden="1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hidden="1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hidden="1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hidden="1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hidden="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hidden="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hidden="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hidden="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hidden="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hidden="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hidden="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hidden="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hidden="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hidden="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hidden="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hidden="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9">
        <v>1.65</v>
      </c>
    </row>
    <row r="43" spans="1:11" hidden="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hidden="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hidden="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hidden="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9">
        <v>0.21782000000000001</v>
      </c>
    </row>
    <row r="47" spans="1:11" hidden="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hidden="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hidden="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hidden="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hidden="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hidden="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hidden="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hidden="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hidden="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9">
        <v>2.9770650000000001</v>
      </c>
    </row>
    <row r="58" spans="1:11" hidden="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9">
        <v>0.12912000000000001</v>
      </c>
    </row>
    <row r="59" spans="1:11" hidden="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9">
        <v>0.13343999999999998</v>
      </c>
    </row>
    <row r="60" spans="1:11" hidden="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5">
        <v>1000</v>
      </c>
      <c r="K67" s="26">
        <v>43.89</v>
      </c>
      <c r="L67">
        <f>I67*K67/100000</f>
        <v>0.19263321000000003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hidden="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hidden="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9">
        <v>9.4078499999999998</v>
      </c>
    </row>
    <row r="76" spans="1:12" hidden="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hidden="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hidden="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hidden="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hidden="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hidden="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hidden="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hidden="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hidden="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hidden="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hidden="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hidden="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hidden="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hidden="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hidden="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hidden="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hidden="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7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hidden="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hidden="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hidden="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hidden="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hidden="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7">
        <v>2310</v>
      </c>
      <c r="K99" s="9">
        <v>1.78101</v>
      </c>
    </row>
    <row r="100" spans="1:11" hidden="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9">
        <v>1.6910000000000001</v>
      </c>
    </row>
    <row r="104" spans="1:11" x14ac:dyDescent="0.25">
      <c r="K104">
        <f>SUBTOTAL(9,K5:K103)</f>
        <v>167.53009600000001</v>
      </c>
    </row>
  </sheetData>
  <autoFilter ref="A4:K103" xr:uid="{1422FD05-2E49-4B76-93F9-E582D1825ECD}">
    <filterColumn colId="4">
      <filters>
        <filter val="Export"/>
      </filters>
    </filterColumn>
  </autoFilter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NewSheet1</vt:lpstr>
      <vt:lpstr>Sheet1</vt:lpstr>
      <vt:lpstr>June 2026 Sales plan</vt:lpstr>
      <vt:lpstr>Sheet5</vt:lpstr>
      <vt:lpstr>JUNE sale plan 2026</vt:lpstr>
      <vt:lpstr>Sheet11</vt:lpstr>
      <vt:lpstr>JUNE Plan vs Actual</vt:lpstr>
      <vt:lpstr>JUNE sale plan 2026 (2)</vt:lpstr>
      <vt:lpstr>'JUNE Plan vs Actual'!Print_Area</vt:lpstr>
      <vt:lpstr>'JUNE sale plan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ppc1</cp:lastModifiedBy>
  <cp:lastPrinted>2026-06-04T04:20:18Z</cp:lastPrinted>
  <dcterms:created xsi:type="dcterms:W3CDTF">2026-05-31T06:42:56Z</dcterms:created>
  <dcterms:modified xsi:type="dcterms:W3CDTF">2026-06-08T12:26:18Z</dcterms:modified>
</cp:coreProperties>
</file>