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EBC6039-2726-4E72-8296-3618EFF4D6A3}" xr6:coauthVersionLast="47" xr6:coauthVersionMax="47" xr10:uidLastSave="{00000000-0000-0000-0000-000000000000}"/>
  <bookViews>
    <workbookView xWindow="315" yWindow="30" windowWidth="20175" windowHeight="10770" xr2:uid="{AD522E48-32C2-4B72-99E8-522232F4E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83" i="1" l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O740" i="1"/>
  <c r="P740" i="1" s="1"/>
  <c r="O739" i="1"/>
  <c r="P739" i="1" s="1"/>
  <c r="P738" i="1"/>
  <c r="O738" i="1"/>
  <c r="P737" i="1"/>
  <c r="O737" i="1"/>
  <c r="P736" i="1"/>
  <c r="O736" i="1"/>
  <c r="P735" i="1"/>
  <c r="O735" i="1"/>
  <c r="P734" i="1"/>
  <c r="O734" i="1"/>
  <c r="P733" i="1"/>
  <c r="O733" i="1"/>
  <c r="O732" i="1"/>
  <c r="P732" i="1" s="1"/>
  <c r="O731" i="1"/>
  <c r="P731" i="1" s="1"/>
  <c r="P730" i="1"/>
  <c r="O730" i="1"/>
  <c r="P729" i="1"/>
  <c r="O729" i="1"/>
  <c r="O728" i="1"/>
  <c r="P728" i="1" s="1"/>
  <c r="P727" i="1"/>
  <c r="O727" i="1"/>
  <c r="O726" i="1"/>
  <c r="P726" i="1" s="1"/>
  <c r="P725" i="1"/>
  <c r="O725" i="1"/>
  <c r="O724" i="1"/>
  <c r="P724" i="1" s="1"/>
  <c r="P723" i="1"/>
  <c r="O723" i="1"/>
  <c r="P722" i="1"/>
  <c r="O722" i="1"/>
  <c r="O721" i="1"/>
  <c r="P721" i="1" s="1"/>
  <c r="P720" i="1"/>
  <c r="O720" i="1"/>
  <c r="P719" i="1"/>
  <c r="O719" i="1"/>
  <c r="P718" i="1"/>
  <c r="O718" i="1"/>
  <c r="O717" i="1"/>
  <c r="P717" i="1" s="1"/>
  <c r="P716" i="1"/>
  <c r="P715" i="1"/>
  <c r="P714" i="1"/>
  <c r="P713" i="1"/>
  <c r="P712" i="1"/>
  <c r="P711" i="1"/>
  <c r="O711" i="1"/>
  <c r="O710" i="1"/>
  <c r="P710" i="1" s="1"/>
  <c r="O709" i="1"/>
  <c r="P709" i="1" s="1"/>
  <c r="O708" i="1"/>
  <c r="P708" i="1" s="1"/>
  <c r="P707" i="1"/>
  <c r="O707" i="1"/>
  <c r="O706" i="1"/>
  <c r="P706" i="1" s="1"/>
  <c r="O705" i="1"/>
  <c r="P705" i="1" s="1"/>
  <c r="P704" i="1"/>
  <c r="O704" i="1"/>
  <c r="O703" i="1"/>
  <c r="P703" i="1" s="1"/>
  <c r="O702" i="1"/>
  <c r="P702" i="1" s="1"/>
  <c r="O701" i="1"/>
  <c r="P701" i="1" s="1"/>
  <c r="O700" i="1"/>
  <c r="P700" i="1" s="1"/>
  <c r="P699" i="1"/>
  <c r="O699" i="1"/>
  <c r="P698" i="1"/>
  <c r="O698" i="1"/>
  <c r="P697" i="1"/>
  <c r="O697" i="1"/>
  <c r="P696" i="1"/>
  <c r="O696" i="1"/>
  <c r="P695" i="1"/>
  <c r="O695" i="1"/>
  <c r="O694" i="1"/>
  <c r="P694" i="1" s="1"/>
  <c r="O693" i="1"/>
  <c r="P693" i="1" s="1"/>
  <c r="P692" i="1"/>
  <c r="O692" i="1"/>
  <c r="P691" i="1"/>
  <c r="O691" i="1"/>
  <c r="P690" i="1"/>
  <c r="O690" i="1"/>
  <c r="P689" i="1"/>
  <c r="O689" i="1"/>
  <c r="P688" i="1"/>
  <c r="O688" i="1"/>
  <c r="O687" i="1"/>
  <c r="P687" i="1" s="1"/>
  <c r="P686" i="1"/>
  <c r="O686" i="1"/>
  <c r="O685" i="1"/>
  <c r="P685" i="1" s="1"/>
  <c r="P684" i="1"/>
  <c r="O684" i="1"/>
  <c r="P683" i="1"/>
  <c r="O683" i="1"/>
  <c r="O682" i="1"/>
  <c r="P682" i="1" s="1"/>
  <c r="P681" i="1"/>
  <c r="O681" i="1"/>
  <c r="P680" i="1"/>
  <c r="O680" i="1"/>
  <c r="O679" i="1"/>
  <c r="P679" i="1" s="1"/>
  <c r="O678" i="1"/>
  <c r="P678" i="1" s="1"/>
  <c r="O677" i="1"/>
  <c r="P677" i="1" s="1"/>
  <c r="O676" i="1"/>
  <c r="P676" i="1" s="1"/>
  <c r="P675" i="1"/>
  <c r="O675" i="1"/>
  <c r="P674" i="1"/>
  <c r="O674" i="1"/>
  <c r="O673" i="1"/>
  <c r="P673" i="1" s="1"/>
  <c r="P672" i="1"/>
  <c r="O672" i="1"/>
  <c r="P671" i="1"/>
  <c r="O671" i="1"/>
  <c r="O670" i="1"/>
  <c r="P670" i="1" s="1"/>
  <c r="O669" i="1"/>
  <c r="P669" i="1" s="1"/>
  <c r="O668" i="1"/>
  <c r="P668" i="1" s="1"/>
  <c r="P667" i="1"/>
  <c r="O667" i="1"/>
  <c r="O666" i="1"/>
  <c r="P666" i="1" s="1"/>
  <c r="P665" i="1"/>
  <c r="O665" i="1"/>
  <c r="P664" i="1"/>
  <c r="O664" i="1"/>
  <c r="P663" i="1"/>
  <c r="P662" i="1"/>
  <c r="P661" i="1"/>
  <c r="P660" i="1"/>
  <c r="P659" i="1"/>
  <c r="P658" i="1"/>
  <c r="P657" i="1"/>
  <c r="O657" i="1"/>
  <c r="O656" i="1"/>
  <c r="P656" i="1" s="1"/>
  <c r="P655" i="1"/>
  <c r="P654" i="1"/>
  <c r="P653" i="1"/>
  <c r="P652" i="1"/>
  <c r="O651" i="1"/>
  <c r="P651" i="1" s="1"/>
  <c r="O650" i="1"/>
  <c r="P650" i="1" s="1"/>
  <c r="P649" i="1"/>
  <c r="O648" i="1"/>
  <c r="P648" i="1" s="1"/>
  <c r="O647" i="1"/>
  <c r="P647" i="1" s="1"/>
  <c r="P646" i="1"/>
  <c r="O646" i="1"/>
  <c r="O645" i="1"/>
  <c r="P645" i="1" s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O610" i="1"/>
  <c r="P609" i="1"/>
  <c r="O609" i="1"/>
  <c r="O608" i="1"/>
  <c r="P608" i="1" s="1"/>
  <c r="P607" i="1"/>
  <c r="O607" i="1"/>
  <c r="O606" i="1"/>
  <c r="P606" i="1" s="1"/>
  <c r="P605" i="1"/>
  <c r="O605" i="1"/>
  <c r="P604" i="1"/>
  <c r="O604" i="1"/>
  <c r="O603" i="1"/>
  <c r="P603" i="1" s="1"/>
  <c r="P602" i="1"/>
  <c r="O602" i="1"/>
  <c r="P601" i="1"/>
  <c r="O601" i="1"/>
  <c r="P600" i="1"/>
  <c r="O600" i="1"/>
  <c r="O599" i="1"/>
  <c r="P599" i="1" s="1"/>
  <c r="O598" i="1"/>
  <c r="P598" i="1" s="1"/>
  <c r="O597" i="1"/>
  <c r="P597" i="1" s="1"/>
  <c r="P596" i="1"/>
  <c r="O596" i="1"/>
  <c r="O595" i="1"/>
  <c r="P595" i="1" s="1"/>
  <c r="O594" i="1"/>
  <c r="P594" i="1" s="1"/>
  <c r="O593" i="1"/>
  <c r="P593" i="1" s="1"/>
  <c r="P592" i="1"/>
  <c r="O592" i="1"/>
  <c r="O591" i="1"/>
  <c r="P591" i="1" s="1"/>
  <c r="O590" i="1"/>
  <c r="P590" i="1" s="1"/>
  <c r="O589" i="1"/>
  <c r="P589" i="1" s="1"/>
  <c r="P588" i="1"/>
  <c r="O588" i="1"/>
  <c r="O587" i="1"/>
  <c r="P587" i="1" s="1"/>
  <c r="O586" i="1"/>
  <c r="P586" i="1" s="1"/>
  <c r="O585" i="1"/>
  <c r="P585" i="1" s="1"/>
  <c r="O584" i="1"/>
  <c r="P584" i="1" s="1"/>
  <c r="O583" i="1"/>
  <c r="P583" i="1" s="1"/>
  <c r="O582" i="1"/>
  <c r="P582" i="1" s="1"/>
  <c r="O581" i="1"/>
  <c r="P581" i="1" s="1"/>
  <c r="P580" i="1"/>
  <c r="O580" i="1"/>
  <c r="P579" i="1"/>
  <c r="O579" i="1"/>
  <c r="O578" i="1"/>
  <c r="P578" i="1" s="1"/>
  <c r="O577" i="1"/>
  <c r="P577" i="1" s="1"/>
  <c r="P576" i="1"/>
  <c r="O576" i="1"/>
  <c r="O575" i="1"/>
  <c r="P575" i="1" s="1"/>
  <c r="O574" i="1"/>
  <c r="P574" i="1" s="1"/>
  <c r="O573" i="1"/>
  <c r="P573" i="1" s="1"/>
  <c r="P572" i="1"/>
  <c r="O572" i="1"/>
  <c r="O571" i="1"/>
  <c r="P571" i="1" s="1"/>
  <c r="O570" i="1"/>
  <c r="P570" i="1" s="1"/>
  <c r="O569" i="1"/>
  <c r="P569" i="1" s="1"/>
  <c r="O568" i="1"/>
  <c r="P568" i="1" s="1"/>
  <c r="O567" i="1"/>
  <c r="P567" i="1" s="1"/>
  <c r="O566" i="1"/>
  <c r="P566" i="1" s="1"/>
  <c r="O565" i="1"/>
  <c r="P565" i="1" s="1"/>
  <c r="P564" i="1"/>
  <c r="O564" i="1"/>
  <c r="P563" i="1"/>
  <c r="O563" i="1"/>
  <c r="O562" i="1"/>
  <c r="P562" i="1" s="1"/>
  <c r="P561" i="1"/>
  <c r="O561" i="1"/>
  <c r="P560" i="1"/>
  <c r="O560" i="1"/>
  <c r="O559" i="1"/>
  <c r="P559" i="1" s="1"/>
  <c r="O558" i="1"/>
  <c r="P558" i="1" s="1"/>
  <c r="P557" i="1"/>
  <c r="P556" i="1"/>
  <c r="O556" i="1"/>
  <c r="P555" i="1"/>
  <c r="P554" i="1"/>
  <c r="P553" i="1"/>
  <c r="P552" i="1"/>
  <c r="O551" i="1"/>
  <c r="P551" i="1" s="1"/>
  <c r="P550" i="1"/>
  <c r="O550" i="1"/>
  <c r="P549" i="1"/>
  <c r="O549" i="1"/>
  <c r="P548" i="1"/>
  <c r="O548" i="1"/>
  <c r="O547" i="1"/>
  <c r="P547" i="1" s="1"/>
  <c r="O546" i="1"/>
  <c r="P546" i="1" s="1"/>
  <c r="P545" i="1"/>
  <c r="O545" i="1"/>
  <c r="O544" i="1"/>
  <c r="P544" i="1" s="1"/>
  <c r="O543" i="1"/>
  <c r="P543" i="1" s="1"/>
  <c r="P542" i="1"/>
  <c r="O542" i="1"/>
  <c r="P541" i="1"/>
  <c r="O541" i="1"/>
  <c r="P540" i="1"/>
  <c r="O540" i="1"/>
  <c r="P539" i="1"/>
  <c r="O539" i="1"/>
  <c r="P538" i="1"/>
  <c r="O538" i="1"/>
  <c r="O537" i="1"/>
  <c r="P537" i="1" s="1"/>
  <c r="P536" i="1"/>
  <c r="O536" i="1"/>
  <c r="O535" i="1"/>
  <c r="P535" i="1" s="1"/>
  <c r="P534" i="1"/>
  <c r="O534" i="1"/>
  <c r="P533" i="1"/>
  <c r="O533" i="1"/>
  <c r="O532" i="1"/>
  <c r="P532" i="1" s="1"/>
  <c r="P531" i="1"/>
  <c r="O531" i="1"/>
  <c r="O530" i="1"/>
  <c r="P530" i="1" s="1"/>
  <c r="O529" i="1"/>
  <c r="P529" i="1" s="1"/>
  <c r="P528" i="1"/>
  <c r="O528" i="1"/>
  <c r="O527" i="1"/>
  <c r="P527" i="1" s="1"/>
  <c r="P526" i="1"/>
  <c r="O526" i="1"/>
  <c r="P525" i="1"/>
  <c r="O525" i="1"/>
  <c r="O524" i="1"/>
  <c r="P524" i="1" s="1"/>
  <c r="P523" i="1"/>
  <c r="P522" i="1"/>
  <c r="P521" i="1"/>
  <c r="P520" i="1"/>
  <c r="P519" i="1"/>
  <c r="O519" i="1"/>
  <c r="O518" i="1"/>
  <c r="P518" i="1" s="1"/>
  <c r="P517" i="1"/>
  <c r="O517" i="1"/>
  <c r="P516" i="1"/>
  <c r="O516" i="1"/>
  <c r="O515" i="1"/>
  <c r="P515" i="1" s="1"/>
  <c r="O514" i="1"/>
  <c r="P514" i="1" s="1"/>
  <c r="P513" i="1"/>
  <c r="O513" i="1"/>
  <c r="P512" i="1"/>
  <c r="O512" i="1"/>
  <c r="P511" i="1"/>
  <c r="O511" i="1"/>
  <c r="O510" i="1"/>
  <c r="P510" i="1" s="1"/>
  <c r="P509" i="1"/>
  <c r="O509" i="1"/>
  <c r="O508" i="1"/>
  <c r="P508" i="1" s="1"/>
  <c r="O507" i="1"/>
  <c r="P507" i="1" s="1"/>
  <c r="P506" i="1"/>
  <c r="O506" i="1"/>
  <c r="P505" i="1"/>
  <c r="O505" i="1"/>
  <c r="P504" i="1"/>
  <c r="O504" i="1"/>
  <c r="P503" i="1"/>
  <c r="O503" i="1"/>
  <c r="O502" i="1"/>
  <c r="P502" i="1" s="1"/>
  <c r="P501" i="1"/>
  <c r="O501" i="1"/>
  <c r="P500" i="1"/>
  <c r="O500" i="1"/>
  <c r="O499" i="1"/>
  <c r="P499" i="1" s="1"/>
  <c r="O498" i="1"/>
  <c r="P498" i="1" s="1"/>
  <c r="P497" i="1"/>
  <c r="O497" i="1"/>
  <c r="P496" i="1"/>
  <c r="O496" i="1"/>
  <c r="O495" i="1"/>
  <c r="P495" i="1" s="1"/>
  <c r="O494" i="1"/>
  <c r="P494" i="1" s="1"/>
  <c r="P493" i="1"/>
  <c r="O493" i="1"/>
  <c r="P492" i="1"/>
  <c r="O492" i="1"/>
  <c r="O491" i="1"/>
  <c r="P491" i="1" s="1"/>
  <c r="P490" i="1"/>
  <c r="O490" i="1"/>
  <c r="P489" i="1"/>
  <c r="P488" i="1"/>
  <c r="P487" i="1"/>
  <c r="P486" i="1"/>
  <c r="P485" i="1"/>
  <c r="P484" i="1"/>
  <c r="P483" i="1"/>
  <c r="O482" i="1"/>
  <c r="P482" i="1" s="1"/>
  <c r="O481" i="1"/>
  <c r="P481" i="1" s="1"/>
  <c r="O480" i="1"/>
  <c r="P480" i="1" s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O438" i="1"/>
  <c r="O437" i="1"/>
  <c r="P437" i="1" s="1"/>
  <c r="P436" i="1"/>
  <c r="O436" i="1"/>
  <c r="O435" i="1"/>
  <c r="P435" i="1" s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O421" i="1"/>
  <c r="P421" i="1" s="1"/>
  <c r="O420" i="1"/>
  <c r="P420" i="1" s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O362" i="1"/>
  <c r="P362" i="1" s="1"/>
  <c r="O361" i="1"/>
  <c r="P361" i="1" s="1"/>
  <c r="O360" i="1"/>
  <c r="P360" i="1" s="1"/>
  <c r="P359" i="1"/>
  <c r="O359" i="1"/>
  <c r="P358" i="1"/>
  <c r="O358" i="1"/>
  <c r="P357" i="1"/>
  <c r="O357" i="1"/>
  <c r="O356" i="1"/>
  <c r="P356" i="1" s="1"/>
  <c r="P355" i="1"/>
  <c r="O355" i="1"/>
  <c r="O354" i="1"/>
  <c r="P354" i="1" s="1"/>
  <c r="O353" i="1"/>
  <c r="P353" i="1" s="1"/>
  <c r="P352" i="1"/>
  <c r="O352" i="1"/>
  <c r="P351" i="1"/>
  <c r="O351" i="1"/>
  <c r="P350" i="1"/>
  <c r="O350" i="1"/>
  <c r="O349" i="1"/>
  <c r="P349" i="1" s="1"/>
  <c r="O348" i="1"/>
  <c r="P348" i="1" s="1"/>
  <c r="P347" i="1"/>
  <c r="O347" i="1"/>
  <c r="O346" i="1"/>
  <c r="P346" i="1" s="1"/>
  <c r="O345" i="1"/>
  <c r="P345" i="1" s="1"/>
  <c r="O344" i="1"/>
  <c r="P344" i="1" s="1"/>
  <c r="P343" i="1"/>
  <c r="O343" i="1"/>
  <c r="P342" i="1"/>
  <c r="O342" i="1"/>
  <c r="P341" i="1"/>
  <c r="P340" i="1"/>
  <c r="O339" i="1"/>
  <c r="P339" i="1" s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O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O294" i="1"/>
  <c r="P294" i="1" s="1"/>
  <c r="P293" i="1"/>
  <c r="O293" i="1"/>
  <c r="O292" i="1"/>
  <c r="P292" i="1" s="1"/>
  <c r="P291" i="1"/>
  <c r="O291" i="1"/>
  <c r="P290" i="1"/>
  <c r="O290" i="1"/>
  <c r="O289" i="1"/>
  <c r="P289" i="1" s="1"/>
  <c r="O288" i="1"/>
  <c r="P288" i="1" s="1"/>
  <c r="P287" i="1"/>
  <c r="O287" i="1"/>
  <c r="O286" i="1"/>
  <c r="P286" i="1" s="1"/>
  <c r="O285" i="1"/>
  <c r="P285" i="1" s="1"/>
  <c r="O284" i="1"/>
  <c r="P284" i="1" s="1"/>
  <c r="P283" i="1"/>
  <c r="O283" i="1"/>
  <c r="O282" i="1"/>
  <c r="P282" i="1" s="1"/>
  <c r="O281" i="1"/>
  <c r="P281" i="1" s="1"/>
  <c r="O280" i="1"/>
  <c r="P280" i="1" s="1"/>
  <c r="P279" i="1"/>
  <c r="O279" i="1"/>
  <c r="O278" i="1"/>
  <c r="P278" i="1" s="1"/>
  <c r="P277" i="1"/>
  <c r="O277" i="1"/>
  <c r="P276" i="1"/>
  <c r="P275" i="1"/>
  <c r="O274" i="1"/>
  <c r="P274" i="1" s="1"/>
  <c r="P273" i="1"/>
  <c r="O273" i="1"/>
  <c r="O272" i="1"/>
  <c r="P272" i="1" s="1"/>
  <c r="O271" i="1"/>
  <c r="P271" i="1" s="1"/>
  <c r="O270" i="1"/>
  <c r="P270" i="1" s="1"/>
  <c r="P269" i="1"/>
  <c r="O269" i="1"/>
  <c r="O268" i="1"/>
  <c r="P268" i="1" s="1"/>
  <c r="P267" i="1"/>
  <c r="O267" i="1"/>
  <c r="O266" i="1"/>
  <c r="P266" i="1" s="1"/>
  <c r="P265" i="1"/>
  <c r="O265" i="1"/>
  <c r="P264" i="1"/>
  <c r="O264" i="1"/>
  <c r="O263" i="1"/>
  <c r="P263" i="1" s="1"/>
  <c r="O262" i="1"/>
  <c r="P262" i="1" s="1"/>
  <c r="P261" i="1"/>
  <c r="O261" i="1"/>
  <c r="O260" i="1"/>
  <c r="P260" i="1" s="1"/>
  <c r="O259" i="1"/>
  <c r="P259" i="1" s="1"/>
  <c r="O258" i="1"/>
  <c r="P258" i="1" s="1"/>
  <c r="P257" i="1"/>
  <c r="O257" i="1"/>
  <c r="O256" i="1"/>
  <c r="P256" i="1" s="1"/>
  <c r="O255" i="1"/>
  <c r="P255" i="1" s="1"/>
  <c r="O254" i="1"/>
  <c r="P254" i="1" s="1"/>
  <c r="P253" i="1"/>
  <c r="O253" i="1"/>
  <c r="O252" i="1"/>
  <c r="P252" i="1" s="1"/>
  <c r="P251" i="1"/>
  <c r="P250" i="1"/>
  <c r="P249" i="1"/>
  <c r="O249" i="1"/>
  <c r="P248" i="1"/>
  <c r="P247" i="1"/>
  <c r="P246" i="1"/>
  <c r="P245" i="1"/>
  <c r="P244" i="1"/>
  <c r="P243" i="1"/>
  <c r="O242" i="1"/>
  <c r="P242" i="1" s="1"/>
  <c r="P241" i="1"/>
  <c r="O241" i="1"/>
  <c r="O240" i="1"/>
  <c r="P240" i="1" s="1"/>
  <c r="O239" i="1"/>
  <c r="P239" i="1" s="1"/>
  <c r="O238" i="1"/>
  <c r="P238" i="1" s="1"/>
  <c r="P237" i="1"/>
  <c r="O237" i="1"/>
  <c r="O236" i="1"/>
  <c r="P236" i="1" s="1"/>
  <c r="P235" i="1"/>
  <c r="O235" i="1"/>
  <c r="O234" i="1"/>
  <c r="P234" i="1" s="1"/>
  <c r="P233" i="1"/>
  <c r="O233" i="1"/>
  <c r="P232" i="1"/>
  <c r="O232" i="1"/>
  <c r="P231" i="1"/>
  <c r="O231" i="1"/>
  <c r="O230" i="1"/>
  <c r="P230" i="1" s="1"/>
  <c r="P229" i="1"/>
  <c r="O229" i="1"/>
  <c r="P228" i="1"/>
  <c r="O228" i="1"/>
  <c r="O227" i="1"/>
  <c r="P227" i="1" s="1"/>
  <c r="O226" i="1"/>
  <c r="P226" i="1" s="1"/>
  <c r="P225" i="1"/>
  <c r="P224" i="1"/>
  <c r="P223" i="1"/>
  <c r="P222" i="1"/>
  <c r="P221" i="1"/>
  <c r="O221" i="1"/>
  <c r="P220" i="1"/>
  <c r="O220" i="1"/>
  <c r="O219" i="1"/>
  <c r="P219" i="1" s="1"/>
  <c r="O218" i="1"/>
  <c r="P218" i="1" s="1"/>
  <c r="P217" i="1"/>
  <c r="O217" i="1"/>
  <c r="O216" i="1"/>
  <c r="P216" i="1" s="1"/>
  <c r="O215" i="1"/>
  <c r="P215" i="1" s="1"/>
  <c r="O214" i="1"/>
  <c r="P214" i="1" s="1"/>
  <c r="P213" i="1"/>
  <c r="O213" i="1"/>
  <c r="O212" i="1"/>
  <c r="P212" i="1" s="1"/>
  <c r="P211" i="1"/>
  <c r="O211" i="1"/>
  <c r="O210" i="1"/>
  <c r="P210" i="1" s="1"/>
  <c r="P209" i="1"/>
  <c r="O209" i="1"/>
  <c r="P208" i="1"/>
  <c r="O208" i="1"/>
  <c r="P207" i="1"/>
  <c r="O207" i="1"/>
  <c r="O206" i="1"/>
  <c r="P206" i="1" s="1"/>
  <c r="P205" i="1"/>
  <c r="O205" i="1"/>
  <c r="P204" i="1"/>
  <c r="O204" i="1"/>
  <c r="O203" i="1"/>
  <c r="P203" i="1" s="1"/>
  <c r="O202" i="1"/>
  <c r="P202" i="1" s="1"/>
  <c r="P201" i="1"/>
  <c r="O201" i="1"/>
  <c r="O200" i="1"/>
  <c r="P200" i="1" s="1"/>
  <c r="O199" i="1"/>
  <c r="P199" i="1" s="1"/>
  <c r="O198" i="1"/>
  <c r="P198" i="1" s="1"/>
  <c r="P197" i="1"/>
  <c r="O197" i="1"/>
  <c r="O196" i="1"/>
  <c r="P196" i="1" s="1"/>
  <c r="P195" i="1"/>
  <c r="O195" i="1"/>
  <c r="O194" i="1"/>
  <c r="P194" i="1" s="1"/>
  <c r="P193" i="1"/>
  <c r="O193" i="1"/>
  <c r="P192" i="1"/>
  <c r="O192" i="1"/>
  <c r="P191" i="1"/>
  <c r="O191" i="1"/>
  <c r="P190" i="1"/>
  <c r="P189" i="1"/>
  <c r="P188" i="1"/>
  <c r="P187" i="1"/>
  <c r="P186" i="1"/>
  <c r="P185" i="1"/>
  <c r="O184" i="1"/>
  <c r="P184" i="1" s="1"/>
  <c r="P183" i="1"/>
  <c r="O183" i="1"/>
  <c r="O182" i="1"/>
  <c r="P182" i="1" s="1"/>
  <c r="P181" i="1"/>
  <c r="O181" i="1"/>
  <c r="O180" i="1"/>
  <c r="P180" i="1" s="1"/>
  <c r="P179" i="1"/>
  <c r="O179" i="1"/>
  <c r="P178" i="1"/>
  <c r="O178" i="1"/>
  <c r="P177" i="1"/>
  <c r="O177" i="1"/>
  <c r="P176" i="1"/>
  <c r="P175" i="1"/>
  <c r="P174" i="1"/>
  <c r="P173" i="1"/>
  <c r="P172" i="1"/>
  <c r="P171" i="1"/>
  <c r="P170" i="1"/>
  <c r="P169" i="1"/>
  <c r="O168" i="1"/>
  <c r="P168" i="1" s="1"/>
  <c r="P167" i="1"/>
  <c r="O167" i="1"/>
  <c r="P166" i="1"/>
  <c r="P165" i="1"/>
  <c r="T164" i="1"/>
  <c r="P164" i="1"/>
  <c r="O164" i="1"/>
  <c r="P163" i="1"/>
  <c r="O163" i="1"/>
  <c r="O162" i="1"/>
  <c r="P162" i="1" s="1"/>
  <c r="O161" i="1"/>
  <c r="P161" i="1" s="1"/>
  <c r="P160" i="1"/>
  <c r="O160" i="1"/>
  <c r="O159" i="1"/>
  <c r="P159" i="1" s="1"/>
  <c r="O158" i="1"/>
  <c r="P158" i="1" s="1"/>
  <c r="O157" i="1"/>
  <c r="P157" i="1" s="1"/>
  <c r="O156" i="1"/>
  <c r="P156" i="1" s="1"/>
  <c r="O155" i="1"/>
  <c r="P155" i="1" s="1"/>
  <c r="P154" i="1"/>
  <c r="O154" i="1"/>
  <c r="O153" i="1"/>
  <c r="P153" i="1" s="1"/>
  <c r="O152" i="1"/>
  <c r="P152" i="1" s="1"/>
  <c r="O151" i="1"/>
  <c r="P151" i="1" s="1"/>
  <c r="O150" i="1"/>
  <c r="P150" i="1" s="1"/>
  <c r="O149" i="1"/>
  <c r="P149" i="1" s="1"/>
  <c r="P148" i="1"/>
  <c r="O148" i="1"/>
  <c r="P147" i="1"/>
  <c r="O147" i="1"/>
  <c r="P146" i="1"/>
  <c r="O146" i="1"/>
  <c r="O145" i="1"/>
  <c r="P145" i="1" s="1"/>
  <c r="O144" i="1"/>
  <c r="P144" i="1" s="1"/>
  <c r="O143" i="1"/>
  <c r="P143" i="1" s="1"/>
  <c r="O142" i="1"/>
  <c r="P142" i="1" s="1"/>
  <c r="O141" i="1"/>
  <c r="P141" i="1" s="1"/>
  <c r="P140" i="1"/>
  <c r="O140" i="1"/>
  <c r="P139" i="1"/>
  <c r="O139" i="1"/>
  <c r="P138" i="1"/>
  <c r="O138" i="1"/>
  <c r="O137" i="1"/>
  <c r="P137" i="1" s="1"/>
  <c r="O136" i="1"/>
  <c r="P136" i="1" s="1"/>
  <c r="O135" i="1"/>
  <c r="P135" i="1" s="1"/>
  <c r="O134" i="1"/>
  <c r="P134" i="1" s="1"/>
  <c r="O133" i="1"/>
  <c r="P133" i="1" s="1"/>
  <c r="P132" i="1"/>
  <c r="O131" i="1"/>
  <c r="P131" i="1" s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O106" i="1"/>
  <c r="P106" i="1" s="1"/>
  <c r="P105" i="1"/>
  <c r="P104" i="1"/>
  <c r="P103" i="1"/>
  <c r="P102" i="1"/>
  <c r="P101" i="1"/>
  <c r="P100" i="1"/>
  <c r="P99" i="1"/>
  <c r="P98" i="1"/>
  <c r="P97" i="1"/>
  <c r="O97" i="1"/>
  <c r="P96" i="1"/>
  <c r="O96" i="1"/>
  <c r="P95" i="1"/>
  <c r="O95" i="1"/>
  <c r="O94" i="1"/>
  <c r="P94" i="1" s="1"/>
  <c r="O93" i="1"/>
  <c r="P93" i="1" s="1"/>
  <c r="O92" i="1"/>
  <c r="P92" i="1" s="1"/>
  <c r="O91" i="1"/>
  <c r="P91" i="1" s="1"/>
  <c r="O90" i="1"/>
  <c r="P90" i="1" s="1"/>
  <c r="P89" i="1"/>
  <c r="O89" i="1"/>
  <c r="P88" i="1"/>
  <c r="O88" i="1"/>
  <c r="P87" i="1"/>
  <c r="O87" i="1"/>
  <c r="O86" i="1"/>
  <c r="P86" i="1" s="1"/>
  <c r="O85" i="1"/>
  <c r="P85" i="1" s="1"/>
  <c r="O84" i="1"/>
  <c r="P84" i="1" s="1"/>
  <c r="O83" i="1"/>
  <c r="P83" i="1" s="1"/>
  <c r="O82" i="1"/>
  <c r="P82" i="1" s="1"/>
  <c r="P81" i="1"/>
  <c r="O81" i="1"/>
  <c r="P80" i="1"/>
  <c r="O80" i="1"/>
  <c r="P79" i="1"/>
  <c r="O79" i="1"/>
  <c r="O78" i="1"/>
  <c r="P78" i="1" s="1"/>
  <c r="O77" i="1"/>
  <c r="P77" i="1" s="1"/>
  <c r="O76" i="1"/>
  <c r="P76" i="1" s="1"/>
  <c r="O75" i="1"/>
  <c r="P75" i="1" s="1"/>
  <c r="O74" i="1"/>
  <c r="P74" i="1" s="1"/>
  <c r="P73" i="1"/>
  <c r="O73" i="1"/>
  <c r="P72" i="1"/>
  <c r="O72" i="1"/>
  <c r="P71" i="1"/>
  <c r="O71" i="1"/>
  <c r="O70" i="1"/>
  <c r="P70" i="1" s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O43" i="1"/>
  <c r="P42" i="1"/>
  <c r="O42" i="1"/>
  <c r="P41" i="1"/>
  <c r="O41" i="1"/>
  <c r="O40" i="1"/>
  <c r="P40" i="1" s="1"/>
  <c r="O39" i="1"/>
  <c r="P39" i="1" s="1"/>
  <c r="O38" i="1"/>
  <c r="P38" i="1" s="1"/>
  <c r="O37" i="1"/>
  <c r="P37" i="1" s="1"/>
  <c r="O36" i="1"/>
  <c r="P36" i="1" s="1"/>
  <c r="P35" i="1"/>
  <c r="O35" i="1"/>
  <c r="P34" i="1"/>
  <c r="O34" i="1"/>
  <c r="P33" i="1"/>
  <c r="O33" i="1"/>
  <c r="O32" i="1"/>
  <c r="P32" i="1" s="1"/>
  <c r="O31" i="1"/>
  <c r="P31" i="1" s="1"/>
  <c r="O30" i="1"/>
  <c r="P30" i="1" s="1"/>
  <c r="O29" i="1"/>
  <c r="P29" i="1" s="1"/>
  <c r="O28" i="1"/>
  <c r="P28" i="1" s="1"/>
  <c r="P27" i="1"/>
  <c r="O27" i="1"/>
  <c r="P26" i="1"/>
  <c r="O26" i="1"/>
  <c r="P25" i="1"/>
  <c r="O25" i="1"/>
  <c r="O24" i="1"/>
  <c r="P24" i="1" s="1"/>
  <c r="O23" i="1"/>
  <c r="P23" i="1" s="1"/>
  <c r="O22" i="1"/>
  <c r="P22" i="1" s="1"/>
  <c r="O21" i="1"/>
  <c r="P21" i="1" s="1"/>
  <c r="O20" i="1"/>
  <c r="P20" i="1" s="1"/>
  <c r="P19" i="1"/>
  <c r="O19" i="1"/>
  <c r="P18" i="1"/>
  <c r="O18" i="1"/>
  <c r="P17" i="1"/>
  <c r="O17" i="1"/>
  <c r="O16" i="1"/>
  <c r="P16" i="1" s="1"/>
  <c r="O15" i="1"/>
  <c r="P15" i="1" s="1"/>
  <c r="O14" i="1"/>
  <c r="P14" i="1" s="1"/>
  <c r="O13" i="1"/>
  <c r="P13" i="1" s="1"/>
  <c r="O12" i="1"/>
  <c r="P12" i="1" s="1"/>
  <c r="P11" i="1"/>
  <c r="O11" i="1"/>
  <c r="P10" i="1"/>
  <c r="O10" i="1"/>
  <c r="P9" i="1"/>
  <c r="O9" i="1"/>
  <c r="O8" i="1"/>
  <c r="P8" i="1" s="1"/>
  <c r="O7" i="1"/>
  <c r="P7" i="1" s="1"/>
  <c r="O6" i="1"/>
  <c r="P6" i="1" s="1"/>
  <c r="O5" i="1"/>
  <c r="P5" i="1" s="1"/>
  <c r="O4" i="1"/>
  <c r="P4" i="1" s="1"/>
  <c r="P3" i="1"/>
  <c r="O3" i="1"/>
  <c r="P2" i="1"/>
  <c r="O2" i="1"/>
</calcChain>
</file>

<file path=xl/sharedStrings.xml><?xml version="1.0" encoding="utf-8"?>
<sst xmlns="http://schemas.openxmlformats.org/spreadsheetml/2006/main" count="9405" uniqueCount="2132">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</sst>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0F75-9B1C-4E43-ABCC-60CA0D4C8179}">
  <dimension ref="A1:U783"/>
  <sheetViews>
    <sheetView tabSelected="1" topLeftCell="J1" workbookViewId="0">
      <selection activeCell="W12" sqref="W12"/>
    </sheetView>
  </sheetViews>
  <sheetFormatPr defaultRowHeight="15" x14ac:dyDescent="0.25"/>
  <cols>
    <col min="1" max="1" width="15.28515625" bestFit="1" customWidth="1"/>
    <col min="2" max="2" width="10.42578125" bestFit="1" customWidth="1"/>
    <col min="18" max="19" width="10.42578125" bestFit="1" customWidth="1"/>
    <col min="20" max="20" width="8.42578125" bestFit="1" customWidth="1"/>
  </cols>
  <sheetData>
    <row r="1" spans="1:2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/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/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/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/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/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311.60000000000002</v>
      </c>
      <c r="N7" s="6" t="s">
        <v>29</v>
      </c>
      <c r="O7" s="6">
        <f t="shared" si="0"/>
        <v>311.60000000000002</v>
      </c>
      <c r="P7" s="6">
        <f t="shared" si="1"/>
        <v>311.60000000000002</v>
      </c>
      <c r="Q7" s="6" t="s">
        <v>30</v>
      </c>
      <c r="R7" s="7">
        <v>46151</v>
      </c>
      <c r="S7" s="7">
        <v>401768</v>
      </c>
      <c r="T7" s="6"/>
      <c r="U7" s="8"/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/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/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/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/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/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/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/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/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/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/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/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/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/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/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/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/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/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/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/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/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/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/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/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/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/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/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/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/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/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/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/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/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/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/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/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/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2">O44*M44</f>
        <v>674.3</v>
      </c>
      <c r="Q44" s="6" t="s">
        <v>30</v>
      </c>
      <c r="R44" s="7">
        <v>43004</v>
      </c>
      <c r="S44" s="7">
        <v>401768</v>
      </c>
      <c r="T44" s="6"/>
      <c r="U44" s="8"/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2"/>
        <v>322.3</v>
      </c>
      <c r="Q45" s="6" t="s">
        <v>30</v>
      </c>
      <c r="R45" s="7">
        <v>41422</v>
      </c>
      <c r="S45" s="7">
        <v>401768</v>
      </c>
      <c r="T45" s="6"/>
      <c r="U45" s="8"/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2"/>
        <v>950</v>
      </c>
      <c r="Q46" s="6" t="s">
        <v>30</v>
      </c>
      <c r="R46" s="7">
        <v>43880</v>
      </c>
      <c r="S46" s="7">
        <v>401768</v>
      </c>
      <c r="T46" s="6"/>
      <c r="U46" s="8"/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2"/>
        <v>950</v>
      </c>
      <c r="Q47" s="6" t="s">
        <v>30</v>
      </c>
      <c r="R47" s="7">
        <v>43880</v>
      </c>
      <c r="S47" s="7">
        <v>401768</v>
      </c>
      <c r="T47" s="6"/>
      <c r="U47" s="8"/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2"/>
        <v>300.3</v>
      </c>
      <c r="Q48" s="6" t="s">
        <v>30</v>
      </c>
      <c r="R48" s="7">
        <v>41275</v>
      </c>
      <c r="S48" s="7">
        <v>401768</v>
      </c>
      <c r="T48" s="6"/>
      <c r="U48" s="8"/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2"/>
        <v>311.3</v>
      </c>
      <c r="Q49" s="6" t="s">
        <v>30</v>
      </c>
      <c r="R49" s="7">
        <v>41275</v>
      </c>
      <c r="S49" s="7">
        <v>401768</v>
      </c>
      <c r="T49" s="6"/>
      <c r="U49" s="8"/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2"/>
        <v>319</v>
      </c>
      <c r="Q50" s="6" t="s">
        <v>30</v>
      </c>
      <c r="R50" s="7">
        <v>41275</v>
      </c>
      <c r="S50" s="7">
        <v>401768</v>
      </c>
      <c r="T50" s="6"/>
      <c r="U50" s="8"/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2"/>
        <v>328.90000000000003</v>
      </c>
      <c r="Q51" s="6" t="s">
        <v>30</v>
      </c>
      <c r="R51" s="7">
        <v>41275</v>
      </c>
      <c r="S51" s="7">
        <v>401768</v>
      </c>
      <c r="T51" s="6"/>
      <c r="U51" s="8"/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2"/>
        <v>720.5</v>
      </c>
      <c r="Q52" s="6" t="s">
        <v>30</v>
      </c>
      <c r="R52" s="7">
        <v>42525</v>
      </c>
      <c r="S52" s="7">
        <v>401768</v>
      </c>
      <c r="T52" s="6"/>
      <c r="U52" s="8"/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2"/>
        <v>35.200000000000003</v>
      </c>
      <c r="Q53" s="6" t="s">
        <v>30</v>
      </c>
      <c r="R53" s="7">
        <v>41275</v>
      </c>
      <c r="S53" s="7">
        <v>401768</v>
      </c>
      <c r="T53" s="6"/>
      <c r="U53" s="8"/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2"/>
        <v>97.9</v>
      </c>
      <c r="Q54" s="6" t="s">
        <v>30</v>
      </c>
      <c r="R54" s="7">
        <v>41370</v>
      </c>
      <c r="S54" s="7">
        <v>401768</v>
      </c>
      <c r="T54" s="6"/>
      <c r="U54" s="8"/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2"/>
        <v>1166</v>
      </c>
      <c r="Q55" s="6" t="s">
        <v>30</v>
      </c>
      <c r="R55" s="7">
        <v>41275</v>
      </c>
      <c r="S55" s="7">
        <v>401768</v>
      </c>
      <c r="T55" s="6"/>
      <c r="U55" s="8"/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4.4800000000000004</v>
      </c>
      <c r="N56" s="6" t="s">
        <v>151</v>
      </c>
      <c r="O56" s="6">
        <v>110</v>
      </c>
      <c r="P56" s="6">
        <f t="shared" si="2"/>
        <v>492.80000000000007</v>
      </c>
      <c r="Q56" s="6" t="s">
        <v>30</v>
      </c>
      <c r="R56" s="7">
        <v>41551</v>
      </c>
      <c r="S56" s="7">
        <v>401768</v>
      </c>
      <c r="T56" s="6"/>
      <c r="U56" s="8"/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2"/>
        <v>95.7</v>
      </c>
      <c r="Q57" s="6" t="s">
        <v>30</v>
      </c>
      <c r="R57" s="7">
        <v>41550</v>
      </c>
      <c r="S57" s="7">
        <v>401768</v>
      </c>
      <c r="T57" s="6"/>
      <c r="U57" s="8"/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2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/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2"/>
        <v>101.2</v>
      </c>
      <c r="Q59" s="6" t="s">
        <v>30</v>
      </c>
      <c r="R59" s="7">
        <v>44497</v>
      </c>
      <c r="S59" s="7">
        <v>401768</v>
      </c>
      <c r="T59" s="6"/>
      <c r="U59" s="8"/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2"/>
        <v>94.6</v>
      </c>
      <c r="Q60" s="6" t="s">
        <v>30</v>
      </c>
      <c r="R60" s="7">
        <v>41550</v>
      </c>
      <c r="S60" s="7">
        <v>401768</v>
      </c>
      <c r="T60" s="6"/>
      <c r="U60" s="8"/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2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/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0.57999999999999996</v>
      </c>
      <c r="N62" s="6" t="s">
        <v>151</v>
      </c>
      <c r="O62" s="6">
        <v>110</v>
      </c>
      <c r="P62" s="6">
        <f t="shared" si="2"/>
        <v>63.8</v>
      </c>
      <c r="Q62" s="6" t="s">
        <v>30</v>
      </c>
      <c r="R62" s="7">
        <v>45525</v>
      </c>
      <c r="S62" s="7">
        <v>401768</v>
      </c>
      <c r="T62" s="6"/>
      <c r="U62" s="8"/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2"/>
        <v>88</v>
      </c>
      <c r="Q63" s="6" t="s">
        <v>30</v>
      </c>
      <c r="R63" s="7">
        <v>45525</v>
      </c>
      <c r="S63" s="7">
        <v>401768</v>
      </c>
      <c r="T63" s="6"/>
      <c r="U63" s="8"/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4.9000000000000004</v>
      </c>
      <c r="N64" s="6" t="s">
        <v>151</v>
      </c>
      <c r="O64" s="6">
        <v>110</v>
      </c>
      <c r="P64" s="6">
        <f t="shared" si="2"/>
        <v>539</v>
      </c>
      <c r="Q64" s="6" t="s">
        <v>30</v>
      </c>
      <c r="R64" s="7">
        <v>45566</v>
      </c>
      <c r="S64" s="7">
        <v>401768</v>
      </c>
      <c r="T64" s="6"/>
      <c r="U64" s="8"/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0.57999999999999996</v>
      </c>
      <c r="N65" s="6" t="s">
        <v>151</v>
      </c>
      <c r="O65" s="6">
        <v>110</v>
      </c>
      <c r="P65" s="6">
        <f t="shared" si="2"/>
        <v>63.8</v>
      </c>
      <c r="Q65" s="6" t="s">
        <v>30</v>
      </c>
      <c r="R65" s="7">
        <v>45566</v>
      </c>
      <c r="S65" s="7">
        <v>401768</v>
      </c>
      <c r="T65" s="6"/>
      <c r="U65" s="8"/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2"/>
        <v>88</v>
      </c>
      <c r="Q66" s="6" t="s">
        <v>30</v>
      </c>
      <c r="R66" s="7">
        <v>45566</v>
      </c>
      <c r="S66" s="7">
        <v>401768</v>
      </c>
      <c r="T66" s="6"/>
      <c r="U66" s="8"/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4.9000000000000004</v>
      </c>
      <c r="N67" s="6" t="s">
        <v>151</v>
      </c>
      <c r="O67" s="6">
        <v>110</v>
      </c>
      <c r="P67" s="6">
        <f t="shared" si="2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/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4.9000000000000004</v>
      </c>
      <c r="N68" s="6" t="s">
        <v>151</v>
      </c>
      <c r="O68" s="6">
        <v>110</v>
      </c>
      <c r="P68" s="6">
        <f t="shared" si="2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/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2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/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3">M70</f>
        <v>405</v>
      </c>
      <c r="P70" s="6">
        <f t="shared" ref="P70:P97" si="4">O70</f>
        <v>405</v>
      </c>
      <c r="Q70" s="6" t="s">
        <v>30</v>
      </c>
      <c r="R70" s="7">
        <v>45156</v>
      </c>
      <c r="S70" s="7">
        <v>401768</v>
      </c>
      <c r="T70" s="6"/>
      <c r="U70" s="8"/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3"/>
        <v>30</v>
      </c>
      <c r="P71" s="6">
        <f t="shared" si="4"/>
        <v>30</v>
      </c>
      <c r="Q71" s="6" t="s">
        <v>30</v>
      </c>
      <c r="R71" s="7">
        <v>45546</v>
      </c>
      <c r="S71" s="7">
        <v>401768</v>
      </c>
      <c r="T71" s="6"/>
      <c r="U71" s="8"/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3"/>
        <v>40</v>
      </c>
      <c r="P72" s="6">
        <f t="shared" si="4"/>
        <v>40</v>
      </c>
      <c r="Q72" s="6" t="s">
        <v>30</v>
      </c>
      <c r="R72" s="7">
        <v>45719</v>
      </c>
      <c r="S72" s="7">
        <v>401768</v>
      </c>
      <c r="T72" s="6"/>
      <c r="U72" s="8"/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3"/>
        <v>40</v>
      </c>
      <c r="P73" s="6">
        <f t="shared" si="4"/>
        <v>40</v>
      </c>
      <c r="Q73" s="6" t="s">
        <v>30</v>
      </c>
      <c r="R73" s="7">
        <v>45719</v>
      </c>
      <c r="S73" s="7">
        <v>401768</v>
      </c>
      <c r="T73" s="6"/>
      <c r="U73" s="8"/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3"/>
        <v>200.19</v>
      </c>
      <c r="P74" s="6">
        <f t="shared" si="4"/>
        <v>200.19</v>
      </c>
      <c r="Q74" s="6" t="s">
        <v>30</v>
      </c>
      <c r="R74" s="7">
        <v>44474</v>
      </c>
      <c r="S74" s="7">
        <v>401768</v>
      </c>
      <c r="T74" s="6"/>
      <c r="U74" s="8"/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3"/>
        <v>40.14</v>
      </c>
      <c r="P75" s="6">
        <f t="shared" si="4"/>
        <v>40.14</v>
      </c>
      <c r="Q75" s="6" t="s">
        <v>30</v>
      </c>
      <c r="R75" s="7">
        <v>44474</v>
      </c>
      <c r="S75" s="7">
        <v>401768</v>
      </c>
      <c r="T75" s="6"/>
      <c r="U75" s="8"/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3"/>
        <v>70.94</v>
      </c>
      <c r="P76" s="6">
        <f t="shared" si="4"/>
        <v>70.94</v>
      </c>
      <c r="Q76" s="6" t="s">
        <v>30</v>
      </c>
      <c r="R76" s="7">
        <v>44474</v>
      </c>
      <c r="S76" s="7">
        <v>401768</v>
      </c>
      <c r="T76" s="6"/>
      <c r="U76" s="8"/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3"/>
        <v>77.42</v>
      </c>
      <c r="P77" s="6">
        <f t="shared" si="4"/>
        <v>77.42</v>
      </c>
      <c r="Q77" s="6" t="s">
        <v>30</v>
      </c>
      <c r="R77" s="7">
        <v>44777</v>
      </c>
      <c r="S77" s="7">
        <v>401768</v>
      </c>
      <c r="T77" s="6"/>
      <c r="U77" s="8"/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71.900000000000006</v>
      </c>
      <c r="N78" s="6" t="s">
        <v>29</v>
      </c>
      <c r="O78" s="6">
        <f t="shared" si="3"/>
        <v>71.900000000000006</v>
      </c>
      <c r="P78" s="6">
        <f t="shared" si="4"/>
        <v>71.900000000000006</v>
      </c>
      <c r="Q78" s="6" t="s">
        <v>30</v>
      </c>
      <c r="R78" s="7">
        <v>44474</v>
      </c>
      <c r="S78" s="7">
        <v>401768</v>
      </c>
      <c r="T78" s="6"/>
      <c r="U78" s="8"/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78.260000000000005</v>
      </c>
      <c r="N79" s="6" t="s">
        <v>29</v>
      </c>
      <c r="O79" s="6">
        <f t="shared" si="3"/>
        <v>78.260000000000005</v>
      </c>
      <c r="P79" s="6">
        <f t="shared" si="4"/>
        <v>78.260000000000005</v>
      </c>
      <c r="Q79" s="6" t="s">
        <v>30</v>
      </c>
      <c r="R79" s="7">
        <v>44474</v>
      </c>
      <c r="S79" s="7">
        <v>401768</v>
      </c>
      <c r="T79" s="6"/>
      <c r="U79" s="8"/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79.260000000000005</v>
      </c>
      <c r="N80" s="6" t="s">
        <v>29</v>
      </c>
      <c r="O80" s="6">
        <f t="shared" si="3"/>
        <v>79.260000000000005</v>
      </c>
      <c r="P80" s="6">
        <f t="shared" si="4"/>
        <v>79.260000000000005</v>
      </c>
      <c r="Q80" s="6" t="s">
        <v>30</v>
      </c>
      <c r="R80" s="7">
        <v>44474</v>
      </c>
      <c r="S80" s="7">
        <v>401768</v>
      </c>
      <c r="T80" s="6"/>
      <c r="U80" s="8"/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3"/>
        <v>21.94</v>
      </c>
      <c r="P81" s="6">
        <f t="shared" si="4"/>
        <v>21.94</v>
      </c>
      <c r="Q81" s="6" t="s">
        <v>30</v>
      </c>
      <c r="R81" s="7">
        <v>44474</v>
      </c>
      <c r="S81" s="7">
        <v>401768</v>
      </c>
      <c r="T81" s="6"/>
      <c r="U81" s="8"/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3"/>
        <v>70.45</v>
      </c>
      <c r="P82" s="6">
        <f t="shared" si="4"/>
        <v>70.45</v>
      </c>
      <c r="Q82" s="6" t="s">
        <v>30</v>
      </c>
      <c r="R82" s="7">
        <v>44474</v>
      </c>
      <c r="S82" s="7">
        <v>401768</v>
      </c>
      <c r="T82" s="6"/>
      <c r="U82" s="8"/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3"/>
        <v>72.58</v>
      </c>
      <c r="P83" s="6">
        <f t="shared" si="4"/>
        <v>72.58</v>
      </c>
      <c r="Q83" s="6" t="s">
        <v>30</v>
      </c>
      <c r="R83" s="7">
        <v>44474</v>
      </c>
      <c r="S83" s="7">
        <v>401768</v>
      </c>
      <c r="T83" s="6"/>
      <c r="U83" s="8"/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3"/>
        <v>405</v>
      </c>
      <c r="P84" s="6">
        <f t="shared" si="4"/>
        <v>405</v>
      </c>
      <c r="Q84" s="6" t="s">
        <v>30</v>
      </c>
      <c r="R84" s="7">
        <v>45104</v>
      </c>
      <c r="S84" s="7">
        <v>401768</v>
      </c>
      <c r="T84" s="6"/>
      <c r="U84" s="8"/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3"/>
        <v>68.56</v>
      </c>
      <c r="P85" s="6">
        <f t="shared" si="4"/>
        <v>68.56</v>
      </c>
      <c r="Q85" s="6" t="s">
        <v>30</v>
      </c>
      <c r="R85" s="7">
        <v>44474</v>
      </c>
      <c r="S85" s="7">
        <v>401768</v>
      </c>
      <c r="T85" s="6"/>
      <c r="U85" s="8"/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306.39999999999998</v>
      </c>
      <c r="N86" s="6" t="s">
        <v>29</v>
      </c>
      <c r="O86" s="6">
        <f t="shared" si="3"/>
        <v>306.39999999999998</v>
      </c>
      <c r="P86" s="6">
        <f t="shared" si="4"/>
        <v>306.39999999999998</v>
      </c>
      <c r="Q86" s="6" t="s">
        <v>30</v>
      </c>
      <c r="R86" s="7">
        <v>44474</v>
      </c>
      <c r="S86" s="7">
        <v>401768</v>
      </c>
      <c r="T86" s="6"/>
      <c r="U86" s="8"/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3"/>
        <v>60.16</v>
      </c>
      <c r="P87" s="6">
        <f t="shared" si="4"/>
        <v>60.16</v>
      </c>
      <c r="Q87" s="6" t="s">
        <v>30</v>
      </c>
      <c r="R87" s="7">
        <v>44474</v>
      </c>
      <c r="S87" s="7">
        <v>401768</v>
      </c>
      <c r="T87" s="6"/>
      <c r="U87" s="8"/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3"/>
        <v>60.16</v>
      </c>
      <c r="P88" s="6">
        <f t="shared" si="4"/>
        <v>60.16</v>
      </c>
      <c r="Q88" s="6" t="s">
        <v>30</v>
      </c>
      <c r="R88" s="7">
        <v>44474</v>
      </c>
      <c r="S88" s="7">
        <v>401768</v>
      </c>
      <c r="T88" s="6"/>
      <c r="U88" s="8"/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3"/>
        <v>84.55</v>
      </c>
      <c r="P89" s="6">
        <f t="shared" si="4"/>
        <v>84.55</v>
      </c>
      <c r="Q89" s="6" t="s">
        <v>30</v>
      </c>
      <c r="R89" s="7">
        <v>44474</v>
      </c>
      <c r="S89" s="7">
        <v>401768</v>
      </c>
      <c r="T89" s="6"/>
      <c r="U89" s="8"/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3"/>
        <v>300</v>
      </c>
      <c r="P90" s="6">
        <f t="shared" si="4"/>
        <v>300</v>
      </c>
      <c r="Q90" s="6" t="s">
        <v>30</v>
      </c>
      <c r="R90" s="7">
        <v>43645</v>
      </c>
      <c r="S90" s="7">
        <v>401768</v>
      </c>
      <c r="T90" s="6"/>
      <c r="U90" s="8"/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3"/>
        <v>74.25</v>
      </c>
      <c r="P91" s="6">
        <f t="shared" si="4"/>
        <v>74.25</v>
      </c>
      <c r="Q91" s="6" t="s">
        <v>30</v>
      </c>
      <c r="R91" s="7">
        <v>44474</v>
      </c>
      <c r="S91" s="7">
        <v>401768</v>
      </c>
      <c r="T91" s="6"/>
      <c r="U91" s="8"/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3"/>
        <v>60.21</v>
      </c>
      <c r="P92" s="6">
        <f t="shared" si="4"/>
        <v>60.21</v>
      </c>
      <c r="Q92" s="6" t="s">
        <v>30</v>
      </c>
      <c r="R92" s="7">
        <v>44474</v>
      </c>
      <c r="S92" s="7">
        <v>401768</v>
      </c>
      <c r="T92" s="6"/>
      <c r="U92" s="8"/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3"/>
        <v>1700000</v>
      </c>
      <c r="P93" s="6">
        <f t="shared" si="4"/>
        <v>1700000</v>
      </c>
      <c r="Q93" s="6" t="s">
        <v>30</v>
      </c>
      <c r="R93" s="7">
        <v>44011</v>
      </c>
      <c r="S93" s="7">
        <v>401768</v>
      </c>
      <c r="T93" s="6"/>
      <c r="U93" s="8"/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3"/>
        <v>900000</v>
      </c>
      <c r="P94" s="6">
        <f t="shared" si="4"/>
        <v>900000</v>
      </c>
      <c r="Q94" s="6" t="s">
        <v>30</v>
      </c>
      <c r="R94" s="7">
        <v>44011</v>
      </c>
      <c r="S94" s="7">
        <v>401768</v>
      </c>
      <c r="T94" s="6"/>
      <c r="U94" s="8"/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3"/>
        <v>900000</v>
      </c>
      <c r="P95" s="6">
        <f t="shared" si="4"/>
        <v>900000</v>
      </c>
      <c r="Q95" s="6" t="s">
        <v>30</v>
      </c>
      <c r="R95" s="7">
        <v>44011</v>
      </c>
      <c r="S95" s="7">
        <v>401768</v>
      </c>
      <c r="T95" s="6"/>
      <c r="U95" s="8"/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3"/>
        <v>18672</v>
      </c>
      <c r="P96" s="6">
        <f t="shared" si="4"/>
        <v>18672</v>
      </c>
      <c r="Q96" s="6" t="s">
        <v>30</v>
      </c>
      <c r="R96" s="7">
        <v>44929</v>
      </c>
      <c r="S96" s="7">
        <v>401768</v>
      </c>
      <c r="T96" s="6"/>
      <c r="U96" s="8"/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3"/>
        <v>18672</v>
      </c>
      <c r="P97" s="6">
        <f t="shared" si="4"/>
        <v>18672</v>
      </c>
      <c r="Q97" s="6" t="s">
        <v>30</v>
      </c>
      <c r="R97" s="7">
        <v>44930</v>
      </c>
      <c r="S97" s="7">
        <v>401768</v>
      </c>
      <c r="T97" s="6"/>
      <c r="U97" s="8"/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2"/>
        <v>660</v>
      </c>
      <c r="Q98" s="6" t="s">
        <v>30</v>
      </c>
      <c r="R98" s="7">
        <v>45434</v>
      </c>
      <c r="S98" s="7">
        <v>401768</v>
      </c>
      <c r="T98" s="6"/>
      <c r="U98" s="8"/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2"/>
        <v>55</v>
      </c>
      <c r="Q99" s="6" t="s">
        <v>30</v>
      </c>
      <c r="R99" s="7">
        <v>45493</v>
      </c>
      <c r="S99" s="7">
        <v>401768</v>
      </c>
      <c r="T99" s="6"/>
      <c r="U99" s="8"/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2"/>
        <v>55</v>
      </c>
      <c r="Q100" s="6" t="s">
        <v>30</v>
      </c>
      <c r="R100" s="7">
        <v>45493</v>
      </c>
      <c r="S100" s="7">
        <v>401768</v>
      </c>
      <c r="T100" s="6"/>
      <c r="U100" s="8"/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2"/>
        <v>660</v>
      </c>
      <c r="Q101" s="6" t="s">
        <v>30</v>
      </c>
      <c r="R101" s="7">
        <v>45716</v>
      </c>
      <c r="S101" s="7">
        <v>401768</v>
      </c>
      <c r="T101" s="6"/>
      <c r="U101" s="8"/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2"/>
        <v>0</v>
      </c>
      <c r="Q102" s="6" t="s">
        <v>30</v>
      </c>
      <c r="R102" s="7">
        <v>45718</v>
      </c>
      <c r="S102" s="7">
        <v>45718</v>
      </c>
      <c r="T102" s="6"/>
      <c r="U102" s="8"/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2"/>
        <v>660</v>
      </c>
      <c r="Q103" s="6" t="s">
        <v>30</v>
      </c>
      <c r="R103" s="7">
        <v>45775</v>
      </c>
      <c r="S103" s="7">
        <v>401768</v>
      </c>
      <c r="T103" s="6"/>
      <c r="U103" s="8"/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2"/>
        <v>55</v>
      </c>
      <c r="Q104" s="6" t="s">
        <v>30</v>
      </c>
      <c r="R104" s="7">
        <v>45719</v>
      </c>
      <c r="S104" s="7">
        <v>401768</v>
      </c>
      <c r="T104" s="6"/>
      <c r="U104" s="8"/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2"/>
        <v>718.30000000000007</v>
      </c>
      <c r="Q105" s="6" t="s">
        <v>30</v>
      </c>
      <c r="R105" s="7">
        <v>46107</v>
      </c>
      <c r="S105" s="7">
        <v>401768</v>
      </c>
      <c r="T105" s="6"/>
      <c r="U105" s="8"/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/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2"/>
        <v>566.20000000000005</v>
      </c>
      <c r="Q107" s="6" t="s">
        <v>30</v>
      </c>
      <c r="R107" s="7">
        <v>46153</v>
      </c>
      <c r="S107" s="7">
        <v>401768</v>
      </c>
      <c r="T107" s="6"/>
      <c r="U107" s="8"/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30" si="5">O108*M108</f>
        <v>62.7</v>
      </c>
      <c r="Q108" s="6" t="s">
        <v>30</v>
      </c>
      <c r="R108" s="7">
        <v>46153</v>
      </c>
      <c r="S108" s="7">
        <v>401768</v>
      </c>
      <c r="T108" s="6"/>
      <c r="U108" s="8"/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5"/>
        <v>84.55</v>
      </c>
      <c r="Q109" s="6" t="s">
        <v>30</v>
      </c>
      <c r="R109" s="7">
        <v>44734</v>
      </c>
      <c r="S109" s="7">
        <v>401768</v>
      </c>
      <c r="T109" s="6"/>
      <c r="U109" s="8"/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5"/>
        <v>65.55</v>
      </c>
      <c r="Q110" s="6" t="s">
        <v>30</v>
      </c>
      <c r="R110" s="7">
        <v>46153</v>
      </c>
      <c r="S110" s="7">
        <v>401768</v>
      </c>
      <c r="T110" s="6"/>
      <c r="U110" s="8"/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5"/>
        <v>546.25</v>
      </c>
      <c r="Q111" s="6" t="s">
        <v>30</v>
      </c>
      <c r="R111" s="7">
        <v>43427</v>
      </c>
      <c r="S111" s="7">
        <v>401768</v>
      </c>
      <c r="T111" s="6"/>
      <c r="U111" s="8"/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5"/>
        <v>717.25</v>
      </c>
      <c r="Q112" s="6" t="s">
        <v>30</v>
      </c>
      <c r="R112" s="7">
        <v>43319</v>
      </c>
      <c r="S112" s="7">
        <v>401768</v>
      </c>
      <c r="T112" s="6"/>
      <c r="U112" s="8"/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9.9600000000000009</v>
      </c>
      <c r="N113" s="6" t="s">
        <v>160</v>
      </c>
      <c r="O113" s="6">
        <v>95</v>
      </c>
      <c r="P113" s="6">
        <f t="shared" si="5"/>
        <v>946.2</v>
      </c>
      <c r="Q113" s="6" t="s">
        <v>30</v>
      </c>
      <c r="R113" s="7">
        <v>46153</v>
      </c>
      <c r="S113" s="7">
        <v>401768</v>
      </c>
      <c r="T113" s="6"/>
      <c r="U113" s="8"/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5"/>
        <v>1591.9358999999999</v>
      </c>
      <c r="Q114" s="6" t="s">
        <v>30</v>
      </c>
      <c r="R114" s="7">
        <v>43237</v>
      </c>
      <c r="S114" s="7">
        <v>401768</v>
      </c>
      <c r="T114" s="6"/>
      <c r="U114" s="8"/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5"/>
        <v>657.4</v>
      </c>
      <c r="Q115" s="6" t="s">
        <v>30</v>
      </c>
      <c r="R115" s="7">
        <v>46153</v>
      </c>
      <c r="S115" s="7">
        <v>401768</v>
      </c>
      <c r="T115" s="6"/>
      <c r="U115" s="8"/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5"/>
        <v>545.30000000000007</v>
      </c>
      <c r="Q116" s="6" t="s">
        <v>30</v>
      </c>
      <c r="R116" s="7">
        <v>46153</v>
      </c>
      <c r="S116" s="7">
        <v>401768</v>
      </c>
      <c r="T116" s="6"/>
      <c r="U116" s="8"/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2.4900000000000002</v>
      </c>
      <c r="N117" s="6" t="s">
        <v>160</v>
      </c>
      <c r="O117" s="6">
        <v>95</v>
      </c>
      <c r="P117" s="6">
        <f t="shared" si="5"/>
        <v>236.55</v>
      </c>
      <c r="Q117" s="6" t="s">
        <v>30</v>
      </c>
      <c r="R117" s="7">
        <v>45254</v>
      </c>
      <c r="S117" s="7">
        <v>401768</v>
      </c>
      <c r="T117" s="6"/>
      <c r="U117" s="8"/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5"/>
        <v>1971.25</v>
      </c>
      <c r="Q118" s="6" t="s">
        <v>30</v>
      </c>
      <c r="R118" s="7">
        <v>46153</v>
      </c>
      <c r="S118" s="7">
        <v>401768</v>
      </c>
      <c r="T118" s="6"/>
      <c r="U118" s="8"/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5"/>
        <v>2189.75</v>
      </c>
      <c r="Q119" s="6" t="s">
        <v>30</v>
      </c>
      <c r="R119" s="7">
        <v>46153</v>
      </c>
      <c r="S119" s="7">
        <v>401768</v>
      </c>
      <c r="T119" s="6"/>
      <c r="U119" s="8"/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5"/>
        <v>228</v>
      </c>
      <c r="Q120" s="6" t="s">
        <v>30</v>
      </c>
      <c r="R120" s="7">
        <v>43512</v>
      </c>
      <c r="S120" s="7">
        <v>401768</v>
      </c>
      <c r="T120" s="6"/>
      <c r="U120" s="8"/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5"/>
        <v>3038.1</v>
      </c>
      <c r="Q121" s="6" t="s">
        <v>30</v>
      </c>
      <c r="R121" s="7">
        <v>46153</v>
      </c>
      <c r="S121" s="7">
        <v>401768</v>
      </c>
      <c r="T121" s="6"/>
      <c r="U121" s="8"/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5"/>
        <v>2150.8000000000002</v>
      </c>
      <c r="Q122" s="6" t="s">
        <v>30</v>
      </c>
      <c r="R122" s="7">
        <v>43230</v>
      </c>
      <c r="S122" s="7">
        <v>401768</v>
      </c>
      <c r="T122" s="6"/>
      <c r="U122" s="8"/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5"/>
        <v>657.4</v>
      </c>
      <c r="Q123" s="6" t="s">
        <v>30</v>
      </c>
      <c r="R123" s="7">
        <v>46153</v>
      </c>
      <c r="S123" s="7">
        <v>401768</v>
      </c>
      <c r="T123" s="6"/>
      <c r="U123" s="8"/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5"/>
        <v>499.7</v>
      </c>
      <c r="Q124" s="6" t="s">
        <v>30</v>
      </c>
      <c r="R124" s="7">
        <v>46153</v>
      </c>
      <c r="S124" s="7">
        <v>401768</v>
      </c>
      <c r="T124" s="6"/>
      <c r="U124" s="8"/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5"/>
        <v>845.5</v>
      </c>
      <c r="Q125" s="6" t="s">
        <v>30</v>
      </c>
      <c r="R125" s="7">
        <v>46153</v>
      </c>
      <c r="S125" s="7">
        <v>401768</v>
      </c>
      <c r="T125" s="6"/>
      <c r="U125" s="8"/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5"/>
        <v>4560000</v>
      </c>
      <c r="Q126" s="6" t="s">
        <v>30</v>
      </c>
      <c r="R126" s="7">
        <v>44345</v>
      </c>
      <c r="S126" s="7">
        <v>401768</v>
      </c>
      <c r="T126" s="6"/>
      <c r="U126" s="8"/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5"/>
        <v>264.09999999999997</v>
      </c>
      <c r="Q127" s="6" t="s">
        <v>30</v>
      </c>
      <c r="R127" s="7">
        <v>44936</v>
      </c>
      <c r="S127" s="7">
        <v>401768</v>
      </c>
      <c r="T127" s="6"/>
      <c r="U127" s="8"/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5"/>
        <v>503.5</v>
      </c>
      <c r="Q128" s="6" t="s">
        <v>30</v>
      </c>
      <c r="R128" s="7">
        <v>45777</v>
      </c>
      <c r="S128" s="7">
        <v>401768</v>
      </c>
      <c r="T128" s="6"/>
      <c r="U128" s="8"/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8.2200000000000006</v>
      </c>
      <c r="N129" s="6" t="s">
        <v>160</v>
      </c>
      <c r="O129" s="6">
        <v>95</v>
      </c>
      <c r="P129" s="6">
        <f t="shared" si="5"/>
        <v>780.90000000000009</v>
      </c>
      <c r="Q129" s="6" t="s">
        <v>30</v>
      </c>
      <c r="R129" s="7">
        <v>46153</v>
      </c>
      <c r="S129" s="7">
        <v>401768</v>
      </c>
      <c r="T129" s="6"/>
      <c r="U129" s="8"/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5"/>
        <v>567.15</v>
      </c>
      <c r="Q130" s="6" t="s">
        <v>30</v>
      </c>
      <c r="R130" s="7">
        <v>46153</v>
      </c>
      <c r="S130" s="7">
        <v>401768</v>
      </c>
      <c r="T130" s="6"/>
      <c r="U130" s="8"/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/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6">O132*M132</f>
        <v>447.45</v>
      </c>
      <c r="Q132" s="6" t="s">
        <v>30</v>
      </c>
      <c r="R132" s="7">
        <v>44076</v>
      </c>
      <c r="S132" s="7">
        <v>401768</v>
      </c>
      <c r="T132" s="6"/>
      <c r="U132" s="8"/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7">M133</f>
        <v>61.37</v>
      </c>
      <c r="P133" s="6">
        <f t="shared" ref="P133:P164" si="8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/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7"/>
        <v>62.37</v>
      </c>
      <c r="P134" s="6">
        <f t="shared" si="8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/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160.08000000000001</v>
      </c>
      <c r="N135" s="6" t="s">
        <v>29</v>
      </c>
      <c r="O135" s="6">
        <f t="shared" si="7"/>
        <v>160.08000000000001</v>
      </c>
      <c r="P135" s="6">
        <f t="shared" si="8"/>
        <v>160.08000000000001</v>
      </c>
      <c r="Q135" s="6" t="s">
        <v>30</v>
      </c>
      <c r="R135" s="7">
        <v>46151</v>
      </c>
      <c r="S135" s="7">
        <v>401768</v>
      </c>
      <c r="T135" s="6">
        <v>44682</v>
      </c>
      <c r="U135" s="8"/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146.66999999999999</v>
      </c>
      <c r="N136" s="6" t="s">
        <v>29</v>
      </c>
      <c r="O136" s="6">
        <f t="shared" si="7"/>
        <v>146.66999999999999</v>
      </c>
      <c r="P136" s="6">
        <f t="shared" si="8"/>
        <v>146.66999999999999</v>
      </c>
      <c r="Q136" s="6" t="s">
        <v>30</v>
      </c>
      <c r="R136" s="7">
        <v>46151</v>
      </c>
      <c r="S136" s="7">
        <v>401768</v>
      </c>
      <c r="T136" s="6">
        <v>6515</v>
      </c>
      <c r="U136" s="8"/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7"/>
        <v>1100000</v>
      </c>
      <c r="P137" s="6">
        <f t="shared" si="8"/>
        <v>1100000</v>
      </c>
      <c r="Q137" s="6" t="s">
        <v>30</v>
      </c>
      <c r="R137" s="7">
        <v>44678</v>
      </c>
      <c r="S137" s="7">
        <v>401768</v>
      </c>
      <c r="T137" s="6"/>
      <c r="U137" s="8"/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7"/>
        <v>46502.2</v>
      </c>
      <c r="P138" s="6">
        <f t="shared" si="8"/>
        <v>46502.2</v>
      </c>
      <c r="Q138" s="6" t="s">
        <v>30</v>
      </c>
      <c r="R138" s="7">
        <v>45019</v>
      </c>
      <c r="S138" s="7">
        <v>401768</v>
      </c>
      <c r="T138" s="6"/>
      <c r="U138" s="8"/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146.66999999999999</v>
      </c>
      <c r="N139" s="6" t="s">
        <v>29</v>
      </c>
      <c r="O139" s="6">
        <f t="shared" si="7"/>
        <v>146.66999999999999</v>
      </c>
      <c r="P139" s="6">
        <f t="shared" si="8"/>
        <v>146.66999999999999</v>
      </c>
      <c r="Q139" s="6" t="s">
        <v>30</v>
      </c>
      <c r="R139" s="7">
        <v>46151</v>
      </c>
      <c r="S139" s="7">
        <v>401768</v>
      </c>
      <c r="T139" s="6">
        <v>26583</v>
      </c>
      <c r="U139" s="8"/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7"/>
        <v>67</v>
      </c>
      <c r="P140" s="6">
        <f t="shared" si="8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/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7"/>
        <v>66.98</v>
      </c>
      <c r="P141" s="6">
        <f t="shared" si="8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/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7"/>
        <v>65.34</v>
      </c>
      <c r="P142" s="6">
        <f t="shared" si="8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/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7"/>
        <v>64.84</v>
      </c>
      <c r="P143" s="6">
        <f t="shared" si="8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/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7"/>
        <v>60.97</v>
      </c>
      <c r="P144" s="6">
        <f t="shared" si="8"/>
        <v>60.97</v>
      </c>
      <c r="Q144" s="6" t="s">
        <v>30</v>
      </c>
      <c r="R144" s="7">
        <v>46151</v>
      </c>
      <c r="S144" s="7">
        <v>401768</v>
      </c>
      <c r="T144" s="6"/>
      <c r="U144" s="8"/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7"/>
        <v>62.38</v>
      </c>
      <c r="P145" s="6">
        <f t="shared" si="8"/>
        <v>62.38</v>
      </c>
      <c r="Q145" s="6" t="s">
        <v>30</v>
      </c>
      <c r="R145" s="7">
        <v>46151</v>
      </c>
      <c r="S145" s="7">
        <v>401768</v>
      </c>
      <c r="T145" s="6"/>
      <c r="U145" s="8"/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7"/>
        <v>76</v>
      </c>
      <c r="P146" s="6">
        <f t="shared" si="8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/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7"/>
        <v>75.88</v>
      </c>
      <c r="P147" s="6">
        <f t="shared" si="8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/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7"/>
        <v>175</v>
      </c>
      <c r="P148" s="6">
        <f t="shared" si="8"/>
        <v>175</v>
      </c>
      <c r="Q148" s="6" t="s">
        <v>30</v>
      </c>
      <c r="R148" s="7">
        <v>45100</v>
      </c>
      <c r="S148" s="7">
        <v>401768</v>
      </c>
      <c r="T148" s="6"/>
      <c r="U148" s="8"/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7"/>
        <v>106.75</v>
      </c>
      <c r="P149" s="6">
        <f t="shared" si="8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/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7"/>
        <v>106.75</v>
      </c>
      <c r="P150" s="6">
        <f t="shared" si="8"/>
        <v>106.75</v>
      </c>
      <c r="Q150" s="6" t="s">
        <v>30</v>
      </c>
      <c r="R150" s="7">
        <v>45185</v>
      </c>
      <c r="S150" s="7">
        <v>401768</v>
      </c>
      <c r="T150" s="6"/>
      <c r="U150" s="8"/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7"/>
        <v>52</v>
      </c>
      <c r="P151" s="6">
        <f t="shared" si="8"/>
        <v>52</v>
      </c>
      <c r="Q151" s="6" t="s">
        <v>30</v>
      </c>
      <c r="R151" s="7">
        <v>45292</v>
      </c>
      <c r="S151" s="7">
        <v>401768</v>
      </c>
      <c r="T151" s="6"/>
      <c r="U151" s="8"/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7"/>
        <v>150.91</v>
      </c>
      <c r="P152" s="6">
        <f t="shared" si="8"/>
        <v>150.91</v>
      </c>
      <c r="Q152" s="6" t="s">
        <v>30</v>
      </c>
      <c r="R152" s="7">
        <v>46151</v>
      </c>
      <c r="S152" s="7">
        <v>401768</v>
      </c>
      <c r="T152" s="6"/>
      <c r="U152" s="8"/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7"/>
        <v>150.91</v>
      </c>
      <c r="P153" s="6">
        <f t="shared" si="8"/>
        <v>150.91</v>
      </c>
      <c r="Q153" s="6" t="s">
        <v>30</v>
      </c>
      <c r="R153" s="7">
        <v>46151</v>
      </c>
      <c r="S153" s="7">
        <v>401768</v>
      </c>
      <c r="T153" s="6"/>
      <c r="U153" s="8"/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7"/>
        <v>185.09</v>
      </c>
      <c r="P154" s="6">
        <f t="shared" si="8"/>
        <v>185.09</v>
      </c>
      <c r="Q154" s="6" t="s">
        <v>30</v>
      </c>
      <c r="R154" s="7">
        <v>45952</v>
      </c>
      <c r="S154" s="7">
        <v>401768</v>
      </c>
      <c r="T154" s="6"/>
      <c r="U154" s="8"/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66.959999999999994</v>
      </c>
      <c r="N155" s="6" t="s">
        <v>29</v>
      </c>
      <c r="O155" s="6">
        <f t="shared" si="7"/>
        <v>66.959999999999994</v>
      </c>
      <c r="P155" s="6">
        <f t="shared" si="8"/>
        <v>66.959999999999994</v>
      </c>
      <c r="Q155" s="6" t="s">
        <v>30</v>
      </c>
      <c r="R155" s="7">
        <v>46151</v>
      </c>
      <c r="S155" s="7">
        <v>401768</v>
      </c>
      <c r="T155" s="6">
        <v>1156</v>
      </c>
      <c r="U155" s="8"/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7"/>
        <v>66.44</v>
      </c>
      <c r="P156" s="6">
        <f t="shared" si="8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/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7"/>
        <v>64.25</v>
      </c>
      <c r="P157" s="6">
        <f t="shared" si="8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/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7"/>
        <v>65.25</v>
      </c>
      <c r="P158" s="6">
        <f t="shared" si="8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/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7"/>
        <v>49</v>
      </c>
      <c r="P159" s="6">
        <f t="shared" si="8"/>
        <v>49</v>
      </c>
      <c r="Q159" s="6" t="s">
        <v>30</v>
      </c>
      <c r="R159" s="7">
        <v>45541</v>
      </c>
      <c r="S159" s="7">
        <v>401768</v>
      </c>
      <c r="T159" s="6"/>
      <c r="U159" s="8"/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7"/>
        <v>49</v>
      </c>
      <c r="P160" s="6">
        <f t="shared" si="8"/>
        <v>49</v>
      </c>
      <c r="Q160" s="6" t="s">
        <v>30</v>
      </c>
      <c r="R160" s="7">
        <v>45541</v>
      </c>
      <c r="S160" s="7">
        <v>401768</v>
      </c>
      <c r="T160" s="6"/>
      <c r="U160" s="8"/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7"/>
        <v>20</v>
      </c>
      <c r="P161" s="6">
        <f t="shared" si="8"/>
        <v>20</v>
      </c>
      <c r="Q161" s="6" t="s">
        <v>30</v>
      </c>
      <c r="R161" s="7">
        <v>45653</v>
      </c>
      <c r="S161" s="7">
        <v>401768</v>
      </c>
      <c r="T161" s="6"/>
      <c r="U161" s="8"/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7"/>
        <v>20</v>
      </c>
      <c r="P162" s="6">
        <f t="shared" si="8"/>
        <v>20</v>
      </c>
      <c r="Q162" s="6" t="s">
        <v>30</v>
      </c>
      <c r="R162" s="7">
        <v>45653</v>
      </c>
      <c r="S162" s="7">
        <v>401768</v>
      </c>
      <c r="T162" s="6"/>
      <c r="U162" s="8"/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7"/>
        <v>147.46</v>
      </c>
      <c r="P163" s="6">
        <f t="shared" si="8"/>
        <v>147.46</v>
      </c>
      <c r="Q163" s="6" t="s">
        <v>30</v>
      </c>
      <c r="R163" s="7">
        <v>46121</v>
      </c>
      <c r="S163" s="7">
        <v>401768</v>
      </c>
      <c r="T163" s="6"/>
      <c r="U163" s="8"/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7"/>
        <v>216.47</v>
      </c>
      <c r="P164" s="6">
        <f t="shared" si="8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/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6"/>
        <v>2755</v>
      </c>
      <c r="Q165" s="6" t="s">
        <v>30</v>
      </c>
      <c r="R165" s="7">
        <v>45131</v>
      </c>
      <c r="S165" s="7">
        <v>401768</v>
      </c>
      <c r="T165" s="6"/>
      <c r="U165" s="8"/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6"/>
        <v>2470</v>
      </c>
      <c r="Q166" s="6" t="s">
        <v>30</v>
      </c>
      <c r="R166" s="7">
        <v>45131</v>
      </c>
      <c r="S166" s="7">
        <v>401768</v>
      </c>
      <c r="T166" s="6"/>
      <c r="U166" s="8"/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9">M167</f>
        <v>141.9</v>
      </c>
      <c r="P167" s="6">
        <f t="shared" ref="P167:P168" si="10">O167</f>
        <v>141.9</v>
      </c>
      <c r="Q167" s="6" t="s">
        <v>30</v>
      </c>
      <c r="R167" s="7">
        <v>43061</v>
      </c>
      <c r="S167" s="7">
        <v>401768</v>
      </c>
      <c r="T167" s="6"/>
      <c r="U167" s="8"/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9"/>
        <v>14.5</v>
      </c>
      <c r="P168" s="6">
        <f t="shared" si="10"/>
        <v>14.5</v>
      </c>
      <c r="Q168" s="6" t="s">
        <v>30</v>
      </c>
      <c r="R168" s="7">
        <v>42633</v>
      </c>
      <c r="S168" s="7">
        <v>401768</v>
      </c>
      <c r="T168" s="6"/>
      <c r="U168" s="8"/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6"/>
        <v>99</v>
      </c>
      <c r="Q169" s="6" t="s">
        <v>30</v>
      </c>
      <c r="R169" s="7">
        <v>44469</v>
      </c>
      <c r="S169" s="7">
        <v>401768</v>
      </c>
      <c r="T169" s="6"/>
      <c r="U169" s="8"/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6"/>
        <v>196.9</v>
      </c>
      <c r="Q170" s="6" t="s">
        <v>30</v>
      </c>
      <c r="R170" s="7">
        <v>44469</v>
      </c>
      <c r="S170" s="7">
        <v>401768</v>
      </c>
      <c r="T170" s="6"/>
      <c r="U170" s="8"/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6"/>
        <v>129.79999999999998</v>
      </c>
      <c r="Q171" s="6" t="s">
        <v>30</v>
      </c>
      <c r="R171" s="7">
        <v>41275</v>
      </c>
      <c r="S171" s="7">
        <v>401768</v>
      </c>
      <c r="T171" s="6"/>
      <c r="U171" s="8"/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6"/>
        <v>369.59999999999997</v>
      </c>
      <c r="Q172" s="6" t="s">
        <v>30</v>
      </c>
      <c r="R172" s="7">
        <v>44469</v>
      </c>
      <c r="S172" s="7">
        <v>401768</v>
      </c>
      <c r="T172" s="6"/>
      <c r="U172" s="8"/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6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/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6"/>
        <v>215.6</v>
      </c>
      <c r="Q174" s="6" t="s">
        <v>30</v>
      </c>
      <c r="R174" s="7">
        <v>44469</v>
      </c>
      <c r="S174" s="7">
        <v>401768</v>
      </c>
      <c r="T174" s="6"/>
      <c r="U174" s="8"/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6"/>
        <v>188.1</v>
      </c>
      <c r="Q175" s="6" t="s">
        <v>30</v>
      </c>
      <c r="R175" s="7">
        <v>43069</v>
      </c>
      <c r="S175" s="7">
        <v>401768</v>
      </c>
      <c r="T175" s="6"/>
      <c r="U175" s="8"/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6"/>
        <v>15344120</v>
      </c>
      <c r="Q176" s="6" t="s">
        <v>30</v>
      </c>
      <c r="R176" s="7">
        <v>43434</v>
      </c>
      <c r="S176" s="7">
        <v>401768</v>
      </c>
      <c r="T176" s="6"/>
      <c r="U176" s="8"/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646.70000000000005</v>
      </c>
      <c r="N177" s="6" t="s">
        <v>29</v>
      </c>
      <c r="O177" s="6">
        <f t="shared" ref="O177:O184" si="11">M177</f>
        <v>646.70000000000005</v>
      </c>
      <c r="P177" s="6">
        <f t="shared" ref="P177:P184" si="12">O177</f>
        <v>646.70000000000005</v>
      </c>
      <c r="Q177" s="6" t="s">
        <v>30</v>
      </c>
      <c r="R177" s="7">
        <v>41829</v>
      </c>
      <c r="S177" s="7">
        <v>401768</v>
      </c>
      <c r="T177" s="6"/>
      <c r="U177" s="8"/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1"/>
        <v>555.9</v>
      </c>
      <c r="P178" s="6">
        <f t="shared" si="12"/>
        <v>555.9</v>
      </c>
      <c r="Q178" s="6" t="s">
        <v>30</v>
      </c>
      <c r="R178" s="7">
        <v>41829</v>
      </c>
      <c r="S178" s="7">
        <v>401768</v>
      </c>
      <c r="T178" s="6"/>
      <c r="U178" s="8"/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1"/>
        <v>555.9</v>
      </c>
      <c r="P179" s="6">
        <f t="shared" si="12"/>
        <v>555.9</v>
      </c>
      <c r="Q179" s="6" t="s">
        <v>30</v>
      </c>
      <c r="R179" s="7">
        <v>41829</v>
      </c>
      <c r="S179" s="7">
        <v>401768</v>
      </c>
      <c r="T179" s="6"/>
      <c r="U179" s="8"/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646.70000000000005</v>
      </c>
      <c r="N180" s="6" t="s">
        <v>29</v>
      </c>
      <c r="O180" s="6">
        <f t="shared" si="11"/>
        <v>646.70000000000005</v>
      </c>
      <c r="P180" s="6">
        <f t="shared" si="12"/>
        <v>646.70000000000005</v>
      </c>
      <c r="Q180" s="6" t="s">
        <v>30</v>
      </c>
      <c r="R180" s="7">
        <v>41829</v>
      </c>
      <c r="S180" s="7">
        <v>401768</v>
      </c>
      <c r="T180" s="6"/>
      <c r="U180" s="8"/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1"/>
        <v>1085118</v>
      </c>
      <c r="P181" s="6">
        <f t="shared" si="12"/>
        <v>1085118</v>
      </c>
      <c r="Q181" s="6" t="s">
        <v>30</v>
      </c>
      <c r="R181" s="7">
        <v>42469</v>
      </c>
      <c r="S181" s="7">
        <v>401768</v>
      </c>
      <c r="T181" s="6"/>
      <c r="U181" s="8"/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1"/>
        <v>1085118</v>
      </c>
      <c r="P182" s="6">
        <f t="shared" si="12"/>
        <v>1085118</v>
      </c>
      <c r="Q182" s="6" t="s">
        <v>30</v>
      </c>
      <c r="R182" s="7">
        <v>42469</v>
      </c>
      <c r="S182" s="7">
        <v>401768</v>
      </c>
      <c r="T182" s="6"/>
      <c r="U182" s="8"/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1"/>
        <v>1220752</v>
      </c>
      <c r="P183" s="6">
        <f t="shared" si="12"/>
        <v>1220752</v>
      </c>
      <c r="Q183" s="6" t="s">
        <v>30</v>
      </c>
      <c r="R183" s="7">
        <v>42469</v>
      </c>
      <c r="S183" s="7">
        <v>401768</v>
      </c>
      <c r="T183" s="6"/>
      <c r="U183" s="8"/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1"/>
        <v>59663</v>
      </c>
      <c r="P184" s="6">
        <f t="shared" si="12"/>
        <v>59663</v>
      </c>
      <c r="Q184" s="6" t="s">
        <v>30</v>
      </c>
      <c r="R184" s="7">
        <v>42469</v>
      </c>
      <c r="S184" s="7">
        <v>401768</v>
      </c>
      <c r="T184" s="6"/>
      <c r="U184" s="8"/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6"/>
        <v>838.2</v>
      </c>
      <c r="Q185" s="6" t="s">
        <v>30</v>
      </c>
      <c r="R185" s="7">
        <v>41453</v>
      </c>
      <c r="S185" s="7">
        <v>401768</v>
      </c>
      <c r="T185" s="6"/>
      <c r="U185" s="8"/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8.6300000000000008</v>
      </c>
      <c r="N186" s="6" t="s">
        <v>151</v>
      </c>
      <c r="O186" s="6">
        <v>110</v>
      </c>
      <c r="P186" s="6">
        <f t="shared" si="6"/>
        <v>949.30000000000007</v>
      </c>
      <c r="Q186" s="6" t="s">
        <v>30</v>
      </c>
      <c r="R186" s="7">
        <v>41772</v>
      </c>
      <c r="S186" s="7">
        <v>401768</v>
      </c>
      <c r="T186" s="6"/>
      <c r="U186" s="8"/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6"/>
        <v>720.5</v>
      </c>
      <c r="Q187" s="6" t="s">
        <v>30</v>
      </c>
      <c r="R187" s="7">
        <v>41518</v>
      </c>
      <c r="S187" s="7">
        <v>401768</v>
      </c>
      <c r="T187" s="6"/>
      <c r="U187" s="8"/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6"/>
        <v>1381.6000000000001</v>
      </c>
      <c r="Q188" s="6" t="s">
        <v>30</v>
      </c>
      <c r="R188" s="7">
        <v>41608</v>
      </c>
      <c r="S188" s="7">
        <v>401768</v>
      </c>
      <c r="T188" s="6"/>
      <c r="U188" s="8"/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6"/>
        <v>2750</v>
      </c>
      <c r="Q189" s="6" t="s">
        <v>30</v>
      </c>
      <c r="R189" s="7">
        <v>41802</v>
      </c>
      <c r="S189" s="7">
        <v>401768</v>
      </c>
      <c r="T189" s="6"/>
      <c r="U189" s="8"/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6"/>
        <v>2750</v>
      </c>
      <c r="Q190" s="6" t="s">
        <v>30</v>
      </c>
      <c r="R190" s="7">
        <v>41802</v>
      </c>
      <c r="S190" s="7">
        <v>401768</v>
      </c>
      <c r="T190" s="6"/>
      <c r="U190" s="8"/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3">M191</f>
        <v>56.5</v>
      </c>
      <c r="P191" s="6">
        <f t="shared" ref="P191:P221" si="14">O191</f>
        <v>56.5</v>
      </c>
      <c r="Q191" s="6" t="s">
        <v>30</v>
      </c>
      <c r="R191" s="7">
        <v>41387</v>
      </c>
      <c r="S191" s="7">
        <v>401768</v>
      </c>
      <c r="T191" s="6"/>
      <c r="U191" s="8"/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3"/>
        <v>41.77</v>
      </c>
      <c r="P192" s="6">
        <f t="shared" si="14"/>
        <v>41.77</v>
      </c>
      <c r="Q192" s="6" t="s">
        <v>30</v>
      </c>
      <c r="R192" s="7">
        <v>42123</v>
      </c>
      <c r="S192" s="7">
        <v>401768</v>
      </c>
      <c r="T192" s="6"/>
      <c r="U192" s="8"/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3"/>
        <v>25.08</v>
      </c>
      <c r="P193" s="6">
        <f t="shared" si="14"/>
        <v>25.08</v>
      </c>
      <c r="Q193" s="6" t="s">
        <v>30</v>
      </c>
      <c r="R193" s="7">
        <v>42123</v>
      </c>
      <c r="S193" s="7">
        <v>401768</v>
      </c>
      <c r="T193" s="6"/>
      <c r="U193" s="8"/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3"/>
        <v>17.8</v>
      </c>
      <c r="P194" s="6">
        <f t="shared" si="14"/>
        <v>17.8</v>
      </c>
      <c r="Q194" s="6" t="s">
        <v>30</v>
      </c>
      <c r="R194" s="7">
        <v>42123</v>
      </c>
      <c r="S194" s="7">
        <v>401768</v>
      </c>
      <c r="T194" s="6"/>
      <c r="U194" s="8"/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3"/>
        <v>52.5</v>
      </c>
      <c r="P195" s="6">
        <f t="shared" si="14"/>
        <v>52.5</v>
      </c>
      <c r="Q195" s="6" t="s">
        <v>30</v>
      </c>
      <c r="R195" s="7">
        <v>41387</v>
      </c>
      <c r="S195" s="7">
        <v>401768</v>
      </c>
      <c r="T195" s="6"/>
      <c r="U195" s="8"/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3"/>
        <v>68.33</v>
      </c>
      <c r="P196" s="6">
        <f t="shared" si="14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/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3"/>
        <v>85.89</v>
      </c>
      <c r="P197" s="6">
        <f t="shared" si="14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/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3"/>
        <v>108.91</v>
      </c>
      <c r="P198" s="6">
        <f t="shared" si="14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/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3"/>
        <v>387.88</v>
      </c>
      <c r="P199" s="6">
        <f t="shared" si="14"/>
        <v>387.88</v>
      </c>
      <c r="Q199" s="6" t="s">
        <v>30</v>
      </c>
      <c r="R199" s="7">
        <v>46144</v>
      </c>
      <c r="S199" s="7">
        <v>401768</v>
      </c>
      <c r="T199" s="6"/>
      <c r="U199" s="8"/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3"/>
        <v>108.83</v>
      </c>
      <c r="P200" s="6">
        <f t="shared" si="14"/>
        <v>108.83</v>
      </c>
      <c r="Q200" s="6" t="s">
        <v>30</v>
      </c>
      <c r="R200" s="7">
        <v>46144</v>
      </c>
      <c r="S200" s="7">
        <v>401768</v>
      </c>
      <c r="T200" s="6"/>
      <c r="U200" s="8"/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3"/>
        <v>126.39</v>
      </c>
      <c r="P201" s="6">
        <f t="shared" si="14"/>
        <v>126.39</v>
      </c>
      <c r="Q201" s="6" t="s">
        <v>30</v>
      </c>
      <c r="R201" s="7">
        <v>46144</v>
      </c>
      <c r="S201" s="7">
        <v>401768</v>
      </c>
      <c r="T201" s="6"/>
      <c r="U201" s="8"/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3"/>
        <v>155.01</v>
      </c>
      <c r="P202" s="6">
        <f t="shared" si="14"/>
        <v>155.01</v>
      </c>
      <c r="Q202" s="6" t="s">
        <v>30</v>
      </c>
      <c r="R202" s="7">
        <v>46144</v>
      </c>
      <c r="S202" s="7">
        <v>401768</v>
      </c>
      <c r="T202" s="6"/>
      <c r="U202" s="8"/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3"/>
        <v>533.38</v>
      </c>
      <c r="P203" s="6">
        <f t="shared" si="14"/>
        <v>533.38</v>
      </c>
      <c r="Q203" s="6" t="s">
        <v>30</v>
      </c>
      <c r="R203" s="7">
        <v>46144</v>
      </c>
      <c r="S203" s="7">
        <v>401768</v>
      </c>
      <c r="T203" s="6"/>
      <c r="U203" s="8"/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3"/>
        <v>68.33</v>
      </c>
      <c r="P204" s="6">
        <f t="shared" si="14"/>
        <v>68.33</v>
      </c>
      <c r="Q204" s="6" t="s">
        <v>30</v>
      </c>
      <c r="R204" s="7">
        <v>46144</v>
      </c>
      <c r="S204" s="7">
        <v>401768</v>
      </c>
      <c r="T204" s="6"/>
      <c r="U204" s="8"/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3"/>
        <v>63.25</v>
      </c>
      <c r="P205" s="6">
        <f t="shared" si="14"/>
        <v>63.25</v>
      </c>
      <c r="Q205" s="6" t="s">
        <v>30</v>
      </c>
      <c r="R205" s="7">
        <v>44925</v>
      </c>
      <c r="S205" s="7">
        <v>401768</v>
      </c>
      <c r="T205" s="6"/>
      <c r="U205" s="8"/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3"/>
        <v>47.95</v>
      </c>
      <c r="P206" s="6">
        <f t="shared" si="14"/>
        <v>47.95</v>
      </c>
      <c r="Q206" s="6" t="s">
        <v>30</v>
      </c>
      <c r="R206" s="7">
        <v>45013</v>
      </c>
      <c r="S206" s="7">
        <v>401768</v>
      </c>
      <c r="T206" s="6"/>
      <c r="U206" s="8"/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3"/>
        <v>85.89</v>
      </c>
      <c r="P207" s="6">
        <f t="shared" si="14"/>
        <v>85.89</v>
      </c>
      <c r="Q207" s="6" t="s">
        <v>30</v>
      </c>
      <c r="R207" s="7">
        <v>46144</v>
      </c>
      <c r="S207" s="7">
        <v>401768</v>
      </c>
      <c r="T207" s="6"/>
      <c r="U207" s="8"/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3"/>
        <v>108.91</v>
      </c>
      <c r="P208" s="6">
        <f t="shared" si="14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/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3"/>
        <v>387.88</v>
      </c>
      <c r="P209" s="6">
        <f t="shared" si="14"/>
        <v>387.88</v>
      </c>
      <c r="Q209" s="6" t="s">
        <v>30</v>
      </c>
      <c r="R209" s="7">
        <v>46144</v>
      </c>
      <c r="S209" s="7">
        <v>401768</v>
      </c>
      <c r="T209" s="6"/>
      <c r="U209" s="8"/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3"/>
        <v>14</v>
      </c>
      <c r="P210" s="6">
        <f t="shared" si="14"/>
        <v>14</v>
      </c>
      <c r="Q210" s="6" t="s">
        <v>30</v>
      </c>
      <c r="R210" s="7">
        <v>45146</v>
      </c>
      <c r="S210" s="7">
        <v>401768</v>
      </c>
      <c r="T210" s="6"/>
      <c r="U210" s="8"/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3"/>
        <v>18</v>
      </c>
      <c r="P211" s="6">
        <f t="shared" si="14"/>
        <v>18</v>
      </c>
      <c r="Q211" s="6" t="s">
        <v>30</v>
      </c>
      <c r="R211" s="7">
        <v>45146</v>
      </c>
      <c r="S211" s="7">
        <v>401768</v>
      </c>
      <c r="T211" s="6"/>
      <c r="U211" s="8"/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3"/>
        <v>5.5</v>
      </c>
      <c r="P212" s="6">
        <f t="shared" si="14"/>
        <v>5.5</v>
      </c>
      <c r="Q212" s="6" t="s">
        <v>30</v>
      </c>
      <c r="R212" s="7">
        <v>45164</v>
      </c>
      <c r="S212" s="7">
        <v>401768</v>
      </c>
      <c r="T212" s="6"/>
      <c r="U212" s="8"/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3"/>
        <v>5.5</v>
      </c>
      <c r="P213" s="6">
        <f t="shared" si="14"/>
        <v>5.5</v>
      </c>
      <c r="Q213" s="6" t="s">
        <v>30</v>
      </c>
      <c r="R213" s="7">
        <v>45164</v>
      </c>
      <c r="S213" s="7">
        <v>401768</v>
      </c>
      <c r="T213" s="6"/>
      <c r="U213" s="8"/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3"/>
        <v>26</v>
      </c>
      <c r="P214" s="6">
        <f t="shared" si="14"/>
        <v>26</v>
      </c>
      <c r="Q214" s="6" t="s">
        <v>30</v>
      </c>
      <c r="R214" s="7">
        <v>45224</v>
      </c>
      <c r="S214" s="7">
        <v>401768</v>
      </c>
      <c r="T214" s="6"/>
      <c r="U214" s="8"/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3"/>
        <v>98</v>
      </c>
      <c r="P215" s="6">
        <f t="shared" si="14"/>
        <v>98</v>
      </c>
      <c r="Q215" s="6" t="s">
        <v>30</v>
      </c>
      <c r="R215" s="7">
        <v>45224</v>
      </c>
      <c r="S215" s="7">
        <v>401768</v>
      </c>
      <c r="T215" s="6"/>
      <c r="U215" s="8"/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3"/>
        <v>0</v>
      </c>
      <c r="P216" s="6">
        <f t="shared" si="14"/>
        <v>0</v>
      </c>
      <c r="Q216" s="6" t="s">
        <v>30</v>
      </c>
      <c r="R216" s="7">
        <v>41275</v>
      </c>
      <c r="S216" s="7">
        <v>401768</v>
      </c>
      <c r="T216" s="6"/>
      <c r="U216" s="8"/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3"/>
        <v>0</v>
      </c>
      <c r="P217" s="6">
        <f t="shared" si="14"/>
        <v>0</v>
      </c>
      <c r="Q217" s="6" t="s">
        <v>30</v>
      </c>
      <c r="R217" s="7">
        <v>41275</v>
      </c>
      <c r="S217" s="7">
        <v>401768</v>
      </c>
      <c r="T217" s="6"/>
      <c r="U217" s="8"/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3"/>
        <v>5.13</v>
      </c>
      <c r="P218" s="6">
        <f t="shared" si="14"/>
        <v>5.13</v>
      </c>
      <c r="Q218" s="6" t="s">
        <v>30</v>
      </c>
      <c r="R218" s="7">
        <v>41426</v>
      </c>
      <c r="S218" s="7">
        <v>401768</v>
      </c>
      <c r="T218" s="6"/>
      <c r="U218" s="8"/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3"/>
        <v>7.6</v>
      </c>
      <c r="P219" s="6">
        <f t="shared" si="14"/>
        <v>7.6</v>
      </c>
      <c r="Q219" s="6" t="s">
        <v>30</v>
      </c>
      <c r="R219" s="7">
        <v>41426</v>
      </c>
      <c r="S219" s="7">
        <v>401768</v>
      </c>
      <c r="T219" s="6"/>
      <c r="U219" s="8"/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3"/>
        <v>1400</v>
      </c>
      <c r="P220" s="6">
        <f t="shared" si="14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/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3"/>
        <v>8000</v>
      </c>
      <c r="P221" s="6">
        <f t="shared" si="14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/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5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/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5"/>
        <v>166.25</v>
      </c>
      <c r="Q223" s="6" t="s">
        <v>30</v>
      </c>
      <c r="R223" s="7">
        <v>45827</v>
      </c>
      <c r="S223" s="7">
        <v>401768</v>
      </c>
      <c r="T223" s="6"/>
      <c r="U223" s="8"/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5"/>
        <v>132.04999999999998</v>
      </c>
      <c r="Q224" s="6" t="s">
        <v>30</v>
      </c>
      <c r="R224" s="7">
        <v>45997</v>
      </c>
      <c r="S224" s="7">
        <v>401768</v>
      </c>
      <c r="T224" s="6"/>
      <c r="U224" s="8"/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5"/>
        <v>38.949999999999996</v>
      </c>
      <c r="Q225" s="6" t="s">
        <v>30</v>
      </c>
      <c r="R225" s="7">
        <v>46099</v>
      </c>
      <c r="S225" s="7">
        <v>401768</v>
      </c>
      <c r="T225" s="6"/>
      <c r="U225" s="8"/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16">M226</f>
        <v>107.15</v>
      </c>
      <c r="P226" s="6">
        <f t="shared" ref="P226:P242" si="17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/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16"/>
        <v>142.54</v>
      </c>
      <c r="P227" s="6">
        <f t="shared" si="17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/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16"/>
        <v>114.8</v>
      </c>
      <c r="P228" s="6">
        <f t="shared" si="17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/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16"/>
        <v>136.44</v>
      </c>
      <c r="P229" s="6">
        <f t="shared" si="17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/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16"/>
        <v>4575</v>
      </c>
      <c r="P230" s="6">
        <f t="shared" si="17"/>
        <v>4575</v>
      </c>
      <c r="Q230" s="6" t="s">
        <v>30</v>
      </c>
      <c r="R230" s="7">
        <v>44854</v>
      </c>
      <c r="S230" s="7">
        <v>401768</v>
      </c>
      <c r="T230" s="6"/>
      <c r="U230" s="8"/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16"/>
        <v>177466.61</v>
      </c>
      <c r="P231" s="6">
        <f t="shared" si="17"/>
        <v>177466.61</v>
      </c>
      <c r="Q231" s="6" t="s">
        <v>30</v>
      </c>
      <c r="R231" s="7">
        <v>44957</v>
      </c>
      <c r="S231" s="7">
        <v>401768</v>
      </c>
      <c r="T231" s="6"/>
      <c r="U231" s="8"/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16"/>
        <v>93.76</v>
      </c>
      <c r="P232" s="6">
        <f t="shared" si="17"/>
        <v>93.76</v>
      </c>
      <c r="Q232" s="6" t="s">
        <v>30</v>
      </c>
      <c r="R232" s="7">
        <v>45082</v>
      </c>
      <c r="S232" s="7">
        <v>401768</v>
      </c>
      <c r="T232" s="6"/>
      <c r="U232" s="8"/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16"/>
        <v>6.4</v>
      </c>
      <c r="P233" s="6">
        <f t="shared" si="17"/>
        <v>6.4</v>
      </c>
      <c r="Q233" s="6" t="s">
        <v>30</v>
      </c>
      <c r="R233" s="7">
        <v>45411</v>
      </c>
      <c r="S233" s="7">
        <v>401768</v>
      </c>
      <c r="T233" s="6"/>
      <c r="U233" s="8"/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16"/>
        <v>760</v>
      </c>
      <c r="P234" s="6">
        <f t="shared" si="17"/>
        <v>760</v>
      </c>
      <c r="Q234" s="6" t="s">
        <v>30</v>
      </c>
      <c r="R234" s="7">
        <v>45721</v>
      </c>
      <c r="S234" s="7">
        <v>401768</v>
      </c>
      <c r="T234" s="6"/>
      <c r="U234" s="8"/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4.0599999999999996</v>
      </c>
      <c r="N235" s="6" t="s">
        <v>29</v>
      </c>
      <c r="O235" s="6">
        <f t="shared" si="16"/>
        <v>4.0599999999999996</v>
      </c>
      <c r="P235" s="6">
        <f t="shared" si="17"/>
        <v>4.0599999999999996</v>
      </c>
      <c r="Q235" s="6" t="s">
        <v>30</v>
      </c>
      <c r="R235" s="7">
        <v>46065</v>
      </c>
      <c r="S235" s="7">
        <v>401768</v>
      </c>
      <c r="T235" s="6"/>
      <c r="U235" s="8"/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2.0099999999999998</v>
      </c>
      <c r="N236" s="6" t="s">
        <v>29</v>
      </c>
      <c r="O236" s="6">
        <f t="shared" si="16"/>
        <v>2.0099999999999998</v>
      </c>
      <c r="P236" s="6">
        <f t="shared" si="17"/>
        <v>2.0099999999999998</v>
      </c>
      <c r="Q236" s="6" t="s">
        <v>30</v>
      </c>
      <c r="R236" s="7">
        <v>46065</v>
      </c>
      <c r="S236" s="7">
        <v>401768</v>
      </c>
      <c r="T236" s="6"/>
      <c r="U236" s="8"/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16"/>
        <v>4.88</v>
      </c>
      <c r="P237" s="6">
        <f t="shared" si="17"/>
        <v>4.88</v>
      </c>
      <c r="Q237" s="6" t="s">
        <v>30</v>
      </c>
      <c r="R237" s="7">
        <v>46065</v>
      </c>
      <c r="S237" s="7">
        <v>401768</v>
      </c>
      <c r="T237" s="6"/>
      <c r="U237" s="8"/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16"/>
        <v>2.42</v>
      </c>
      <c r="P238" s="6">
        <f t="shared" si="17"/>
        <v>2.42</v>
      </c>
      <c r="Q238" s="6" t="s">
        <v>30</v>
      </c>
      <c r="R238" s="7">
        <v>46065</v>
      </c>
      <c r="S238" s="7">
        <v>401768</v>
      </c>
      <c r="T238" s="6"/>
      <c r="U238" s="8"/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16"/>
        <v>3.65</v>
      </c>
      <c r="P239" s="6">
        <f t="shared" si="17"/>
        <v>3.65</v>
      </c>
      <c r="Q239" s="6" t="s">
        <v>30</v>
      </c>
      <c r="R239" s="7">
        <v>46065</v>
      </c>
      <c r="S239" s="7">
        <v>401768</v>
      </c>
      <c r="T239" s="6"/>
      <c r="U239" s="8"/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16"/>
        <v>1.81</v>
      </c>
      <c r="P240" s="6">
        <f t="shared" si="17"/>
        <v>1.81</v>
      </c>
      <c r="Q240" s="6" t="s">
        <v>30</v>
      </c>
      <c r="R240" s="7">
        <v>46065</v>
      </c>
      <c r="S240" s="7">
        <v>401768</v>
      </c>
      <c r="T240" s="6"/>
      <c r="U240" s="8"/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5.0599999999999996</v>
      </c>
      <c r="N241" s="6" t="s">
        <v>29</v>
      </c>
      <c r="O241" s="6">
        <f t="shared" si="16"/>
        <v>5.0599999999999996</v>
      </c>
      <c r="P241" s="6">
        <f t="shared" si="17"/>
        <v>5.0599999999999996</v>
      </c>
      <c r="Q241" s="6" t="s">
        <v>30</v>
      </c>
      <c r="R241" s="7">
        <v>46065</v>
      </c>
      <c r="S241" s="7">
        <v>401768</v>
      </c>
      <c r="T241" s="6"/>
      <c r="U241" s="8"/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2.5099999999999998</v>
      </c>
      <c r="N242" s="6" t="s">
        <v>29</v>
      </c>
      <c r="O242" s="6">
        <f t="shared" si="16"/>
        <v>2.5099999999999998</v>
      </c>
      <c r="P242" s="6">
        <f t="shared" si="17"/>
        <v>2.5099999999999998</v>
      </c>
      <c r="Q242" s="6" t="s">
        <v>30</v>
      </c>
      <c r="R242" s="7">
        <v>46065</v>
      </c>
      <c r="S242" s="7">
        <v>401768</v>
      </c>
      <c r="T242" s="6"/>
      <c r="U242" s="8"/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5"/>
        <v>450.3</v>
      </c>
      <c r="Q243" s="6" t="s">
        <v>30</v>
      </c>
      <c r="R243" s="7">
        <v>41275</v>
      </c>
      <c r="S243" s="7">
        <v>401768</v>
      </c>
      <c r="T243" s="6"/>
      <c r="U243" s="8"/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5"/>
        <v>475</v>
      </c>
      <c r="Q244" s="6" t="s">
        <v>30</v>
      </c>
      <c r="R244" s="7">
        <v>41275</v>
      </c>
      <c r="S244" s="7">
        <v>401768</v>
      </c>
      <c r="T244" s="6"/>
      <c r="U244" s="8"/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5"/>
        <v>902.5</v>
      </c>
      <c r="Q245" s="6" t="s">
        <v>30</v>
      </c>
      <c r="R245" s="7">
        <v>41275</v>
      </c>
      <c r="S245" s="7">
        <v>401768</v>
      </c>
      <c r="T245" s="6"/>
      <c r="U245" s="8"/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5"/>
        <v>902.5</v>
      </c>
      <c r="Q246" s="6" t="s">
        <v>30</v>
      </c>
      <c r="R246" s="7">
        <v>41275</v>
      </c>
      <c r="S246" s="7">
        <v>401768</v>
      </c>
      <c r="T246" s="6"/>
      <c r="U246" s="8"/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5"/>
        <v>950</v>
      </c>
      <c r="Q247" s="6" t="s">
        <v>30</v>
      </c>
      <c r="R247" s="7">
        <v>42355</v>
      </c>
      <c r="S247" s="7">
        <v>401768</v>
      </c>
      <c r="T247" s="6"/>
      <c r="U247" s="8"/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5"/>
        <v>950</v>
      </c>
      <c r="Q248" s="6" t="s">
        <v>30</v>
      </c>
      <c r="R248" s="7">
        <v>42355</v>
      </c>
      <c r="S248" s="7">
        <v>401768</v>
      </c>
      <c r="T248" s="6"/>
      <c r="U248" s="8"/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/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5"/>
        <v>46.55</v>
      </c>
      <c r="Q250" s="6" t="s">
        <v>30</v>
      </c>
      <c r="R250" s="7">
        <v>45204</v>
      </c>
      <c r="S250" s="7">
        <v>401768</v>
      </c>
      <c r="T250" s="6"/>
      <c r="U250" s="8"/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5"/>
        <v>46.55</v>
      </c>
      <c r="Q251" s="6" t="s">
        <v>30</v>
      </c>
      <c r="R251" s="7">
        <v>45204</v>
      </c>
      <c r="S251" s="7">
        <v>401768</v>
      </c>
      <c r="T251" s="6"/>
      <c r="U251" s="8"/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18">M252</f>
        <v>39.93</v>
      </c>
      <c r="P252" s="6">
        <f t="shared" ref="P252:P274" si="19">O252</f>
        <v>39.93</v>
      </c>
      <c r="Q252" s="6" t="s">
        <v>30</v>
      </c>
      <c r="R252" s="7">
        <v>42683</v>
      </c>
      <c r="S252" s="7">
        <v>401768</v>
      </c>
      <c r="T252" s="6"/>
      <c r="U252" s="8"/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18"/>
        <v>88.48</v>
      </c>
      <c r="P253" s="6">
        <f t="shared" si="19"/>
        <v>88.48</v>
      </c>
      <c r="Q253" s="6" t="s">
        <v>30</v>
      </c>
      <c r="R253" s="7">
        <v>45320</v>
      </c>
      <c r="S253" s="7">
        <v>401768</v>
      </c>
      <c r="T253" s="6"/>
      <c r="U253" s="8"/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18"/>
        <v>6.56</v>
      </c>
      <c r="P254" s="6">
        <f t="shared" si="19"/>
        <v>6.56</v>
      </c>
      <c r="Q254" s="6" t="s">
        <v>30</v>
      </c>
      <c r="R254" s="7">
        <v>45320</v>
      </c>
      <c r="S254" s="7">
        <v>401768</v>
      </c>
      <c r="T254" s="6"/>
      <c r="U254" s="8"/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18"/>
        <v>48.08</v>
      </c>
      <c r="P255" s="6">
        <f t="shared" si="19"/>
        <v>48.08</v>
      </c>
      <c r="Q255" s="6" t="s">
        <v>30</v>
      </c>
      <c r="R255" s="7">
        <v>44532</v>
      </c>
      <c r="S255" s="7">
        <v>401768</v>
      </c>
      <c r="T255" s="6"/>
      <c r="U255" s="8"/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18"/>
        <v>61.07</v>
      </c>
      <c r="P256" s="6">
        <f t="shared" si="19"/>
        <v>61.07</v>
      </c>
      <c r="Q256" s="6" t="s">
        <v>30</v>
      </c>
      <c r="R256" s="7">
        <v>42244</v>
      </c>
      <c r="S256" s="7">
        <v>401768</v>
      </c>
      <c r="T256" s="6"/>
      <c r="U256" s="8"/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18"/>
        <v>39.93</v>
      </c>
      <c r="P257" s="6">
        <f t="shared" si="19"/>
        <v>39.93</v>
      </c>
      <c r="Q257" s="6" t="s">
        <v>30</v>
      </c>
      <c r="R257" s="7">
        <v>42244</v>
      </c>
      <c r="S257" s="7">
        <v>401768</v>
      </c>
      <c r="T257" s="6"/>
      <c r="U257" s="8"/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18"/>
        <v>44.93</v>
      </c>
      <c r="P258" s="6">
        <f t="shared" si="19"/>
        <v>44.93</v>
      </c>
      <c r="Q258" s="6" t="s">
        <v>30</v>
      </c>
      <c r="R258" s="7">
        <v>45967</v>
      </c>
      <c r="S258" s="7">
        <v>401768</v>
      </c>
      <c r="T258" s="6"/>
      <c r="U258" s="8"/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18"/>
        <v>93.09</v>
      </c>
      <c r="P259" s="6">
        <f t="shared" si="19"/>
        <v>93.09</v>
      </c>
      <c r="Q259" s="6" t="s">
        <v>30</v>
      </c>
      <c r="R259" s="7">
        <v>45967</v>
      </c>
      <c r="S259" s="7">
        <v>401768</v>
      </c>
      <c r="T259" s="6"/>
      <c r="U259" s="8"/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18"/>
        <v>98.13</v>
      </c>
      <c r="P260" s="6">
        <f t="shared" si="19"/>
        <v>98.13</v>
      </c>
      <c r="Q260" s="6" t="s">
        <v>30</v>
      </c>
      <c r="R260" s="7">
        <v>45967</v>
      </c>
      <c r="S260" s="7">
        <v>401768</v>
      </c>
      <c r="T260" s="6"/>
      <c r="U260" s="8"/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18"/>
        <v>110.64</v>
      </c>
      <c r="P261" s="6">
        <f t="shared" si="19"/>
        <v>110.64</v>
      </c>
      <c r="Q261" s="6" t="s">
        <v>30</v>
      </c>
      <c r="R261" s="7">
        <v>45967</v>
      </c>
      <c r="S261" s="7">
        <v>401768</v>
      </c>
      <c r="T261" s="6"/>
      <c r="U261" s="8"/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18"/>
        <v>6.78</v>
      </c>
      <c r="P262" s="6">
        <f t="shared" si="19"/>
        <v>6.78</v>
      </c>
      <c r="Q262" s="6" t="s">
        <v>30</v>
      </c>
      <c r="R262" s="7">
        <v>45967</v>
      </c>
      <c r="S262" s="7">
        <v>401768</v>
      </c>
      <c r="T262" s="6"/>
      <c r="U262" s="8"/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18"/>
        <v>115.13</v>
      </c>
      <c r="P263" s="6">
        <f t="shared" si="19"/>
        <v>115.13</v>
      </c>
      <c r="Q263" s="6" t="s">
        <v>30</v>
      </c>
      <c r="R263" s="7">
        <v>45967</v>
      </c>
      <c r="S263" s="7">
        <v>401768</v>
      </c>
      <c r="T263" s="6"/>
      <c r="U263" s="8"/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18"/>
        <v>114.45</v>
      </c>
      <c r="P264" s="6">
        <f t="shared" si="19"/>
        <v>114.45</v>
      </c>
      <c r="Q264" s="6" t="s">
        <v>30</v>
      </c>
      <c r="R264" s="7">
        <v>44578</v>
      </c>
      <c r="S264" s="7">
        <v>401768</v>
      </c>
      <c r="T264" s="6"/>
      <c r="U264" s="8"/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18"/>
        <v>5755</v>
      </c>
      <c r="P265" s="6">
        <f t="shared" si="19"/>
        <v>5755</v>
      </c>
      <c r="Q265" s="6" t="s">
        <v>30</v>
      </c>
      <c r="R265" s="7">
        <v>44824</v>
      </c>
      <c r="S265" s="7">
        <v>401768</v>
      </c>
      <c r="T265" s="6"/>
      <c r="U265" s="8"/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18"/>
        <v>40</v>
      </c>
      <c r="P266" s="6">
        <f t="shared" si="19"/>
        <v>40</v>
      </c>
      <c r="Q266" s="6" t="s">
        <v>30</v>
      </c>
      <c r="R266" s="7">
        <v>45211</v>
      </c>
      <c r="S266" s="7">
        <v>401768</v>
      </c>
      <c r="T266" s="6"/>
      <c r="U266" s="8"/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18"/>
        <v>66.67</v>
      </c>
      <c r="P267" s="6">
        <f t="shared" si="19"/>
        <v>66.67</v>
      </c>
      <c r="Q267" s="6" t="s">
        <v>30</v>
      </c>
      <c r="R267" s="7">
        <v>43239</v>
      </c>
      <c r="S267" s="7">
        <v>401768</v>
      </c>
      <c r="T267" s="6"/>
      <c r="U267" s="8"/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18"/>
        <v>39.93</v>
      </c>
      <c r="P268" s="6">
        <f t="shared" si="19"/>
        <v>39.93</v>
      </c>
      <c r="Q268" s="6" t="s">
        <v>30</v>
      </c>
      <c r="R268" s="7">
        <v>42244</v>
      </c>
      <c r="S268" s="7">
        <v>401768</v>
      </c>
      <c r="T268" s="6"/>
      <c r="U268" s="8"/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18"/>
        <v>48.08</v>
      </c>
      <c r="P269" s="6">
        <f t="shared" si="19"/>
        <v>48.08</v>
      </c>
      <c r="Q269" s="6" t="s">
        <v>30</v>
      </c>
      <c r="R269" s="7">
        <v>44532</v>
      </c>
      <c r="S269" s="7">
        <v>401768</v>
      </c>
      <c r="T269" s="6"/>
      <c r="U269" s="8"/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18"/>
        <v>36.46</v>
      </c>
      <c r="P270" s="6">
        <f t="shared" si="19"/>
        <v>36.46</v>
      </c>
      <c r="Q270" s="6" t="s">
        <v>30</v>
      </c>
      <c r="R270" s="7">
        <v>44679</v>
      </c>
      <c r="S270" s="7">
        <v>401768</v>
      </c>
      <c r="T270" s="6"/>
      <c r="U270" s="8"/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18"/>
        <v>105.47</v>
      </c>
      <c r="P271" s="6">
        <f t="shared" si="19"/>
        <v>105.47</v>
      </c>
      <c r="Q271" s="6" t="s">
        <v>30</v>
      </c>
      <c r="R271" s="7">
        <v>45320</v>
      </c>
      <c r="S271" s="7">
        <v>401768</v>
      </c>
      <c r="T271" s="6"/>
      <c r="U271" s="8"/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18"/>
        <v>83.76</v>
      </c>
      <c r="P272" s="6">
        <f t="shared" si="19"/>
        <v>83.76</v>
      </c>
      <c r="Q272" s="6" t="s">
        <v>30</v>
      </c>
      <c r="R272" s="7">
        <v>42387</v>
      </c>
      <c r="S272" s="7">
        <v>401768</v>
      </c>
      <c r="T272" s="6"/>
      <c r="U272" s="8"/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18"/>
        <v>40</v>
      </c>
      <c r="P273" s="6">
        <f t="shared" si="19"/>
        <v>40</v>
      </c>
      <c r="Q273" s="6" t="s">
        <v>30</v>
      </c>
      <c r="R273" s="7">
        <v>45211</v>
      </c>
      <c r="S273" s="7">
        <v>401768</v>
      </c>
      <c r="T273" s="6"/>
      <c r="U273" s="8"/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18"/>
        <v>40</v>
      </c>
      <c r="P274" s="6">
        <f t="shared" si="19"/>
        <v>40</v>
      </c>
      <c r="Q274" s="6" t="s">
        <v>30</v>
      </c>
      <c r="R274" s="7">
        <v>45211</v>
      </c>
      <c r="S274" s="7">
        <v>401768</v>
      </c>
      <c r="T274" s="6"/>
      <c r="U274" s="8"/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0">O275*M275</f>
        <v>63574000</v>
      </c>
      <c r="Q275" s="6" t="s">
        <v>30</v>
      </c>
      <c r="R275" s="7">
        <v>44011</v>
      </c>
      <c r="S275" s="7">
        <v>401768</v>
      </c>
      <c r="T275" s="6"/>
      <c r="U275" s="8"/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0"/>
        <v>59650500</v>
      </c>
      <c r="Q276" s="6" t="s">
        <v>30</v>
      </c>
      <c r="R276" s="7">
        <v>44011</v>
      </c>
      <c r="S276" s="7">
        <v>401768</v>
      </c>
      <c r="T276" s="6"/>
      <c r="U276" s="8"/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1">M277</f>
        <v>29.2</v>
      </c>
      <c r="P277" s="6">
        <f t="shared" ref="P277:P294" si="22">O277</f>
        <v>29.2</v>
      </c>
      <c r="Q277" s="6" t="s">
        <v>30</v>
      </c>
      <c r="R277" s="7">
        <v>45281</v>
      </c>
      <c r="S277" s="7">
        <v>401768</v>
      </c>
      <c r="T277" s="6"/>
      <c r="U277" s="8"/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40.659999999999997</v>
      </c>
      <c r="N278" s="6" t="s">
        <v>29</v>
      </c>
      <c r="O278" s="6">
        <f t="shared" si="21"/>
        <v>40.659999999999997</v>
      </c>
      <c r="P278" s="6">
        <f t="shared" si="22"/>
        <v>40.659999999999997</v>
      </c>
      <c r="Q278" s="6" t="s">
        <v>30</v>
      </c>
      <c r="R278" s="7">
        <v>44505</v>
      </c>
      <c r="S278" s="7">
        <v>401768</v>
      </c>
      <c r="T278" s="6"/>
      <c r="U278" s="8"/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1"/>
        <v>560.64</v>
      </c>
      <c r="P279" s="6">
        <f t="shared" si="22"/>
        <v>560.64</v>
      </c>
      <c r="Q279" s="6" t="s">
        <v>30</v>
      </c>
      <c r="R279" s="7">
        <v>41518</v>
      </c>
      <c r="S279" s="7">
        <v>401768</v>
      </c>
      <c r="T279" s="6"/>
      <c r="U279" s="8"/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1"/>
        <v>205.92</v>
      </c>
      <c r="P280" s="6">
        <f t="shared" si="22"/>
        <v>205.92</v>
      </c>
      <c r="Q280" s="6" t="s">
        <v>30</v>
      </c>
      <c r="R280" s="7">
        <v>44505</v>
      </c>
      <c r="S280" s="7">
        <v>401768</v>
      </c>
      <c r="T280" s="6"/>
      <c r="U280" s="8"/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1"/>
        <v>158.4</v>
      </c>
      <c r="P281" s="6">
        <f t="shared" si="22"/>
        <v>158.4</v>
      </c>
      <c r="Q281" s="6" t="s">
        <v>30</v>
      </c>
      <c r="R281" s="7">
        <v>44505</v>
      </c>
      <c r="S281" s="7">
        <v>401768</v>
      </c>
      <c r="T281" s="6"/>
      <c r="U281" s="8"/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1"/>
        <v>85.06</v>
      </c>
      <c r="P282" s="6">
        <f t="shared" si="22"/>
        <v>85.06</v>
      </c>
      <c r="Q282" s="6" t="s">
        <v>30</v>
      </c>
      <c r="R282" s="7">
        <v>44505</v>
      </c>
      <c r="S282" s="7">
        <v>401768</v>
      </c>
      <c r="T282" s="6"/>
      <c r="U282" s="8"/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1"/>
        <v>1253.2</v>
      </c>
      <c r="P283" s="6">
        <f t="shared" si="22"/>
        <v>1253.2</v>
      </c>
      <c r="Q283" s="6" t="s">
        <v>30</v>
      </c>
      <c r="R283" s="7">
        <v>45999</v>
      </c>
      <c r="S283" s="7">
        <v>401768</v>
      </c>
      <c r="T283" s="6"/>
      <c r="U283" s="8"/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1"/>
        <v>1439.83</v>
      </c>
      <c r="P284" s="6">
        <f t="shared" si="22"/>
        <v>1439.83</v>
      </c>
      <c r="Q284" s="6" t="s">
        <v>30</v>
      </c>
      <c r="R284" s="7">
        <v>45999</v>
      </c>
      <c r="S284" s="7">
        <v>401768</v>
      </c>
      <c r="T284" s="6"/>
      <c r="U284" s="8"/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1"/>
        <v>366.17</v>
      </c>
      <c r="P285" s="6">
        <f t="shared" si="22"/>
        <v>366.17</v>
      </c>
      <c r="Q285" s="6" t="s">
        <v>30</v>
      </c>
      <c r="R285" s="7">
        <v>44505</v>
      </c>
      <c r="S285" s="7">
        <v>401768</v>
      </c>
      <c r="T285" s="6"/>
      <c r="U285" s="8"/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1"/>
        <v>22.88</v>
      </c>
      <c r="P286" s="6">
        <f t="shared" si="22"/>
        <v>22.88</v>
      </c>
      <c r="Q286" s="6" t="s">
        <v>30</v>
      </c>
      <c r="R286" s="7">
        <v>44505</v>
      </c>
      <c r="S286" s="7">
        <v>401768</v>
      </c>
      <c r="T286" s="6"/>
      <c r="U286" s="8"/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1"/>
        <v>205.92</v>
      </c>
      <c r="P287" s="6">
        <f t="shared" si="22"/>
        <v>205.92</v>
      </c>
      <c r="Q287" s="6" t="s">
        <v>30</v>
      </c>
      <c r="R287" s="7">
        <v>44505</v>
      </c>
      <c r="S287" s="7">
        <v>401768</v>
      </c>
      <c r="T287" s="6"/>
      <c r="U287" s="8"/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1"/>
        <v>205.92</v>
      </c>
      <c r="P288" s="6">
        <f t="shared" si="22"/>
        <v>205.92</v>
      </c>
      <c r="Q288" s="6" t="s">
        <v>30</v>
      </c>
      <c r="R288" s="7">
        <v>44505</v>
      </c>
      <c r="S288" s="7">
        <v>401768</v>
      </c>
      <c r="T288" s="6"/>
      <c r="U288" s="8"/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1"/>
        <v>85.06</v>
      </c>
      <c r="P289" s="6">
        <f t="shared" si="22"/>
        <v>85.06</v>
      </c>
      <c r="Q289" s="6" t="s">
        <v>30</v>
      </c>
      <c r="R289" s="7">
        <v>44505</v>
      </c>
      <c r="S289" s="7">
        <v>401768</v>
      </c>
      <c r="T289" s="6"/>
      <c r="U289" s="8"/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1"/>
        <v>1253.2</v>
      </c>
      <c r="P290" s="6">
        <f t="shared" si="22"/>
        <v>1253.2</v>
      </c>
      <c r="Q290" s="6" t="s">
        <v>30</v>
      </c>
      <c r="R290" s="7">
        <v>45999</v>
      </c>
      <c r="S290" s="7">
        <v>401768</v>
      </c>
      <c r="T290" s="6"/>
      <c r="U290" s="8"/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1"/>
        <v>1890</v>
      </c>
      <c r="P291" s="6">
        <f t="shared" si="22"/>
        <v>1890</v>
      </c>
      <c r="Q291" s="6" t="s">
        <v>30</v>
      </c>
      <c r="R291" s="7">
        <v>44704</v>
      </c>
      <c r="S291" s="7">
        <v>401768</v>
      </c>
      <c r="T291" s="6"/>
      <c r="U291" s="8"/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1288.1600000000001</v>
      </c>
      <c r="N292" s="6" t="s">
        <v>29</v>
      </c>
      <c r="O292" s="6">
        <f t="shared" si="21"/>
        <v>1288.1600000000001</v>
      </c>
      <c r="P292" s="6">
        <f t="shared" si="22"/>
        <v>1288.1600000000001</v>
      </c>
      <c r="Q292" s="6" t="s">
        <v>30</v>
      </c>
      <c r="R292" s="7">
        <v>45622</v>
      </c>
      <c r="S292" s="7">
        <v>401768</v>
      </c>
      <c r="T292" s="6"/>
      <c r="U292" s="8"/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1"/>
        <v>2315.4</v>
      </c>
      <c r="P293" s="6">
        <f t="shared" si="22"/>
        <v>2315.4</v>
      </c>
      <c r="Q293" s="6" t="s">
        <v>30</v>
      </c>
      <c r="R293" s="7">
        <v>45999</v>
      </c>
      <c r="S293" s="7">
        <v>401768</v>
      </c>
      <c r="T293" s="6"/>
      <c r="U293" s="8"/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1"/>
        <v>2778.01</v>
      </c>
      <c r="P294" s="6">
        <f t="shared" si="22"/>
        <v>2778.01</v>
      </c>
      <c r="Q294" s="6" t="s">
        <v>30</v>
      </c>
      <c r="R294" s="7">
        <v>45622</v>
      </c>
      <c r="S294" s="7">
        <v>401768</v>
      </c>
      <c r="T294" s="6"/>
      <c r="U294" s="8"/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0"/>
        <v>63.650000000000006</v>
      </c>
      <c r="Q295" s="6" t="s">
        <v>30</v>
      </c>
      <c r="R295" s="7">
        <v>44505</v>
      </c>
      <c r="S295" s="7">
        <v>401768</v>
      </c>
      <c r="T295" s="6"/>
      <c r="U295" s="8"/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0"/>
        <v>90.25</v>
      </c>
      <c r="Q296" s="6" t="s">
        <v>30</v>
      </c>
      <c r="R296" s="7">
        <v>44505</v>
      </c>
      <c r="S296" s="7">
        <v>401768</v>
      </c>
      <c r="T296" s="6"/>
      <c r="U296" s="8"/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0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/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0"/>
        <v>1474.3999999999999</v>
      </c>
      <c r="Q298" s="6" t="s">
        <v>30</v>
      </c>
      <c r="R298" s="7">
        <v>44505</v>
      </c>
      <c r="S298" s="7">
        <v>401768</v>
      </c>
      <c r="T298" s="6"/>
      <c r="U298" s="8"/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0"/>
        <v>2647.65</v>
      </c>
      <c r="Q299" s="6" t="s">
        <v>30</v>
      </c>
      <c r="R299" s="7">
        <v>45980</v>
      </c>
      <c r="S299" s="7">
        <v>401768</v>
      </c>
      <c r="T299" s="6"/>
      <c r="U299" s="8"/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0"/>
        <v>1884.8</v>
      </c>
      <c r="Q300" s="6" t="s">
        <v>30</v>
      </c>
      <c r="R300" s="7">
        <v>45980</v>
      </c>
      <c r="S300" s="7">
        <v>401768</v>
      </c>
      <c r="T300" s="6"/>
      <c r="U300" s="8"/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0"/>
        <v>1603.6</v>
      </c>
      <c r="Q301" s="6" t="s">
        <v>30</v>
      </c>
      <c r="R301" s="7">
        <v>45980</v>
      </c>
      <c r="S301" s="7">
        <v>401768</v>
      </c>
      <c r="T301" s="6"/>
      <c r="U301" s="8"/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0"/>
        <v>1603.6</v>
      </c>
      <c r="Q302" s="6" t="s">
        <v>30</v>
      </c>
      <c r="R302" s="7">
        <v>45980</v>
      </c>
      <c r="S302" s="7">
        <v>401768</v>
      </c>
      <c r="T302" s="6"/>
      <c r="U302" s="8"/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38.369999999999997</v>
      </c>
      <c r="N303" s="6" t="s">
        <v>160</v>
      </c>
      <c r="O303" s="6">
        <v>95</v>
      </c>
      <c r="P303" s="6">
        <f t="shared" si="20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/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0"/>
        <v>3633.75</v>
      </c>
      <c r="Q304" s="6" t="s">
        <v>30</v>
      </c>
      <c r="R304" s="7">
        <v>45980</v>
      </c>
      <c r="S304" s="7">
        <v>401768</v>
      </c>
      <c r="T304" s="6"/>
      <c r="U304" s="8"/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0"/>
        <v>15343260</v>
      </c>
      <c r="Q305" s="6" t="s">
        <v>30</v>
      </c>
      <c r="R305" s="7">
        <v>41879</v>
      </c>
      <c r="S305" s="7">
        <v>401768</v>
      </c>
      <c r="T305" s="6"/>
      <c r="U305" s="8"/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0"/>
        <v>312.55</v>
      </c>
      <c r="Q306" s="6" t="s">
        <v>30</v>
      </c>
      <c r="R306" s="7">
        <v>44505</v>
      </c>
      <c r="S306" s="7">
        <v>401768</v>
      </c>
      <c r="T306" s="6"/>
      <c r="U306" s="8"/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0"/>
        <v>140.6</v>
      </c>
      <c r="Q307" s="6" t="s">
        <v>30</v>
      </c>
      <c r="R307" s="7">
        <v>44505</v>
      </c>
      <c r="S307" s="7">
        <v>401768</v>
      </c>
      <c r="T307" s="6"/>
      <c r="U307" s="8"/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0"/>
        <v>1975.05</v>
      </c>
      <c r="Q308" s="6" t="s">
        <v>30</v>
      </c>
      <c r="R308" s="7">
        <v>44704</v>
      </c>
      <c r="S308" s="7">
        <v>401768</v>
      </c>
      <c r="T308" s="6"/>
      <c r="U308" s="8"/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0"/>
        <v>3179.65</v>
      </c>
      <c r="Q309" s="6" t="s">
        <v>30</v>
      </c>
      <c r="R309" s="7">
        <v>44505</v>
      </c>
      <c r="S309" s="7">
        <v>401768</v>
      </c>
      <c r="T309" s="6"/>
      <c r="U309" s="8"/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0"/>
        <v>15343260</v>
      </c>
      <c r="Q310" s="6" t="s">
        <v>30</v>
      </c>
      <c r="R310" s="7">
        <v>41864</v>
      </c>
      <c r="S310" s="7">
        <v>401768</v>
      </c>
      <c r="T310" s="6"/>
      <c r="U310" s="8"/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0"/>
        <v>69226500</v>
      </c>
      <c r="Q311" s="6" t="s">
        <v>30</v>
      </c>
      <c r="R311" s="7">
        <v>43343</v>
      </c>
      <c r="S311" s="7">
        <v>401768</v>
      </c>
      <c r="T311" s="6"/>
      <c r="U311" s="8"/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0"/>
        <v>499.4</v>
      </c>
      <c r="Q312" s="6" t="s">
        <v>30</v>
      </c>
      <c r="R312" s="7">
        <v>45048</v>
      </c>
      <c r="S312" s="7">
        <v>401768</v>
      </c>
      <c r="T312" s="6"/>
      <c r="U312" s="8"/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/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7.0000000000000007E-2</v>
      </c>
      <c r="N314" s="6" t="s">
        <v>160</v>
      </c>
      <c r="O314" s="6">
        <v>95</v>
      </c>
      <c r="P314" s="6">
        <f t="shared" si="20"/>
        <v>6.65</v>
      </c>
      <c r="Q314" s="6" t="s">
        <v>30</v>
      </c>
      <c r="R314" s="7">
        <v>41275</v>
      </c>
      <c r="S314" s="7">
        <v>401768</v>
      </c>
      <c r="T314" s="6"/>
      <c r="U314" s="8"/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0"/>
        <v>50.35</v>
      </c>
      <c r="Q315" s="6" t="s">
        <v>30</v>
      </c>
      <c r="R315" s="7">
        <v>41275</v>
      </c>
      <c r="S315" s="7">
        <v>401768</v>
      </c>
      <c r="T315" s="6"/>
      <c r="U315" s="8"/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0"/>
        <v>855</v>
      </c>
      <c r="Q316" s="6" t="s">
        <v>30</v>
      </c>
      <c r="R316" s="7">
        <v>41275</v>
      </c>
      <c r="S316" s="7">
        <v>401768</v>
      </c>
      <c r="T316" s="6"/>
      <c r="U316" s="8"/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0"/>
        <v>38</v>
      </c>
      <c r="Q317" s="6" t="s">
        <v>30</v>
      </c>
      <c r="R317" s="7">
        <v>41275</v>
      </c>
      <c r="S317" s="7">
        <v>401768</v>
      </c>
      <c r="T317" s="6"/>
      <c r="U317" s="8"/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0.28000000000000003</v>
      </c>
      <c r="N318" s="6" t="s">
        <v>160</v>
      </c>
      <c r="O318" s="6">
        <v>95</v>
      </c>
      <c r="P318" s="6">
        <f t="shared" si="20"/>
        <v>26.6</v>
      </c>
      <c r="Q318" s="6" t="s">
        <v>30</v>
      </c>
      <c r="R318" s="7">
        <v>41275</v>
      </c>
      <c r="S318" s="7">
        <v>401768</v>
      </c>
      <c r="T318" s="6"/>
      <c r="U318" s="8"/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1.1000000000000001</v>
      </c>
      <c r="N319" s="6" t="s">
        <v>160</v>
      </c>
      <c r="O319" s="6">
        <v>95</v>
      </c>
      <c r="P319" s="6">
        <f t="shared" si="20"/>
        <v>104.50000000000001</v>
      </c>
      <c r="Q319" s="6" t="s">
        <v>30</v>
      </c>
      <c r="R319" s="7">
        <v>41275</v>
      </c>
      <c r="S319" s="7">
        <v>401768</v>
      </c>
      <c r="T319" s="6"/>
      <c r="U319" s="8"/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0"/>
        <v>69.349999999999994</v>
      </c>
      <c r="Q320" s="6" t="s">
        <v>30</v>
      </c>
      <c r="R320" s="7">
        <v>46161</v>
      </c>
      <c r="S320" s="7">
        <v>401768</v>
      </c>
      <c r="T320" s="6"/>
      <c r="U320" s="8"/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0.31459999999999999</v>
      </c>
      <c r="N321" s="6" t="s">
        <v>160</v>
      </c>
      <c r="O321" s="6">
        <v>95</v>
      </c>
      <c r="P321" s="6">
        <f t="shared" si="20"/>
        <v>29.887</v>
      </c>
      <c r="Q321" s="6" t="s">
        <v>30</v>
      </c>
      <c r="R321" s="7">
        <v>45476</v>
      </c>
      <c r="S321" s="7">
        <v>401768</v>
      </c>
      <c r="T321" s="6"/>
      <c r="U321" s="8"/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1.0900000000000001</v>
      </c>
      <c r="N322" s="6" t="s">
        <v>160</v>
      </c>
      <c r="O322" s="6">
        <v>95</v>
      </c>
      <c r="P322" s="6">
        <f t="shared" si="20"/>
        <v>103.55000000000001</v>
      </c>
      <c r="Q322" s="6" t="s">
        <v>30</v>
      </c>
      <c r="R322" s="7">
        <v>46161</v>
      </c>
      <c r="S322" s="7">
        <v>401768</v>
      </c>
      <c r="T322" s="6"/>
      <c r="U322" s="8"/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0"/>
        <v>132.04999999999998</v>
      </c>
      <c r="Q323" s="6" t="s">
        <v>30</v>
      </c>
      <c r="R323" s="7">
        <v>46161</v>
      </c>
      <c r="S323" s="7">
        <v>401768</v>
      </c>
      <c r="T323" s="6"/>
      <c r="U323" s="8"/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0"/>
        <v>323</v>
      </c>
      <c r="Q324" s="6" t="s">
        <v>30</v>
      </c>
      <c r="R324" s="7">
        <v>46161</v>
      </c>
      <c r="S324" s="7">
        <v>401768</v>
      </c>
      <c r="T324" s="6"/>
      <c r="U324" s="8"/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0"/>
        <v>329.65000000000003</v>
      </c>
      <c r="Q325" s="6" t="s">
        <v>30</v>
      </c>
      <c r="R325" s="7">
        <v>46161</v>
      </c>
      <c r="S325" s="7">
        <v>401768</v>
      </c>
      <c r="T325" s="6"/>
      <c r="U325" s="8"/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0"/>
        <v>345.8</v>
      </c>
      <c r="Q326" s="6" t="s">
        <v>30</v>
      </c>
      <c r="R326" s="7">
        <v>46161</v>
      </c>
      <c r="S326" s="7">
        <v>401768</v>
      </c>
      <c r="T326" s="6"/>
      <c r="U326" s="8"/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0"/>
        <v>318.25</v>
      </c>
      <c r="Q327" s="6" t="s">
        <v>30</v>
      </c>
      <c r="R327" s="7">
        <v>46161</v>
      </c>
      <c r="S327" s="7">
        <v>401768</v>
      </c>
      <c r="T327" s="6"/>
      <c r="U327" s="8"/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0"/>
        <v>224.2</v>
      </c>
      <c r="Q328" s="6" t="s">
        <v>30</v>
      </c>
      <c r="R328" s="7">
        <v>46161</v>
      </c>
      <c r="S328" s="7">
        <v>401768</v>
      </c>
      <c r="T328" s="6"/>
      <c r="U328" s="8"/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0"/>
        <v>233.7</v>
      </c>
      <c r="Q329" s="6" t="s">
        <v>30</v>
      </c>
      <c r="R329" s="7">
        <v>46161</v>
      </c>
      <c r="S329" s="7">
        <v>401768</v>
      </c>
      <c r="T329" s="6"/>
      <c r="U329" s="8"/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0"/>
        <v>233.7</v>
      </c>
      <c r="Q330" s="6" t="s">
        <v>30</v>
      </c>
      <c r="R330" s="7">
        <v>46161</v>
      </c>
      <c r="S330" s="7">
        <v>401768</v>
      </c>
      <c r="T330" s="6"/>
      <c r="U330" s="8"/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0"/>
        <v>247</v>
      </c>
      <c r="Q331" s="6" t="s">
        <v>30</v>
      </c>
      <c r="R331" s="7">
        <v>46161</v>
      </c>
      <c r="S331" s="7">
        <v>401768</v>
      </c>
      <c r="T331" s="6"/>
      <c r="U331" s="8"/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0"/>
        <v>345.8</v>
      </c>
      <c r="Q332" s="6" t="s">
        <v>30</v>
      </c>
      <c r="R332" s="7">
        <v>46161</v>
      </c>
      <c r="S332" s="7">
        <v>401768</v>
      </c>
      <c r="T332" s="6"/>
      <c r="U332" s="8"/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0"/>
        <v>68.399999999999991</v>
      </c>
      <c r="Q333" s="6" t="s">
        <v>30</v>
      </c>
      <c r="R333" s="7">
        <v>46161</v>
      </c>
      <c r="S333" s="7">
        <v>401768</v>
      </c>
      <c r="T333" s="6"/>
      <c r="U333" s="8"/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0"/>
        <v>70.3</v>
      </c>
      <c r="Q334" s="6" t="s">
        <v>30</v>
      </c>
      <c r="R334" s="7">
        <v>46161</v>
      </c>
      <c r="S334" s="7">
        <v>401768</v>
      </c>
      <c r="T334" s="6"/>
      <c r="U334" s="8"/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0"/>
        <v>366.7</v>
      </c>
      <c r="Q335" s="6" t="s">
        <v>30</v>
      </c>
      <c r="R335" s="7">
        <v>46161</v>
      </c>
      <c r="S335" s="7">
        <v>401768</v>
      </c>
      <c r="T335" s="6"/>
      <c r="U335" s="8"/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0"/>
        <v>37.050000000000004</v>
      </c>
      <c r="Q336" s="6" t="s">
        <v>30</v>
      </c>
      <c r="R336" s="7">
        <v>46161</v>
      </c>
      <c r="S336" s="7">
        <v>401768</v>
      </c>
      <c r="T336" s="6"/>
      <c r="U336" s="8"/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0"/>
        <v>76.95</v>
      </c>
      <c r="Q337" s="6" t="s">
        <v>30</v>
      </c>
      <c r="R337" s="7">
        <v>46161</v>
      </c>
      <c r="S337" s="7">
        <v>401768</v>
      </c>
      <c r="T337" s="6"/>
      <c r="U337" s="8"/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0"/>
        <v>438.90000000000003</v>
      </c>
      <c r="Q338" s="6" t="s">
        <v>30</v>
      </c>
      <c r="R338" s="7">
        <v>46161</v>
      </c>
      <c r="S338" s="7">
        <v>401768</v>
      </c>
      <c r="T338" s="6"/>
      <c r="U338" s="8"/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/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3">O340*M340</f>
        <v>400.9</v>
      </c>
      <c r="Q340" s="6" t="s">
        <v>30</v>
      </c>
      <c r="R340" s="7">
        <v>46161</v>
      </c>
      <c r="S340" s="7">
        <v>401768</v>
      </c>
      <c r="T340" s="6"/>
      <c r="U340" s="8"/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3"/>
        <v>93.1</v>
      </c>
      <c r="Q341" s="6" t="s">
        <v>30</v>
      </c>
      <c r="R341" s="7">
        <v>46161</v>
      </c>
      <c r="S341" s="7">
        <v>401768</v>
      </c>
      <c r="T341" s="6"/>
      <c r="U341" s="8"/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24">M342</f>
        <v>43.34</v>
      </c>
      <c r="P342" s="6">
        <f t="shared" ref="P342:P362" si="25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/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24"/>
        <v>45.29</v>
      </c>
      <c r="P343" s="6">
        <f t="shared" si="25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/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24"/>
        <v>24.29</v>
      </c>
      <c r="P344" s="6">
        <f t="shared" si="25"/>
        <v>24.29</v>
      </c>
      <c r="Q344" s="6" t="s">
        <v>30</v>
      </c>
      <c r="R344" s="7">
        <v>46154</v>
      </c>
      <c r="S344" s="7">
        <v>401768</v>
      </c>
      <c r="T344" s="6"/>
      <c r="U344" s="8"/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24"/>
        <v>27.5</v>
      </c>
      <c r="P345" s="6">
        <f t="shared" si="25"/>
        <v>27.5</v>
      </c>
      <c r="Q345" s="6" t="s">
        <v>30</v>
      </c>
      <c r="R345" s="7">
        <v>46154</v>
      </c>
      <c r="S345" s="7">
        <v>401768</v>
      </c>
      <c r="T345" s="6"/>
      <c r="U345" s="8"/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64.599999999999994</v>
      </c>
      <c r="N346" s="6" t="s">
        <v>29</v>
      </c>
      <c r="O346" s="6">
        <f t="shared" si="24"/>
        <v>64.599999999999994</v>
      </c>
      <c r="P346" s="6">
        <f t="shared" si="25"/>
        <v>64.599999999999994</v>
      </c>
      <c r="Q346" s="6" t="s">
        <v>30</v>
      </c>
      <c r="R346" s="7">
        <v>46154</v>
      </c>
      <c r="S346" s="7">
        <v>401768</v>
      </c>
      <c r="T346" s="6"/>
      <c r="U346" s="8"/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24"/>
        <v>216.54</v>
      </c>
      <c r="P347" s="6">
        <f t="shared" si="25"/>
        <v>216.54</v>
      </c>
      <c r="Q347" s="6" t="s">
        <v>30</v>
      </c>
      <c r="R347" s="7">
        <v>46154</v>
      </c>
      <c r="S347" s="7">
        <v>401768</v>
      </c>
      <c r="T347" s="6"/>
      <c r="U347" s="8"/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24"/>
        <v>472.55</v>
      </c>
      <c r="P348" s="6">
        <f t="shared" si="25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/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24"/>
        <v>282.25</v>
      </c>
      <c r="P349" s="6">
        <f t="shared" si="25"/>
        <v>282.25</v>
      </c>
      <c r="Q349" s="6" t="s">
        <v>30</v>
      </c>
      <c r="R349" s="7">
        <v>46154</v>
      </c>
      <c r="S349" s="7">
        <v>401768</v>
      </c>
      <c r="T349" s="6"/>
      <c r="U349" s="8"/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24"/>
        <v>269</v>
      </c>
      <c r="P350" s="6">
        <f t="shared" si="25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/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24"/>
        <v>171.97</v>
      </c>
      <c r="P351" s="6">
        <f t="shared" si="25"/>
        <v>171.97</v>
      </c>
      <c r="Q351" s="6" t="s">
        <v>30</v>
      </c>
      <c r="R351" s="7">
        <v>46154</v>
      </c>
      <c r="S351" s="7">
        <v>401768</v>
      </c>
      <c r="T351" s="6"/>
      <c r="U351" s="8"/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24"/>
        <v>42.6</v>
      </c>
      <c r="P352" s="6">
        <f t="shared" si="25"/>
        <v>42.6</v>
      </c>
      <c r="Q352" s="6" t="s">
        <v>30</v>
      </c>
      <c r="R352" s="7">
        <v>41395</v>
      </c>
      <c r="S352" s="7">
        <v>401768</v>
      </c>
      <c r="T352" s="6"/>
      <c r="U352" s="8"/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24"/>
        <v>44.48</v>
      </c>
      <c r="P353" s="6">
        <f t="shared" si="25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/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24"/>
        <v>33.61</v>
      </c>
      <c r="P354" s="6">
        <f t="shared" si="25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/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24"/>
        <v>227.93</v>
      </c>
      <c r="P355" s="6">
        <f t="shared" si="25"/>
        <v>227.93</v>
      </c>
      <c r="Q355" s="6" t="s">
        <v>30</v>
      </c>
      <c r="R355" s="7">
        <v>46154</v>
      </c>
      <c r="S355" s="7">
        <v>401768</v>
      </c>
      <c r="T355" s="6"/>
      <c r="U355" s="8"/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68.849999999999994</v>
      </c>
      <c r="N356" s="6" t="s">
        <v>29</v>
      </c>
      <c r="O356" s="6">
        <f t="shared" si="24"/>
        <v>68.849999999999994</v>
      </c>
      <c r="P356" s="6">
        <f t="shared" si="25"/>
        <v>68.849999999999994</v>
      </c>
      <c r="Q356" s="6" t="s">
        <v>30</v>
      </c>
      <c r="R356" s="7">
        <v>46154</v>
      </c>
      <c r="S356" s="7">
        <v>401768</v>
      </c>
      <c r="T356" s="6"/>
      <c r="U356" s="8"/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24"/>
        <v>10</v>
      </c>
      <c r="P357" s="6">
        <f t="shared" si="25"/>
        <v>10</v>
      </c>
      <c r="Q357" s="6" t="s">
        <v>30</v>
      </c>
      <c r="R357" s="7">
        <v>45801</v>
      </c>
      <c r="S357" s="7">
        <v>401768</v>
      </c>
      <c r="T357" s="6"/>
      <c r="U357" s="8"/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24"/>
        <v>10</v>
      </c>
      <c r="P358" s="6">
        <f t="shared" si="25"/>
        <v>10</v>
      </c>
      <c r="Q358" s="6" t="s">
        <v>30</v>
      </c>
      <c r="R358" s="7">
        <v>45801</v>
      </c>
      <c r="S358" s="7">
        <v>401768</v>
      </c>
      <c r="T358" s="6"/>
      <c r="U358" s="8"/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24"/>
        <v>10</v>
      </c>
      <c r="P359" s="6">
        <f t="shared" si="25"/>
        <v>10</v>
      </c>
      <c r="Q359" s="6" t="s">
        <v>30</v>
      </c>
      <c r="R359" s="7">
        <v>45801</v>
      </c>
      <c r="S359" s="7">
        <v>401768</v>
      </c>
      <c r="T359" s="6"/>
      <c r="U359" s="8"/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24"/>
        <v>128.85</v>
      </c>
      <c r="P360" s="6">
        <f t="shared" si="25"/>
        <v>128.85</v>
      </c>
      <c r="Q360" s="6" t="s">
        <v>30</v>
      </c>
      <c r="R360" s="7">
        <v>46154</v>
      </c>
      <c r="S360" s="7">
        <v>401768</v>
      </c>
      <c r="T360" s="6"/>
      <c r="U360" s="8"/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24"/>
        <v>122</v>
      </c>
      <c r="P361" s="6">
        <f t="shared" si="25"/>
        <v>122</v>
      </c>
      <c r="Q361" s="6" t="s">
        <v>30</v>
      </c>
      <c r="R361" s="7">
        <v>46002</v>
      </c>
      <c r="S361" s="7">
        <v>401768</v>
      </c>
      <c r="T361" s="6"/>
      <c r="U361" s="8"/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24"/>
        <v>709.16</v>
      </c>
      <c r="P362" s="6">
        <f t="shared" si="25"/>
        <v>709.16</v>
      </c>
      <c r="Q362" s="6" t="s">
        <v>30</v>
      </c>
      <c r="R362" s="7">
        <v>46016</v>
      </c>
      <c r="S362" s="7">
        <v>401768</v>
      </c>
      <c r="T362" s="6"/>
      <c r="U362" s="8"/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3"/>
        <v>359.09999999999997</v>
      </c>
      <c r="Q363" s="6" t="s">
        <v>30</v>
      </c>
      <c r="R363" s="7">
        <v>46155</v>
      </c>
      <c r="S363" s="7">
        <v>401768</v>
      </c>
      <c r="T363" s="6"/>
      <c r="U363" s="8"/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3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/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3"/>
        <v>950</v>
      </c>
      <c r="Q365" s="6" t="s">
        <v>30</v>
      </c>
      <c r="R365" s="7">
        <v>43077</v>
      </c>
      <c r="S365" s="7">
        <v>401768</v>
      </c>
      <c r="T365" s="6"/>
      <c r="U365" s="8"/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0.57999999999999996</v>
      </c>
      <c r="N366" s="6" t="s">
        <v>160</v>
      </c>
      <c r="O366" s="6">
        <v>95</v>
      </c>
      <c r="P366" s="6">
        <f t="shared" si="23"/>
        <v>55.099999999999994</v>
      </c>
      <c r="Q366" s="6" t="s">
        <v>30</v>
      </c>
      <c r="R366" s="7">
        <v>46155</v>
      </c>
      <c r="S366" s="7">
        <v>401768</v>
      </c>
      <c r="T366" s="6"/>
      <c r="U366" s="8"/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3"/>
        <v>200.45</v>
      </c>
      <c r="Q367" s="6" t="s">
        <v>30</v>
      </c>
      <c r="R367" s="7">
        <v>46155</v>
      </c>
      <c r="S367" s="7">
        <v>401768</v>
      </c>
      <c r="T367" s="6"/>
      <c r="U367" s="8"/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3"/>
        <v>200.45</v>
      </c>
      <c r="Q368" s="6" t="s">
        <v>30</v>
      </c>
      <c r="R368" s="7">
        <v>46155</v>
      </c>
      <c r="S368" s="7">
        <v>401768</v>
      </c>
      <c r="T368" s="6"/>
      <c r="U368" s="8"/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3"/>
        <v>200.45</v>
      </c>
      <c r="Q369" s="6" t="s">
        <v>30</v>
      </c>
      <c r="R369" s="7">
        <v>46155</v>
      </c>
      <c r="S369" s="7">
        <v>401768</v>
      </c>
      <c r="T369" s="6"/>
      <c r="U369" s="8"/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3"/>
        <v>342</v>
      </c>
      <c r="Q370" s="6" t="s">
        <v>30</v>
      </c>
      <c r="R370" s="7">
        <v>41883</v>
      </c>
      <c r="S370" s="7">
        <v>401768</v>
      </c>
      <c r="T370" s="6"/>
      <c r="U370" s="8"/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3"/>
        <v>69.349999999999994</v>
      </c>
      <c r="Q371" s="6" t="s">
        <v>30</v>
      </c>
      <c r="R371" s="7">
        <v>46155</v>
      </c>
      <c r="S371" s="7">
        <v>401768</v>
      </c>
      <c r="T371" s="6"/>
      <c r="U371" s="8"/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3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/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3"/>
        <v>42.75</v>
      </c>
      <c r="Q373" s="6" t="s">
        <v>30</v>
      </c>
      <c r="R373" s="7">
        <v>46155</v>
      </c>
      <c r="S373" s="7">
        <v>401768</v>
      </c>
      <c r="T373" s="6"/>
      <c r="U373" s="8"/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3"/>
        <v>102.60000000000001</v>
      </c>
      <c r="Q374" s="6" t="s">
        <v>30</v>
      </c>
      <c r="R374" s="7">
        <v>46155</v>
      </c>
      <c r="S374" s="7">
        <v>401768</v>
      </c>
      <c r="T374" s="6"/>
      <c r="U374" s="8"/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3"/>
        <v>95.95</v>
      </c>
      <c r="Q375" s="6" t="s">
        <v>30</v>
      </c>
      <c r="R375" s="7">
        <v>46155</v>
      </c>
      <c r="S375" s="7">
        <v>401768</v>
      </c>
      <c r="T375" s="6"/>
      <c r="U375" s="8"/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3"/>
        <v>267.89999999999998</v>
      </c>
      <c r="Q376" s="6" t="s">
        <v>30</v>
      </c>
      <c r="R376" s="7">
        <v>46155</v>
      </c>
      <c r="S376" s="7">
        <v>401768</v>
      </c>
      <c r="T376" s="6">
        <v>960</v>
      </c>
      <c r="U376" s="8"/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3"/>
        <v>260.3</v>
      </c>
      <c r="Q377" s="6" t="s">
        <v>30</v>
      </c>
      <c r="R377" s="7">
        <v>46155</v>
      </c>
      <c r="S377" s="7">
        <v>401768</v>
      </c>
      <c r="T377" s="6"/>
      <c r="U377" s="8"/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3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/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3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/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3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/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3"/>
        <v>323</v>
      </c>
      <c r="Q381" s="6" t="s">
        <v>30</v>
      </c>
      <c r="R381" s="7">
        <v>46155</v>
      </c>
      <c r="S381" s="7">
        <v>401768</v>
      </c>
      <c r="T381" s="6"/>
      <c r="U381" s="8"/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3"/>
        <v>89.3</v>
      </c>
      <c r="Q382" s="6" t="s">
        <v>30</v>
      </c>
      <c r="R382" s="7">
        <v>46155</v>
      </c>
      <c r="S382" s="7">
        <v>401768</v>
      </c>
      <c r="T382" s="6"/>
      <c r="U382" s="8"/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3"/>
        <v>81.7</v>
      </c>
      <c r="Q383" s="6" t="s">
        <v>30</v>
      </c>
      <c r="R383" s="7">
        <v>46155</v>
      </c>
      <c r="S383" s="7">
        <v>401768</v>
      </c>
      <c r="T383" s="6"/>
      <c r="U383" s="8"/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3"/>
        <v>345.8</v>
      </c>
      <c r="Q384" s="6" t="s">
        <v>30</v>
      </c>
      <c r="R384" s="7">
        <v>46155</v>
      </c>
      <c r="S384" s="7">
        <v>401768</v>
      </c>
      <c r="T384" s="6"/>
      <c r="U384" s="8"/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3"/>
        <v>345.8</v>
      </c>
      <c r="Q385" s="6" t="s">
        <v>30</v>
      </c>
      <c r="R385" s="7">
        <v>46155</v>
      </c>
      <c r="S385" s="7">
        <v>401768</v>
      </c>
      <c r="T385" s="6"/>
      <c r="U385" s="8"/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3"/>
        <v>345.8</v>
      </c>
      <c r="Q386" s="6" t="s">
        <v>30</v>
      </c>
      <c r="R386" s="7">
        <v>46155</v>
      </c>
      <c r="S386" s="7">
        <v>401768</v>
      </c>
      <c r="T386" s="6"/>
      <c r="U386" s="8"/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4.0599999999999996</v>
      </c>
      <c r="N387" s="6" t="s">
        <v>160</v>
      </c>
      <c r="O387" s="6">
        <v>95</v>
      </c>
      <c r="P387" s="6">
        <f t="shared" si="23"/>
        <v>385.7</v>
      </c>
      <c r="Q387" s="6" t="s">
        <v>30</v>
      </c>
      <c r="R387" s="7">
        <v>46155</v>
      </c>
      <c r="S387" s="7">
        <v>401768</v>
      </c>
      <c r="T387" s="6"/>
      <c r="U387" s="8"/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3"/>
        <v>206.15</v>
      </c>
      <c r="Q388" s="6" t="s">
        <v>30</v>
      </c>
      <c r="R388" s="7">
        <v>46155</v>
      </c>
      <c r="S388" s="7">
        <v>401768</v>
      </c>
      <c r="T388" s="6"/>
      <c r="U388" s="8"/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3"/>
        <v>246.04999999999998</v>
      </c>
      <c r="Q389" s="6" t="s">
        <v>30</v>
      </c>
      <c r="R389" s="7">
        <v>46155</v>
      </c>
      <c r="S389" s="7">
        <v>401768</v>
      </c>
      <c r="T389" s="6"/>
      <c r="U389" s="8"/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3"/>
        <v>475</v>
      </c>
      <c r="Q390" s="6" t="s">
        <v>30</v>
      </c>
      <c r="R390" s="7">
        <v>41492</v>
      </c>
      <c r="S390" s="7">
        <v>401768</v>
      </c>
      <c r="T390" s="6"/>
      <c r="U390" s="8"/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3"/>
        <v>86.45</v>
      </c>
      <c r="Q391" s="6" t="s">
        <v>30</v>
      </c>
      <c r="R391" s="7">
        <v>46155</v>
      </c>
      <c r="S391" s="7">
        <v>401768</v>
      </c>
      <c r="T391" s="6"/>
      <c r="U391" s="8"/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3"/>
        <v>379.05</v>
      </c>
      <c r="Q392" s="6" t="s">
        <v>30</v>
      </c>
      <c r="R392" s="7">
        <v>46155</v>
      </c>
      <c r="S392" s="7">
        <v>401768</v>
      </c>
      <c r="T392" s="6"/>
      <c r="U392" s="8"/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3"/>
        <v>508.24999999999994</v>
      </c>
      <c r="Q393" s="6" t="s">
        <v>30</v>
      </c>
      <c r="R393" s="7">
        <v>41456</v>
      </c>
      <c r="S393" s="7">
        <v>401768</v>
      </c>
      <c r="T393" s="6"/>
      <c r="U393" s="8"/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3"/>
        <v>267.89999999999998</v>
      </c>
      <c r="Q394" s="6" t="s">
        <v>30</v>
      </c>
      <c r="R394" s="7">
        <v>41447</v>
      </c>
      <c r="S394" s="7">
        <v>401768</v>
      </c>
      <c r="T394" s="6"/>
      <c r="U394" s="8"/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3"/>
        <v>102.60000000000001</v>
      </c>
      <c r="Q395" s="6" t="s">
        <v>30</v>
      </c>
      <c r="R395" s="7">
        <v>46155</v>
      </c>
      <c r="S395" s="7">
        <v>401768</v>
      </c>
      <c r="T395" s="6"/>
      <c r="U395" s="8"/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3"/>
        <v>67.45</v>
      </c>
      <c r="Q396" s="6" t="s">
        <v>30</v>
      </c>
      <c r="R396" s="7">
        <v>46155</v>
      </c>
      <c r="S396" s="7">
        <v>401768</v>
      </c>
      <c r="T396" s="6"/>
      <c r="U396" s="8"/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3"/>
        <v>86.45</v>
      </c>
      <c r="Q397" s="6" t="s">
        <v>30</v>
      </c>
      <c r="R397" s="7">
        <v>46155</v>
      </c>
      <c r="S397" s="7">
        <v>401768</v>
      </c>
      <c r="T397" s="6"/>
      <c r="U397" s="8"/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3"/>
        <v>570</v>
      </c>
      <c r="Q398" s="6" t="s">
        <v>30</v>
      </c>
      <c r="R398" s="7">
        <v>41629</v>
      </c>
      <c r="S398" s="7">
        <v>401768</v>
      </c>
      <c r="T398" s="6"/>
      <c r="U398" s="8"/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3"/>
        <v>604.20000000000005</v>
      </c>
      <c r="Q399" s="6" t="s">
        <v>30</v>
      </c>
      <c r="R399" s="7">
        <v>46155</v>
      </c>
      <c r="S399" s="7">
        <v>401768</v>
      </c>
      <c r="T399" s="6"/>
      <c r="U399" s="8"/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3"/>
        <v>77.899999999999991</v>
      </c>
      <c r="Q400" s="6" t="s">
        <v>30</v>
      </c>
      <c r="R400" s="7">
        <v>46155</v>
      </c>
      <c r="S400" s="7">
        <v>401768</v>
      </c>
      <c r="T400" s="6"/>
      <c r="U400" s="8"/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3"/>
        <v>197.6</v>
      </c>
      <c r="Q401" s="6" t="s">
        <v>30</v>
      </c>
      <c r="R401" s="7">
        <v>45516</v>
      </c>
      <c r="S401" s="7">
        <v>401768</v>
      </c>
      <c r="T401" s="6"/>
      <c r="U401" s="8"/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3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/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3"/>
        <v>60.800000000000004</v>
      </c>
      <c r="Q403" s="6" t="s">
        <v>30</v>
      </c>
      <c r="R403" s="7">
        <v>46154</v>
      </c>
      <c r="S403" s="7">
        <v>401768</v>
      </c>
      <c r="T403" s="6"/>
      <c r="U403" s="8"/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26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/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26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/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1.1399999999999999</v>
      </c>
      <c r="N406" s="6" t="s">
        <v>160</v>
      </c>
      <c r="O406" s="6">
        <v>95</v>
      </c>
      <c r="P406" s="6">
        <f t="shared" si="26"/>
        <v>108.3</v>
      </c>
      <c r="Q406" s="6" t="s">
        <v>30</v>
      </c>
      <c r="R406" s="7">
        <v>46154</v>
      </c>
      <c r="S406" s="7">
        <v>401768</v>
      </c>
      <c r="T406" s="6"/>
      <c r="U406" s="8"/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26"/>
        <v>601.35</v>
      </c>
      <c r="Q407" s="6" t="s">
        <v>30</v>
      </c>
      <c r="R407" s="7">
        <v>46154</v>
      </c>
      <c r="S407" s="7">
        <v>401768</v>
      </c>
      <c r="T407" s="6"/>
      <c r="U407" s="8"/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26"/>
        <v>306.85000000000002</v>
      </c>
      <c r="Q408" s="6" t="s">
        <v>30</v>
      </c>
      <c r="R408" s="7">
        <v>46154</v>
      </c>
      <c r="S408" s="7">
        <v>401768</v>
      </c>
      <c r="T408" s="6"/>
      <c r="U408" s="8"/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26"/>
        <v>74.100000000000009</v>
      </c>
      <c r="Q409" s="6" t="s">
        <v>30</v>
      </c>
      <c r="R409" s="7">
        <v>42060</v>
      </c>
      <c r="S409" s="7">
        <v>401768</v>
      </c>
      <c r="T409" s="6"/>
      <c r="U409" s="8"/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26"/>
        <v>546.25</v>
      </c>
      <c r="Q410" s="6" t="s">
        <v>30</v>
      </c>
      <c r="R410" s="7">
        <v>46154</v>
      </c>
      <c r="S410" s="7">
        <v>401768</v>
      </c>
      <c r="T410" s="6"/>
      <c r="U410" s="8"/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26"/>
        <v>68.399999999999991</v>
      </c>
      <c r="Q411" s="6" t="s">
        <v>30</v>
      </c>
      <c r="R411" s="7">
        <v>46154</v>
      </c>
      <c r="S411" s="7">
        <v>401768</v>
      </c>
      <c r="T411" s="6"/>
      <c r="U411" s="8"/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26"/>
        <v>69.349999999999994</v>
      </c>
      <c r="Q412" s="6" t="s">
        <v>30</v>
      </c>
      <c r="R412" s="7">
        <v>46154</v>
      </c>
      <c r="S412" s="7">
        <v>401768</v>
      </c>
      <c r="T412" s="6"/>
      <c r="U412" s="8"/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1.0900000000000001</v>
      </c>
      <c r="N413" s="6" t="s">
        <v>160</v>
      </c>
      <c r="O413" s="6">
        <v>95</v>
      </c>
      <c r="P413" s="6">
        <f t="shared" si="26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/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26"/>
        <v>151.05000000000001</v>
      </c>
      <c r="Q414" s="6" t="s">
        <v>30</v>
      </c>
      <c r="R414" s="7">
        <v>46154</v>
      </c>
      <c r="S414" s="7">
        <v>401768</v>
      </c>
      <c r="T414" s="6">
        <v>5000</v>
      </c>
      <c r="U414" s="8"/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26"/>
        <v>570.94999999999993</v>
      </c>
      <c r="Q415" s="6" t="s">
        <v>30</v>
      </c>
      <c r="R415" s="7">
        <v>46154</v>
      </c>
      <c r="S415" s="7">
        <v>401768</v>
      </c>
      <c r="T415" s="6"/>
      <c r="U415" s="8"/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2.5499999999999998</v>
      </c>
      <c r="N416" s="6" t="s">
        <v>160</v>
      </c>
      <c r="O416" s="6">
        <v>95</v>
      </c>
      <c r="P416" s="6">
        <f t="shared" si="26"/>
        <v>242.24999999999997</v>
      </c>
      <c r="Q416" s="6" t="s">
        <v>30</v>
      </c>
      <c r="R416" s="7">
        <v>45735</v>
      </c>
      <c r="S416" s="7">
        <v>401768</v>
      </c>
      <c r="T416" s="6"/>
      <c r="U416" s="8"/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26"/>
        <v>28.5</v>
      </c>
      <c r="Q417" s="6" t="s">
        <v>30</v>
      </c>
      <c r="R417" s="7">
        <v>45789</v>
      </c>
      <c r="S417" s="7">
        <v>401768</v>
      </c>
      <c r="T417" s="6"/>
      <c r="U417" s="8"/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26"/>
        <v>80.75</v>
      </c>
      <c r="Q418" s="6" t="s">
        <v>30</v>
      </c>
      <c r="R418" s="7">
        <v>45895</v>
      </c>
      <c r="S418" s="7">
        <v>401768</v>
      </c>
      <c r="T418" s="6"/>
      <c r="U418" s="8"/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26"/>
        <v>93.1</v>
      </c>
      <c r="Q419" s="6" t="s">
        <v>30</v>
      </c>
      <c r="R419" s="7">
        <v>46154</v>
      </c>
      <c r="S419" s="7">
        <v>401768</v>
      </c>
      <c r="T419" s="6"/>
      <c r="U419" s="8"/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27">M420</f>
        <v>175.63</v>
      </c>
      <c r="P420" s="6">
        <f t="shared" ref="P420:P421" si="28">O420</f>
        <v>175.63</v>
      </c>
      <c r="Q420" s="6" t="s">
        <v>30</v>
      </c>
      <c r="R420" s="7">
        <v>45570</v>
      </c>
      <c r="S420" s="7">
        <v>401768</v>
      </c>
      <c r="T420" s="6"/>
      <c r="U420" s="8"/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27"/>
        <v>175.63</v>
      </c>
      <c r="P421" s="6">
        <f t="shared" si="28"/>
        <v>175.63</v>
      </c>
      <c r="Q421" s="6" t="s">
        <v>30</v>
      </c>
      <c r="R421" s="7">
        <v>45603</v>
      </c>
      <c r="S421" s="7">
        <v>401768</v>
      </c>
      <c r="T421" s="6"/>
      <c r="U421" s="8"/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26"/>
        <v>237.5</v>
      </c>
      <c r="Q422" s="6" t="s">
        <v>30</v>
      </c>
      <c r="R422" s="7">
        <v>45603</v>
      </c>
      <c r="S422" s="7">
        <v>401768</v>
      </c>
      <c r="T422" s="6"/>
      <c r="U422" s="8"/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26"/>
        <v>28.5</v>
      </c>
      <c r="Q423" s="6" t="s">
        <v>30</v>
      </c>
      <c r="R423" s="7">
        <v>45786</v>
      </c>
      <c r="S423" s="7">
        <v>401768</v>
      </c>
      <c r="T423" s="6"/>
      <c r="U423" s="8"/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26"/>
        <v>28.5</v>
      </c>
      <c r="Q424" s="6" t="s">
        <v>30</v>
      </c>
      <c r="R424" s="7">
        <v>45786</v>
      </c>
      <c r="S424" s="7">
        <v>401768</v>
      </c>
      <c r="T424" s="6"/>
      <c r="U424" s="8"/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3.0609000000000002</v>
      </c>
      <c r="N425" s="6" t="s">
        <v>160</v>
      </c>
      <c r="O425" s="6">
        <v>95</v>
      </c>
      <c r="P425" s="6">
        <f t="shared" si="26"/>
        <v>290.78550000000001</v>
      </c>
      <c r="Q425" s="6" t="s">
        <v>30</v>
      </c>
      <c r="R425" s="7">
        <v>45954</v>
      </c>
      <c r="S425" s="7">
        <v>401768</v>
      </c>
      <c r="T425" s="6"/>
      <c r="U425" s="8"/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26"/>
        <v>57</v>
      </c>
      <c r="Q426" s="6" t="s">
        <v>30</v>
      </c>
      <c r="R426" s="7">
        <v>45288</v>
      </c>
      <c r="S426" s="7">
        <v>401768</v>
      </c>
      <c r="T426" s="6"/>
      <c r="U426" s="8"/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26"/>
        <v>35.15</v>
      </c>
      <c r="Q427" s="6" t="s">
        <v>30</v>
      </c>
      <c r="R427" s="7">
        <v>45288</v>
      </c>
      <c r="S427" s="7">
        <v>401768</v>
      </c>
      <c r="T427" s="6"/>
      <c r="U427" s="8"/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26"/>
        <v>491.15</v>
      </c>
      <c r="Q428" s="6" t="s">
        <v>30</v>
      </c>
      <c r="R428" s="7">
        <v>45321</v>
      </c>
      <c r="S428" s="7">
        <v>401768</v>
      </c>
      <c r="T428" s="6"/>
      <c r="U428" s="8"/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26"/>
        <v>78.849999999999994</v>
      </c>
      <c r="Q429" s="6" t="s">
        <v>30</v>
      </c>
      <c r="R429" s="7">
        <v>45288</v>
      </c>
      <c r="S429" s="7">
        <v>401768</v>
      </c>
      <c r="T429" s="6"/>
      <c r="U429" s="8"/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26"/>
        <v>950</v>
      </c>
      <c r="Q430" s="6" t="s">
        <v>30</v>
      </c>
      <c r="R430" s="7">
        <v>44182</v>
      </c>
      <c r="S430" s="7">
        <v>401768</v>
      </c>
      <c r="T430" s="6"/>
      <c r="U430" s="8"/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26"/>
        <v>564.30000000000007</v>
      </c>
      <c r="Q431" s="6" t="s">
        <v>30</v>
      </c>
      <c r="R431" s="7">
        <v>44231</v>
      </c>
      <c r="S431" s="7">
        <v>401768</v>
      </c>
      <c r="T431" s="6"/>
      <c r="U431" s="8"/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26"/>
        <v>29.45</v>
      </c>
      <c r="Q432" s="6" t="s">
        <v>30</v>
      </c>
      <c r="R432" s="7">
        <v>45288</v>
      </c>
      <c r="S432" s="7">
        <v>401768</v>
      </c>
      <c r="T432" s="6"/>
      <c r="U432" s="8"/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2.7387999999999999</v>
      </c>
      <c r="N433" s="6" t="s">
        <v>160</v>
      </c>
      <c r="O433" s="6">
        <v>95</v>
      </c>
      <c r="P433" s="6">
        <f t="shared" si="26"/>
        <v>260.18599999999998</v>
      </c>
      <c r="Q433" s="6" t="s">
        <v>30</v>
      </c>
      <c r="R433" s="7">
        <v>44985</v>
      </c>
      <c r="S433" s="7">
        <v>401768</v>
      </c>
      <c r="T433" s="6"/>
      <c r="U433" s="8"/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26"/>
        <v>85.5</v>
      </c>
      <c r="Q434" s="6" t="s">
        <v>30</v>
      </c>
      <c r="R434" s="7">
        <v>45321</v>
      </c>
      <c r="S434" s="7">
        <v>401768</v>
      </c>
      <c r="T434" s="6"/>
      <c r="U434" s="8"/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29">M435</f>
        <v>68.8</v>
      </c>
      <c r="P435" s="6">
        <f t="shared" ref="P435:P438" si="30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/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29"/>
        <v>145</v>
      </c>
      <c r="P436" s="6">
        <f t="shared" si="30"/>
        <v>145</v>
      </c>
      <c r="Q436" s="6" t="s">
        <v>30</v>
      </c>
      <c r="R436" s="7">
        <v>45974</v>
      </c>
      <c r="S436" s="7">
        <v>401768</v>
      </c>
      <c r="T436" s="6"/>
      <c r="U436" s="8"/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29"/>
        <v>80</v>
      </c>
      <c r="P437" s="6">
        <f t="shared" si="30"/>
        <v>80</v>
      </c>
      <c r="Q437" s="6" t="s">
        <v>30</v>
      </c>
      <c r="R437" s="7">
        <v>45700</v>
      </c>
      <c r="S437" s="7">
        <v>401768</v>
      </c>
      <c r="T437" s="6"/>
      <c r="U437" s="8"/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29"/>
        <v>550</v>
      </c>
      <c r="P438" s="6">
        <f t="shared" si="30"/>
        <v>550</v>
      </c>
      <c r="Q438" s="6" t="s">
        <v>30</v>
      </c>
      <c r="R438" s="7">
        <v>45616</v>
      </c>
      <c r="S438" s="7">
        <v>401768</v>
      </c>
      <c r="T438" s="6"/>
      <c r="U438" s="8"/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26"/>
        <v>63.650000000000006</v>
      </c>
      <c r="Q439" s="6" t="s">
        <v>30</v>
      </c>
      <c r="R439" s="7">
        <v>44642</v>
      </c>
      <c r="S439" s="7">
        <v>401768</v>
      </c>
      <c r="T439" s="6"/>
      <c r="U439" s="8"/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1.1299999999999999</v>
      </c>
      <c r="N440" s="6" t="s">
        <v>160</v>
      </c>
      <c r="O440" s="6">
        <v>95</v>
      </c>
      <c r="P440" s="6">
        <f t="shared" si="26"/>
        <v>107.35</v>
      </c>
      <c r="Q440" s="6" t="s">
        <v>30</v>
      </c>
      <c r="R440" s="7">
        <v>46164</v>
      </c>
      <c r="S440" s="7">
        <v>401768</v>
      </c>
      <c r="T440" s="6"/>
      <c r="U440" s="8"/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26"/>
        <v>66.5</v>
      </c>
      <c r="Q441" s="6" t="s">
        <v>30</v>
      </c>
      <c r="R441" s="7">
        <v>44690</v>
      </c>
      <c r="S441" s="7">
        <v>401768</v>
      </c>
      <c r="T441" s="6"/>
      <c r="U441" s="8"/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26"/>
        <v>121.60000000000001</v>
      </c>
      <c r="Q442" s="6" t="s">
        <v>30</v>
      </c>
      <c r="R442" s="7">
        <v>46164</v>
      </c>
      <c r="S442" s="7">
        <v>401768</v>
      </c>
      <c r="T442" s="6"/>
      <c r="U442" s="8"/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26"/>
        <v>124.45</v>
      </c>
      <c r="Q443" s="6" t="s">
        <v>30</v>
      </c>
      <c r="R443" s="7">
        <v>46164</v>
      </c>
      <c r="S443" s="7">
        <v>401768</v>
      </c>
      <c r="T443" s="6"/>
      <c r="U443" s="8"/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26"/>
        <v>149.15</v>
      </c>
      <c r="Q444" s="6" t="s">
        <v>30</v>
      </c>
      <c r="R444" s="7">
        <v>46164</v>
      </c>
      <c r="S444" s="7">
        <v>401768</v>
      </c>
      <c r="T444" s="6"/>
      <c r="U444" s="8"/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1.1399999999999999</v>
      </c>
      <c r="N445" s="6" t="s">
        <v>160</v>
      </c>
      <c r="O445" s="6">
        <v>95</v>
      </c>
      <c r="P445" s="6">
        <f t="shared" si="26"/>
        <v>108.3</v>
      </c>
      <c r="Q445" s="6" t="s">
        <v>30</v>
      </c>
      <c r="R445" s="7">
        <v>46164</v>
      </c>
      <c r="S445" s="7">
        <v>401768</v>
      </c>
      <c r="T445" s="6"/>
      <c r="U445" s="8"/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1.1299999999999999</v>
      </c>
      <c r="N446" s="6" t="s">
        <v>160</v>
      </c>
      <c r="O446" s="6">
        <v>95</v>
      </c>
      <c r="P446" s="6">
        <f t="shared" si="26"/>
        <v>107.35</v>
      </c>
      <c r="Q446" s="6" t="s">
        <v>30</v>
      </c>
      <c r="R446" s="7">
        <v>46164</v>
      </c>
      <c r="S446" s="7">
        <v>401768</v>
      </c>
      <c r="T446" s="6"/>
      <c r="U446" s="8"/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1.1499999999999999</v>
      </c>
      <c r="N447" s="6" t="s">
        <v>160</v>
      </c>
      <c r="O447" s="6">
        <v>95</v>
      </c>
      <c r="P447" s="6">
        <f t="shared" si="26"/>
        <v>109.24999999999999</v>
      </c>
      <c r="Q447" s="6" t="s">
        <v>30</v>
      </c>
      <c r="R447" s="7">
        <v>46164</v>
      </c>
      <c r="S447" s="7">
        <v>401768</v>
      </c>
      <c r="T447" s="6"/>
      <c r="U447" s="8"/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26"/>
        <v>121.60000000000001</v>
      </c>
      <c r="Q448" s="6" t="s">
        <v>30</v>
      </c>
      <c r="R448" s="7">
        <v>46164</v>
      </c>
      <c r="S448" s="7">
        <v>401768</v>
      </c>
      <c r="T448" s="6"/>
      <c r="U448" s="8"/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26"/>
        <v>123.5</v>
      </c>
      <c r="Q449" s="6" t="s">
        <v>30</v>
      </c>
      <c r="R449" s="7">
        <v>46164</v>
      </c>
      <c r="S449" s="7">
        <v>401768</v>
      </c>
      <c r="T449" s="6"/>
      <c r="U449" s="8"/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26"/>
        <v>203.3</v>
      </c>
      <c r="Q450" s="6" t="s">
        <v>30</v>
      </c>
      <c r="R450" s="7">
        <v>46164</v>
      </c>
      <c r="S450" s="7">
        <v>401768</v>
      </c>
      <c r="T450" s="6"/>
      <c r="U450" s="8"/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26"/>
        <v>119.7</v>
      </c>
      <c r="Q451" s="6" t="s">
        <v>30</v>
      </c>
      <c r="R451" s="7">
        <v>46164</v>
      </c>
      <c r="S451" s="7">
        <v>401768</v>
      </c>
      <c r="T451" s="6"/>
      <c r="U451" s="8"/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26"/>
        <v>114.95</v>
      </c>
      <c r="Q452" s="6" t="s">
        <v>30</v>
      </c>
      <c r="R452" s="7">
        <v>46164</v>
      </c>
      <c r="S452" s="7">
        <v>401768</v>
      </c>
      <c r="T452" s="6"/>
      <c r="U452" s="8"/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26"/>
        <v>118.75</v>
      </c>
      <c r="Q453" s="6" t="s">
        <v>30</v>
      </c>
      <c r="R453" s="7">
        <v>46164</v>
      </c>
      <c r="S453" s="7">
        <v>401768</v>
      </c>
      <c r="T453" s="6"/>
      <c r="U453" s="8"/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26"/>
        <v>130.15</v>
      </c>
      <c r="Q454" s="6" t="s">
        <v>30</v>
      </c>
      <c r="R454" s="7">
        <v>46164</v>
      </c>
      <c r="S454" s="7">
        <v>401768</v>
      </c>
      <c r="T454" s="6"/>
      <c r="U454" s="8"/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26"/>
        <v>115.89999999999999</v>
      </c>
      <c r="Q455" s="6" t="s">
        <v>30</v>
      </c>
      <c r="R455" s="7">
        <v>44739</v>
      </c>
      <c r="S455" s="7">
        <v>401768</v>
      </c>
      <c r="T455" s="6"/>
      <c r="U455" s="8"/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26"/>
        <v>145.35</v>
      </c>
      <c r="Q456" s="6" t="s">
        <v>30</v>
      </c>
      <c r="R456" s="7">
        <v>46164</v>
      </c>
      <c r="S456" s="7">
        <v>401768</v>
      </c>
      <c r="T456" s="6"/>
      <c r="U456" s="8"/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26"/>
        <v>73.150000000000006</v>
      </c>
      <c r="Q457" s="6" t="s">
        <v>30</v>
      </c>
      <c r="R457" s="7">
        <v>46164</v>
      </c>
      <c r="S457" s="7">
        <v>401768</v>
      </c>
      <c r="T457" s="6"/>
      <c r="U457" s="8"/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26"/>
        <v>146.30000000000001</v>
      </c>
      <c r="Q458" s="6" t="s">
        <v>30</v>
      </c>
      <c r="R458" s="7">
        <v>46164</v>
      </c>
      <c r="S458" s="7">
        <v>401768</v>
      </c>
      <c r="T458" s="6"/>
      <c r="U458" s="8"/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26"/>
        <v>128.25</v>
      </c>
      <c r="Q459" s="6" t="s">
        <v>30</v>
      </c>
      <c r="R459" s="7">
        <v>46164</v>
      </c>
      <c r="S459" s="7">
        <v>401768</v>
      </c>
      <c r="T459" s="6"/>
      <c r="U459" s="8"/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26"/>
        <v>228</v>
      </c>
      <c r="Q460" s="6" t="s">
        <v>30</v>
      </c>
      <c r="R460" s="7">
        <v>45681</v>
      </c>
      <c r="S460" s="7">
        <v>401768</v>
      </c>
      <c r="T460" s="6"/>
      <c r="U460" s="8"/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26"/>
        <v>162.44999999999999</v>
      </c>
      <c r="Q461" s="6" t="s">
        <v>30</v>
      </c>
      <c r="R461" s="7">
        <v>46164</v>
      </c>
      <c r="S461" s="7">
        <v>401768</v>
      </c>
      <c r="T461" s="6"/>
      <c r="U461" s="8"/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26"/>
        <v>176.70000000000002</v>
      </c>
      <c r="Q462" s="6" t="s">
        <v>30</v>
      </c>
      <c r="R462" s="7">
        <v>46164</v>
      </c>
      <c r="S462" s="7">
        <v>401768</v>
      </c>
      <c r="T462" s="6"/>
      <c r="U462" s="8"/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26"/>
        <v>78.849999999999994</v>
      </c>
      <c r="Q463" s="6" t="s">
        <v>30</v>
      </c>
      <c r="R463" s="7">
        <v>46164</v>
      </c>
      <c r="S463" s="7">
        <v>401768</v>
      </c>
      <c r="T463" s="6"/>
      <c r="U463" s="8"/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26"/>
        <v>81.7</v>
      </c>
      <c r="Q464" s="6" t="s">
        <v>30</v>
      </c>
      <c r="R464" s="7">
        <v>46164</v>
      </c>
      <c r="S464" s="7">
        <v>401768</v>
      </c>
      <c r="T464" s="6"/>
      <c r="U464" s="8"/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26"/>
        <v>80.75</v>
      </c>
      <c r="Q465" s="6" t="s">
        <v>30</v>
      </c>
      <c r="R465" s="7">
        <v>46164</v>
      </c>
      <c r="S465" s="7">
        <v>401768</v>
      </c>
      <c r="T465" s="6"/>
      <c r="U465" s="8"/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26"/>
        <v>93.1</v>
      </c>
      <c r="Q466" s="6" t="s">
        <v>30</v>
      </c>
      <c r="R466" s="7">
        <v>46164</v>
      </c>
      <c r="S466" s="7">
        <v>401768</v>
      </c>
      <c r="T466" s="6"/>
      <c r="U466" s="8"/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1.1299999999999999</v>
      </c>
      <c r="N467" s="6" t="s">
        <v>160</v>
      </c>
      <c r="O467" s="6">
        <v>95</v>
      </c>
      <c r="P467" s="6">
        <f t="shared" si="26"/>
        <v>107.35</v>
      </c>
      <c r="Q467" s="6" t="s">
        <v>30</v>
      </c>
      <c r="R467" s="7">
        <v>46164</v>
      </c>
      <c r="S467" s="7">
        <v>401768</v>
      </c>
      <c r="T467" s="6"/>
      <c r="U467" s="8"/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489" si="31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/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7.0000000000000007E-2</v>
      </c>
      <c r="N469" s="6" t="s">
        <v>160</v>
      </c>
      <c r="O469" s="6">
        <v>95</v>
      </c>
      <c r="P469" s="6">
        <f t="shared" si="31"/>
        <v>6.65</v>
      </c>
      <c r="Q469" s="6" t="s">
        <v>30</v>
      </c>
      <c r="R469" s="7">
        <v>43824</v>
      </c>
      <c r="S469" s="7">
        <v>401768</v>
      </c>
      <c r="T469" s="6"/>
      <c r="U469" s="8"/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7.0000000000000007E-2</v>
      </c>
      <c r="N470" s="6" t="s">
        <v>160</v>
      </c>
      <c r="O470" s="6">
        <v>95</v>
      </c>
      <c r="P470" s="6">
        <f t="shared" si="31"/>
        <v>6.65</v>
      </c>
      <c r="Q470" s="6" t="s">
        <v>30</v>
      </c>
      <c r="R470" s="7">
        <v>43824</v>
      </c>
      <c r="S470" s="7">
        <v>401768</v>
      </c>
      <c r="T470" s="6"/>
      <c r="U470" s="8"/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7.0000000000000007E-2</v>
      </c>
      <c r="N471" s="6" t="s">
        <v>160</v>
      </c>
      <c r="O471" s="6">
        <v>95</v>
      </c>
      <c r="P471" s="6">
        <f t="shared" si="31"/>
        <v>6.65</v>
      </c>
      <c r="Q471" s="6" t="s">
        <v>30</v>
      </c>
      <c r="R471" s="7">
        <v>43824</v>
      </c>
      <c r="S471" s="7">
        <v>401768</v>
      </c>
      <c r="T471" s="6"/>
      <c r="U471" s="8"/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1"/>
        <v>114</v>
      </c>
      <c r="Q472" s="6" t="s">
        <v>30</v>
      </c>
      <c r="R472" s="7">
        <v>43977</v>
      </c>
      <c r="S472" s="7">
        <v>401768</v>
      </c>
      <c r="T472" s="6"/>
      <c r="U472" s="8"/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1"/>
        <v>147.25</v>
      </c>
      <c r="Q473" s="6" t="s">
        <v>30</v>
      </c>
      <c r="R473" s="7">
        <v>46164</v>
      </c>
      <c r="S473" s="7">
        <v>401768</v>
      </c>
      <c r="T473" s="6"/>
      <c r="U473" s="8"/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1"/>
        <v>148.20000000000002</v>
      </c>
      <c r="Q474" s="6" t="s">
        <v>30</v>
      </c>
      <c r="R474" s="7">
        <v>46164</v>
      </c>
      <c r="S474" s="7">
        <v>401768</v>
      </c>
      <c r="T474" s="6"/>
      <c r="U474" s="8"/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1"/>
        <v>167.2</v>
      </c>
      <c r="Q475" s="6" t="s">
        <v>30</v>
      </c>
      <c r="R475" s="7">
        <v>46164</v>
      </c>
      <c r="S475" s="7">
        <v>401768</v>
      </c>
      <c r="T475" s="6"/>
      <c r="U475" s="8"/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1"/>
        <v>138.69999999999999</v>
      </c>
      <c r="Q476" s="6" t="s">
        <v>30</v>
      </c>
      <c r="R476" s="7">
        <v>46164</v>
      </c>
      <c r="S476" s="7">
        <v>401768</v>
      </c>
      <c r="T476" s="6"/>
      <c r="U476" s="8"/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1"/>
        <v>281.2</v>
      </c>
      <c r="Q477" s="6" t="s">
        <v>30</v>
      </c>
      <c r="R477" s="7">
        <v>46164</v>
      </c>
      <c r="S477" s="7">
        <v>401768</v>
      </c>
      <c r="T477" s="6"/>
      <c r="U477" s="8"/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1"/>
        <v>228</v>
      </c>
      <c r="Q478" s="6" t="s">
        <v>30</v>
      </c>
      <c r="R478" s="7">
        <v>46164</v>
      </c>
      <c r="S478" s="7">
        <v>401768</v>
      </c>
      <c r="T478" s="6"/>
      <c r="U478" s="8"/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1"/>
        <v>665</v>
      </c>
      <c r="Q479" s="6" t="s">
        <v>30</v>
      </c>
      <c r="R479" s="7">
        <v>43840</v>
      </c>
      <c r="S479" s="7">
        <v>401768</v>
      </c>
      <c r="T479" s="6"/>
      <c r="U479" s="8"/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32">M480</f>
        <v>37.32</v>
      </c>
      <c r="P480" s="6">
        <f t="shared" ref="P480:P482" si="33">O480</f>
        <v>37.32</v>
      </c>
      <c r="Q480" s="6" t="s">
        <v>30</v>
      </c>
      <c r="R480" s="7">
        <v>42917</v>
      </c>
      <c r="S480" s="7">
        <v>401768</v>
      </c>
      <c r="T480" s="6"/>
      <c r="U480" s="8"/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32"/>
        <v>37.32</v>
      </c>
      <c r="P481" s="6">
        <f t="shared" si="33"/>
        <v>37.32</v>
      </c>
      <c r="Q481" s="6" t="s">
        <v>30</v>
      </c>
      <c r="R481" s="7">
        <v>42917</v>
      </c>
      <c r="S481" s="7">
        <v>401768</v>
      </c>
      <c r="T481" s="6"/>
      <c r="U481" s="8"/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69.790000000000006</v>
      </c>
      <c r="N482" s="6" t="s">
        <v>29</v>
      </c>
      <c r="O482" s="6">
        <f t="shared" si="32"/>
        <v>69.790000000000006</v>
      </c>
      <c r="P482" s="6">
        <f t="shared" si="33"/>
        <v>69.790000000000006</v>
      </c>
      <c r="Q482" s="6" t="s">
        <v>30</v>
      </c>
      <c r="R482" s="7">
        <v>46123</v>
      </c>
      <c r="S482" s="7">
        <v>401768</v>
      </c>
      <c r="T482" s="6">
        <v>50000</v>
      </c>
      <c r="U482" s="8"/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2.2400000000000002</v>
      </c>
      <c r="N483" s="6" t="s">
        <v>151</v>
      </c>
      <c r="O483" s="6">
        <v>110</v>
      </c>
      <c r="P483" s="6">
        <f t="shared" si="31"/>
        <v>246.40000000000003</v>
      </c>
      <c r="Q483" s="6" t="s">
        <v>30</v>
      </c>
      <c r="R483" s="7">
        <v>41387</v>
      </c>
      <c r="S483" s="7">
        <v>401768</v>
      </c>
      <c r="T483" s="6"/>
      <c r="U483" s="8"/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1"/>
        <v>402.6</v>
      </c>
      <c r="Q484" s="6" t="s">
        <v>30</v>
      </c>
      <c r="R484" s="7">
        <v>41387</v>
      </c>
      <c r="S484" s="7">
        <v>401768</v>
      </c>
      <c r="T484" s="6"/>
      <c r="U484" s="8"/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2.2400000000000002</v>
      </c>
      <c r="N485" s="6" t="s">
        <v>151</v>
      </c>
      <c r="O485" s="6">
        <v>110</v>
      </c>
      <c r="P485" s="6">
        <f t="shared" si="31"/>
        <v>246.40000000000003</v>
      </c>
      <c r="Q485" s="6" t="s">
        <v>30</v>
      </c>
      <c r="R485" s="7">
        <v>41387</v>
      </c>
      <c r="S485" s="7">
        <v>401768</v>
      </c>
      <c r="T485" s="6"/>
      <c r="U485" s="8"/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1"/>
        <v>402.6</v>
      </c>
      <c r="Q486" s="6" t="s">
        <v>30</v>
      </c>
      <c r="R486" s="7">
        <v>41387</v>
      </c>
      <c r="S486" s="7">
        <v>401768</v>
      </c>
      <c r="T486" s="6"/>
      <c r="U486" s="8"/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1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/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1"/>
        <v>3230.95</v>
      </c>
      <c r="Q488" s="6" t="s">
        <v>30</v>
      </c>
      <c r="R488" s="7">
        <v>45541</v>
      </c>
      <c r="S488" s="7">
        <v>401768</v>
      </c>
      <c r="T488" s="6"/>
      <c r="U488" s="8"/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1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/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39.159999999999997</v>
      </c>
      <c r="N490" s="6" t="s">
        <v>29</v>
      </c>
      <c r="O490" s="6">
        <f t="shared" ref="O490:O519" si="34">M490</f>
        <v>39.159999999999997</v>
      </c>
      <c r="P490" s="6">
        <f t="shared" ref="P490:P519" si="35">O490</f>
        <v>39.159999999999997</v>
      </c>
      <c r="Q490" s="6" t="s">
        <v>30</v>
      </c>
      <c r="R490" s="7">
        <v>43020</v>
      </c>
      <c r="S490" s="7">
        <v>401768</v>
      </c>
      <c r="T490" s="6"/>
      <c r="U490" s="8"/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40.840000000000003</v>
      </c>
      <c r="N491" s="6" t="s">
        <v>29</v>
      </c>
      <c r="O491" s="6">
        <f t="shared" si="34"/>
        <v>40.840000000000003</v>
      </c>
      <c r="P491" s="6">
        <f t="shared" si="35"/>
        <v>40.840000000000003</v>
      </c>
      <c r="Q491" s="6" t="s">
        <v>30</v>
      </c>
      <c r="R491" s="7">
        <v>43049</v>
      </c>
      <c r="S491" s="7">
        <v>401768</v>
      </c>
      <c r="T491" s="6"/>
      <c r="U491" s="8"/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34"/>
        <v>42.54</v>
      </c>
      <c r="P492" s="6">
        <f t="shared" si="35"/>
        <v>42.54</v>
      </c>
      <c r="Q492" s="6" t="s">
        <v>30</v>
      </c>
      <c r="R492" s="7">
        <v>43049</v>
      </c>
      <c r="S492" s="7">
        <v>401768</v>
      </c>
      <c r="T492" s="6"/>
      <c r="U492" s="8"/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34"/>
        <v>24.38</v>
      </c>
      <c r="P493" s="6">
        <f t="shared" si="35"/>
        <v>24.38</v>
      </c>
      <c r="Q493" s="6" t="s">
        <v>30</v>
      </c>
      <c r="R493" s="7">
        <v>43227</v>
      </c>
      <c r="S493" s="7">
        <v>401768</v>
      </c>
      <c r="T493" s="6"/>
      <c r="U493" s="8"/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34"/>
        <v>21.98</v>
      </c>
      <c r="P494" s="6">
        <f t="shared" si="35"/>
        <v>21.98</v>
      </c>
      <c r="Q494" s="6" t="s">
        <v>30</v>
      </c>
      <c r="R494" s="7">
        <v>43390</v>
      </c>
      <c r="S494" s="7">
        <v>401768</v>
      </c>
      <c r="T494" s="6"/>
      <c r="U494" s="8"/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34"/>
        <v>69.91</v>
      </c>
      <c r="P495" s="6">
        <f t="shared" si="35"/>
        <v>69.91</v>
      </c>
      <c r="Q495" s="6" t="s">
        <v>30</v>
      </c>
      <c r="R495" s="7">
        <v>42986</v>
      </c>
      <c r="S495" s="7">
        <v>401768</v>
      </c>
      <c r="T495" s="6"/>
      <c r="U495" s="8"/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34"/>
        <v>61</v>
      </c>
      <c r="P496" s="6">
        <f t="shared" si="35"/>
        <v>61</v>
      </c>
      <c r="Q496" s="6" t="s">
        <v>30</v>
      </c>
      <c r="R496" s="7">
        <v>43049</v>
      </c>
      <c r="S496" s="7">
        <v>401768</v>
      </c>
      <c r="T496" s="6"/>
      <c r="U496" s="8"/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75.510000000000005</v>
      </c>
      <c r="N497" s="6" t="s">
        <v>29</v>
      </c>
      <c r="O497" s="6">
        <f t="shared" si="34"/>
        <v>75.510000000000005</v>
      </c>
      <c r="P497" s="6">
        <f t="shared" si="35"/>
        <v>75.510000000000005</v>
      </c>
      <c r="Q497" s="6" t="s">
        <v>30</v>
      </c>
      <c r="R497" s="7">
        <v>43312</v>
      </c>
      <c r="S497" s="7">
        <v>401768</v>
      </c>
      <c r="T497" s="6"/>
      <c r="U497" s="8"/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34"/>
        <v>70.05</v>
      </c>
      <c r="P498" s="6">
        <f t="shared" si="35"/>
        <v>70.05</v>
      </c>
      <c r="Q498" s="6" t="s">
        <v>30</v>
      </c>
      <c r="R498" s="7">
        <v>45528</v>
      </c>
      <c r="S498" s="7">
        <v>401768</v>
      </c>
      <c r="T498" s="6"/>
      <c r="U498" s="8"/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80.040000000000006</v>
      </c>
      <c r="N499" s="6" t="s">
        <v>29</v>
      </c>
      <c r="O499" s="6">
        <f t="shared" si="34"/>
        <v>80.040000000000006</v>
      </c>
      <c r="P499" s="6">
        <f t="shared" si="35"/>
        <v>80.040000000000006</v>
      </c>
      <c r="Q499" s="6" t="s">
        <v>30</v>
      </c>
      <c r="R499" s="7">
        <v>43049</v>
      </c>
      <c r="S499" s="7">
        <v>401768</v>
      </c>
      <c r="T499" s="6"/>
      <c r="U499" s="8"/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34"/>
        <v>4000</v>
      </c>
      <c r="P500" s="6">
        <f t="shared" si="35"/>
        <v>4000</v>
      </c>
      <c r="Q500" s="6" t="s">
        <v>30</v>
      </c>
      <c r="R500" s="7">
        <v>41716</v>
      </c>
      <c r="S500" s="7">
        <v>401768</v>
      </c>
      <c r="T500" s="6"/>
      <c r="U500" s="8"/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34"/>
        <v>40000</v>
      </c>
      <c r="P501" s="6">
        <f t="shared" si="35"/>
        <v>40000</v>
      </c>
      <c r="Q501" s="6" t="s">
        <v>30</v>
      </c>
      <c r="R501" s="7">
        <v>41705</v>
      </c>
      <c r="S501" s="7">
        <v>401768</v>
      </c>
      <c r="T501" s="6"/>
      <c r="U501" s="8"/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34"/>
        <v>45.7</v>
      </c>
      <c r="P502" s="6">
        <f t="shared" si="35"/>
        <v>45.7</v>
      </c>
      <c r="Q502" s="6" t="s">
        <v>30</v>
      </c>
      <c r="R502" s="7">
        <v>41704</v>
      </c>
      <c r="S502" s="7">
        <v>401768</v>
      </c>
      <c r="T502" s="6"/>
      <c r="U502" s="8"/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34"/>
        <v>48.61</v>
      </c>
      <c r="P503" s="6">
        <f t="shared" si="35"/>
        <v>48.61</v>
      </c>
      <c r="Q503" s="6" t="s">
        <v>30</v>
      </c>
      <c r="R503" s="7">
        <v>45751</v>
      </c>
      <c r="S503" s="7">
        <v>401768</v>
      </c>
      <c r="T503" s="6"/>
      <c r="U503" s="8"/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34"/>
        <v>52.55</v>
      </c>
      <c r="P504" s="6">
        <f t="shared" si="35"/>
        <v>52.55</v>
      </c>
      <c r="Q504" s="6" t="s">
        <v>30</v>
      </c>
      <c r="R504" s="7">
        <v>43040</v>
      </c>
      <c r="S504" s="7">
        <v>401768</v>
      </c>
      <c r="T504" s="6"/>
      <c r="U504" s="8"/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34"/>
        <v>39.99</v>
      </c>
      <c r="P505" s="6">
        <f t="shared" si="35"/>
        <v>39.99</v>
      </c>
      <c r="Q505" s="6" t="s">
        <v>30</v>
      </c>
      <c r="R505" s="7">
        <v>42934</v>
      </c>
      <c r="S505" s="7">
        <v>401768</v>
      </c>
      <c r="T505" s="6"/>
      <c r="U505" s="8"/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34"/>
        <v>28.18</v>
      </c>
      <c r="P506" s="6">
        <f t="shared" si="35"/>
        <v>28.18</v>
      </c>
      <c r="Q506" s="6" t="s">
        <v>30</v>
      </c>
      <c r="R506" s="7">
        <v>45751</v>
      </c>
      <c r="S506" s="7">
        <v>401768</v>
      </c>
      <c r="T506" s="6"/>
      <c r="U506" s="8"/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34"/>
        <v>70.05</v>
      </c>
      <c r="P507" s="6">
        <f t="shared" si="35"/>
        <v>70.05</v>
      </c>
      <c r="Q507" s="6" t="s">
        <v>30</v>
      </c>
      <c r="R507" s="7">
        <v>45528</v>
      </c>
      <c r="S507" s="7">
        <v>401768</v>
      </c>
      <c r="T507" s="6"/>
      <c r="U507" s="8"/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34"/>
        <v>71.16</v>
      </c>
      <c r="P508" s="6">
        <f t="shared" si="35"/>
        <v>71.16</v>
      </c>
      <c r="Q508" s="6" t="s">
        <v>30</v>
      </c>
      <c r="R508" s="7">
        <v>42719</v>
      </c>
      <c r="S508" s="7">
        <v>401768</v>
      </c>
      <c r="T508" s="6"/>
      <c r="U508" s="8"/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34"/>
        <v>77.75</v>
      </c>
      <c r="P509" s="6">
        <f t="shared" si="35"/>
        <v>77.75</v>
      </c>
      <c r="Q509" s="6" t="s">
        <v>30</v>
      </c>
      <c r="R509" s="7">
        <v>43187</v>
      </c>
      <c r="S509" s="7">
        <v>401768</v>
      </c>
      <c r="T509" s="6"/>
      <c r="U509" s="8"/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77.569999999999993</v>
      </c>
      <c r="N510" s="6" t="s">
        <v>29</v>
      </c>
      <c r="O510" s="6">
        <f t="shared" si="34"/>
        <v>77.569999999999993</v>
      </c>
      <c r="P510" s="6">
        <f t="shared" si="35"/>
        <v>77.569999999999993</v>
      </c>
      <c r="Q510" s="6" t="s">
        <v>30</v>
      </c>
      <c r="R510" s="7">
        <v>43227</v>
      </c>
      <c r="S510" s="7">
        <v>401768</v>
      </c>
      <c r="T510" s="6"/>
      <c r="U510" s="8"/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34"/>
        <v>10.75</v>
      </c>
      <c r="P511" s="6">
        <f t="shared" si="35"/>
        <v>10.75</v>
      </c>
      <c r="Q511" s="6" t="s">
        <v>30</v>
      </c>
      <c r="R511" s="7">
        <v>42016</v>
      </c>
      <c r="S511" s="7">
        <v>401768</v>
      </c>
      <c r="T511" s="6"/>
      <c r="U511" s="8"/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34"/>
        <v>2000</v>
      </c>
      <c r="P512" s="6">
        <f t="shared" si="35"/>
        <v>2000</v>
      </c>
      <c r="Q512" s="6" t="s">
        <v>30</v>
      </c>
      <c r="R512" s="7">
        <v>41716</v>
      </c>
      <c r="S512" s="7">
        <v>401768</v>
      </c>
      <c r="T512" s="6"/>
      <c r="U512" s="8"/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34"/>
        <v>57.14</v>
      </c>
      <c r="P513" s="6">
        <f t="shared" si="35"/>
        <v>57.14</v>
      </c>
      <c r="Q513" s="6" t="s">
        <v>30</v>
      </c>
      <c r="R513" s="7">
        <v>44856</v>
      </c>
      <c r="S513" s="7">
        <v>401768</v>
      </c>
      <c r="T513" s="6"/>
      <c r="U513" s="8"/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34"/>
        <v>43.51</v>
      </c>
      <c r="P514" s="6">
        <f t="shared" si="35"/>
        <v>43.51</v>
      </c>
      <c r="Q514" s="6" t="s">
        <v>30</v>
      </c>
      <c r="R514" s="7">
        <v>44856</v>
      </c>
      <c r="S514" s="7">
        <v>401768</v>
      </c>
      <c r="T514" s="6"/>
      <c r="U514" s="8"/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34"/>
        <v>6.11</v>
      </c>
      <c r="P515" s="6">
        <f t="shared" si="35"/>
        <v>6.11</v>
      </c>
      <c r="Q515" s="6" t="s">
        <v>30</v>
      </c>
      <c r="R515" s="7">
        <v>44856</v>
      </c>
      <c r="S515" s="7">
        <v>401768</v>
      </c>
      <c r="T515" s="6"/>
      <c r="U515" s="8"/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34"/>
        <v>86</v>
      </c>
      <c r="P516" s="6">
        <f t="shared" si="35"/>
        <v>86</v>
      </c>
      <c r="Q516" s="6" t="s">
        <v>30</v>
      </c>
      <c r="R516" s="7">
        <v>44856</v>
      </c>
      <c r="S516" s="7">
        <v>401768</v>
      </c>
      <c r="T516" s="6"/>
      <c r="U516" s="8"/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613309.19999999995</v>
      </c>
      <c r="N517" s="6" t="s">
        <v>29</v>
      </c>
      <c r="O517" s="6">
        <f t="shared" si="34"/>
        <v>613309.19999999995</v>
      </c>
      <c r="P517" s="6">
        <f t="shared" si="35"/>
        <v>613309.19999999995</v>
      </c>
      <c r="Q517" s="6" t="s">
        <v>30</v>
      </c>
      <c r="R517" s="7">
        <v>44861</v>
      </c>
      <c r="S517" s="7">
        <v>401768</v>
      </c>
      <c r="T517" s="6"/>
      <c r="U517" s="8"/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34"/>
        <v>5800</v>
      </c>
      <c r="P518" s="6">
        <f t="shared" si="35"/>
        <v>5800</v>
      </c>
      <c r="Q518" s="6" t="s">
        <v>30</v>
      </c>
      <c r="R518" s="7">
        <v>45294</v>
      </c>
      <c r="S518" s="7">
        <v>401768</v>
      </c>
      <c r="T518" s="6"/>
      <c r="U518" s="8"/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34"/>
        <v>15300</v>
      </c>
      <c r="P519" s="6">
        <f t="shared" si="35"/>
        <v>15300</v>
      </c>
      <c r="Q519" s="6" t="s">
        <v>30</v>
      </c>
      <c r="R519" s="7">
        <v>45294</v>
      </c>
      <c r="S519" s="7">
        <v>401768</v>
      </c>
      <c r="T519" s="6"/>
      <c r="U519" s="8"/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1.1599999999999999</v>
      </c>
      <c r="N520" s="6" t="s">
        <v>160</v>
      </c>
      <c r="O520" s="6">
        <v>95</v>
      </c>
      <c r="P520" s="6">
        <f t="shared" ref="P520:P557" si="36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/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36"/>
        <v>266</v>
      </c>
      <c r="Q521" s="6" t="s">
        <v>30</v>
      </c>
      <c r="R521" s="7">
        <v>46170</v>
      </c>
      <c r="S521" s="7">
        <v>401768</v>
      </c>
      <c r="T521" s="6"/>
      <c r="U521" s="8"/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36"/>
        <v>89.3</v>
      </c>
      <c r="Q522" s="6" t="s">
        <v>30</v>
      </c>
      <c r="R522" s="7">
        <v>46170</v>
      </c>
      <c r="S522" s="7">
        <v>401768</v>
      </c>
      <c r="T522" s="6"/>
      <c r="U522" s="8"/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36"/>
        <v>266</v>
      </c>
      <c r="Q523" s="6" t="s">
        <v>30</v>
      </c>
      <c r="R523" s="7">
        <v>46139</v>
      </c>
      <c r="S523" s="7">
        <v>401768</v>
      </c>
      <c r="T523" s="6"/>
      <c r="U523" s="8"/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37">M524</f>
        <v>57.88</v>
      </c>
      <c r="P524" s="6">
        <f t="shared" ref="P524:P551" si="38">O524</f>
        <v>57.88</v>
      </c>
      <c r="Q524" s="6" t="s">
        <v>30</v>
      </c>
      <c r="R524" s="7">
        <v>42181</v>
      </c>
      <c r="S524" s="7">
        <v>401768</v>
      </c>
      <c r="T524" s="6"/>
      <c r="U524" s="8"/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37"/>
        <v>54.78</v>
      </c>
      <c r="P525" s="6">
        <f t="shared" si="38"/>
        <v>54.78</v>
      </c>
      <c r="Q525" s="6" t="s">
        <v>30</v>
      </c>
      <c r="R525" s="7">
        <v>41717</v>
      </c>
      <c r="S525" s="7">
        <v>401768</v>
      </c>
      <c r="T525" s="6"/>
      <c r="U525" s="8"/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37"/>
        <v>236.12</v>
      </c>
      <c r="P526" s="6">
        <f t="shared" si="38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/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37"/>
        <v>53.15</v>
      </c>
      <c r="P527" s="6">
        <f t="shared" si="38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/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37"/>
        <v>267.93</v>
      </c>
      <c r="P528" s="6">
        <f t="shared" si="38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/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37"/>
        <v>592.5</v>
      </c>
      <c r="P529" s="6">
        <f t="shared" si="38"/>
        <v>592.5</v>
      </c>
      <c r="Q529" s="6" t="s">
        <v>30</v>
      </c>
      <c r="R529" s="7">
        <v>44740</v>
      </c>
      <c r="S529" s="7">
        <v>401768</v>
      </c>
      <c r="T529" s="6"/>
      <c r="U529" s="8"/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37"/>
        <v>37.1</v>
      </c>
      <c r="P530" s="6">
        <f t="shared" si="38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/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37"/>
        <v>348.2</v>
      </c>
      <c r="P531" s="6">
        <f t="shared" si="38"/>
        <v>348.2</v>
      </c>
      <c r="Q531" s="6" t="s">
        <v>30</v>
      </c>
      <c r="R531" s="7">
        <v>44786</v>
      </c>
      <c r="S531" s="7">
        <v>401768</v>
      </c>
      <c r="T531" s="6"/>
      <c r="U531" s="8"/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37"/>
        <v>995</v>
      </c>
      <c r="P532" s="6">
        <f t="shared" si="38"/>
        <v>995</v>
      </c>
      <c r="Q532" s="6" t="s">
        <v>30</v>
      </c>
      <c r="R532" s="7">
        <v>44797</v>
      </c>
      <c r="S532" s="7">
        <v>401768</v>
      </c>
      <c r="T532" s="6"/>
      <c r="U532" s="8"/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37"/>
        <v>627</v>
      </c>
      <c r="P533" s="6">
        <f t="shared" si="38"/>
        <v>627</v>
      </c>
      <c r="Q533" s="6" t="s">
        <v>30</v>
      </c>
      <c r="R533" s="7">
        <v>44862</v>
      </c>
      <c r="S533" s="7">
        <v>401768</v>
      </c>
      <c r="T533" s="6"/>
      <c r="U533" s="8"/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37"/>
        <v>51.51</v>
      </c>
      <c r="P534" s="6">
        <f t="shared" si="38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/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570.16999999999996</v>
      </c>
      <c r="N535" s="6" t="s">
        <v>29</v>
      </c>
      <c r="O535" s="6">
        <f t="shared" si="37"/>
        <v>570.16999999999996</v>
      </c>
      <c r="P535" s="6">
        <f t="shared" si="38"/>
        <v>570.16999999999996</v>
      </c>
      <c r="Q535" s="6" t="s">
        <v>30</v>
      </c>
      <c r="R535" s="7">
        <v>46144</v>
      </c>
      <c r="S535" s="7">
        <v>401768</v>
      </c>
      <c r="T535" s="6">
        <v>12320</v>
      </c>
      <c r="U535" s="8"/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81.400000000000006</v>
      </c>
      <c r="N536" s="6" t="s">
        <v>29</v>
      </c>
      <c r="O536" s="6">
        <f t="shared" si="37"/>
        <v>81.400000000000006</v>
      </c>
      <c r="P536" s="6">
        <f t="shared" si="38"/>
        <v>81.400000000000006</v>
      </c>
      <c r="Q536" s="6" t="s">
        <v>30</v>
      </c>
      <c r="R536" s="7">
        <v>45302</v>
      </c>
      <c r="S536" s="7">
        <v>401768</v>
      </c>
      <c r="T536" s="6"/>
      <c r="U536" s="8"/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37"/>
        <v>62.64</v>
      </c>
      <c r="P537" s="6">
        <f t="shared" si="38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/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37"/>
        <v>89.16</v>
      </c>
      <c r="P538" s="6">
        <f t="shared" si="38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/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37"/>
        <v>99.44</v>
      </c>
      <c r="P539" s="6">
        <f t="shared" si="38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/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37"/>
        <v>716.49</v>
      </c>
      <c r="P540" s="6">
        <f t="shared" si="38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/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37"/>
        <v>325.44</v>
      </c>
      <c r="P541" s="6">
        <f t="shared" si="38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/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37"/>
        <v>50</v>
      </c>
      <c r="P542" s="6">
        <f t="shared" si="38"/>
        <v>50</v>
      </c>
      <c r="Q542" s="6" t="s">
        <v>30</v>
      </c>
      <c r="R542" s="7">
        <v>46036</v>
      </c>
      <c r="S542" s="7">
        <v>401768</v>
      </c>
      <c r="T542" s="6"/>
      <c r="U542" s="8"/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37"/>
        <v>50</v>
      </c>
      <c r="P543" s="6">
        <f t="shared" si="38"/>
        <v>50</v>
      </c>
      <c r="Q543" s="6" t="s">
        <v>30</v>
      </c>
      <c r="R543" s="7">
        <v>46036</v>
      </c>
      <c r="S543" s="7">
        <v>401768</v>
      </c>
      <c r="T543" s="6"/>
      <c r="U543" s="8"/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278.95999999999998</v>
      </c>
      <c r="N544" s="6" t="s">
        <v>29</v>
      </c>
      <c r="O544" s="6">
        <f t="shared" si="37"/>
        <v>278.95999999999998</v>
      </c>
      <c r="P544" s="6">
        <f t="shared" si="38"/>
        <v>278.95999999999998</v>
      </c>
      <c r="Q544" s="6" t="s">
        <v>30</v>
      </c>
      <c r="R544" s="7">
        <v>45541</v>
      </c>
      <c r="S544" s="7">
        <v>401768</v>
      </c>
      <c r="T544" s="6"/>
      <c r="U544" s="8"/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37"/>
        <v>337.09</v>
      </c>
      <c r="P545" s="6">
        <f t="shared" si="38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/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278.95999999999998</v>
      </c>
      <c r="N546" s="6" t="s">
        <v>29</v>
      </c>
      <c r="O546" s="6">
        <f t="shared" si="37"/>
        <v>278.95999999999998</v>
      </c>
      <c r="P546" s="6">
        <f t="shared" si="38"/>
        <v>278.95999999999998</v>
      </c>
      <c r="Q546" s="6" t="s">
        <v>30</v>
      </c>
      <c r="R546" s="7">
        <v>45666</v>
      </c>
      <c r="S546" s="7">
        <v>401768</v>
      </c>
      <c r="T546" s="6"/>
      <c r="U546" s="8"/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279.70999999999998</v>
      </c>
      <c r="N547" s="6" t="s">
        <v>29</v>
      </c>
      <c r="O547" s="6">
        <f t="shared" si="37"/>
        <v>279.70999999999998</v>
      </c>
      <c r="P547" s="6">
        <f t="shared" si="38"/>
        <v>279.70999999999998</v>
      </c>
      <c r="Q547" s="6" t="s">
        <v>30</v>
      </c>
      <c r="R547" s="7">
        <v>45754</v>
      </c>
      <c r="S547" s="7">
        <v>401768</v>
      </c>
      <c r="T547" s="6"/>
      <c r="U547" s="8"/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37"/>
        <v>100</v>
      </c>
      <c r="P548" s="6">
        <f t="shared" si="38"/>
        <v>100</v>
      </c>
      <c r="Q548" s="6" t="s">
        <v>30</v>
      </c>
      <c r="R548" s="7">
        <v>45793</v>
      </c>
      <c r="S548" s="7">
        <v>401768</v>
      </c>
      <c r="T548" s="6"/>
      <c r="U548" s="8"/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325.47000000000003</v>
      </c>
      <c r="N549" s="6" t="s">
        <v>29</v>
      </c>
      <c r="O549" s="6">
        <f t="shared" si="37"/>
        <v>325.47000000000003</v>
      </c>
      <c r="P549" s="6">
        <f t="shared" si="38"/>
        <v>325.47000000000003</v>
      </c>
      <c r="Q549" s="6" t="s">
        <v>30</v>
      </c>
      <c r="R549" s="7">
        <v>46030</v>
      </c>
      <c r="S549" s="7">
        <v>401768</v>
      </c>
      <c r="T549" s="6"/>
      <c r="U549" s="8"/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37"/>
        <v>296.51</v>
      </c>
      <c r="P550" s="6">
        <f t="shared" si="38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/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37"/>
        <v>550</v>
      </c>
      <c r="P551" s="6">
        <f t="shared" si="38"/>
        <v>550</v>
      </c>
      <c r="Q551" s="6" t="s">
        <v>30</v>
      </c>
      <c r="R551" s="7">
        <v>45681</v>
      </c>
      <c r="S551" s="7">
        <v>401768</v>
      </c>
      <c r="T551" s="6"/>
      <c r="U551" s="8"/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0.81200000000000006</v>
      </c>
      <c r="N552" s="6" t="s">
        <v>151</v>
      </c>
      <c r="O552" s="6">
        <v>110</v>
      </c>
      <c r="P552" s="6">
        <f t="shared" si="36"/>
        <v>89.320000000000007</v>
      </c>
      <c r="Q552" s="6" t="s">
        <v>30</v>
      </c>
      <c r="R552" s="7">
        <v>43421</v>
      </c>
      <c r="S552" s="7">
        <v>401768</v>
      </c>
      <c r="T552" s="6"/>
      <c r="U552" s="8"/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36"/>
        <v>171.6</v>
      </c>
      <c r="Q553" s="6" t="s">
        <v>30</v>
      </c>
      <c r="R553" s="7">
        <v>43421</v>
      </c>
      <c r="S553" s="7">
        <v>401768</v>
      </c>
      <c r="T553" s="6"/>
      <c r="U553" s="8"/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36"/>
        <v>129.79999999999998</v>
      </c>
      <c r="Q554" s="6" t="s">
        <v>30</v>
      </c>
      <c r="R554" s="7">
        <v>43421</v>
      </c>
      <c r="S554" s="7">
        <v>401768</v>
      </c>
      <c r="T554" s="6"/>
      <c r="U554" s="8"/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36"/>
        <v>352</v>
      </c>
      <c r="Q555" s="6" t="s">
        <v>30</v>
      </c>
      <c r="R555" s="7">
        <v>43712</v>
      </c>
      <c r="S555" s="7">
        <v>401768</v>
      </c>
      <c r="T555" s="6"/>
      <c r="U555" s="8"/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/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36"/>
        <v>3325</v>
      </c>
      <c r="Q557" s="6" t="s">
        <v>30</v>
      </c>
      <c r="R557" s="7">
        <v>45133</v>
      </c>
      <c r="S557" s="7">
        <v>401768</v>
      </c>
      <c r="T557" s="6"/>
      <c r="U557" s="8"/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39">M558</f>
        <v>153</v>
      </c>
      <c r="P558" s="6">
        <f t="shared" ref="P558:P610" si="40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/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39"/>
        <v>145</v>
      </c>
      <c r="P559" s="6">
        <f t="shared" si="40"/>
        <v>145</v>
      </c>
      <c r="Q559" s="6" t="s">
        <v>30</v>
      </c>
      <c r="R559" s="7">
        <v>44810</v>
      </c>
      <c r="S559" s="7">
        <v>401768</v>
      </c>
      <c r="T559" s="6"/>
      <c r="U559" s="8"/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39"/>
        <v>145</v>
      </c>
      <c r="P560" s="6">
        <f t="shared" si="40"/>
        <v>145</v>
      </c>
      <c r="Q560" s="6" t="s">
        <v>30</v>
      </c>
      <c r="R560" s="7">
        <v>44810</v>
      </c>
      <c r="S560" s="7">
        <v>401768</v>
      </c>
      <c r="T560" s="6"/>
      <c r="U560" s="8"/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39"/>
        <v>210</v>
      </c>
      <c r="P561" s="6">
        <f t="shared" si="40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/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39"/>
        <v>210</v>
      </c>
      <c r="P562" s="6">
        <f t="shared" si="40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/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39"/>
        <v>10</v>
      </c>
      <c r="P563" s="6">
        <f t="shared" si="40"/>
        <v>10</v>
      </c>
      <c r="Q563" s="6" t="s">
        <v>30</v>
      </c>
      <c r="R563" s="7">
        <v>45803</v>
      </c>
      <c r="S563" s="7">
        <v>401768</v>
      </c>
      <c r="T563" s="6"/>
      <c r="U563" s="8"/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39"/>
        <v>10</v>
      </c>
      <c r="P564" s="6">
        <f t="shared" si="40"/>
        <v>10</v>
      </c>
      <c r="Q564" s="6" t="s">
        <v>30</v>
      </c>
      <c r="R564" s="7">
        <v>45803</v>
      </c>
      <c r="S564" s="7">
        <v>401768</v>
      </c>
      <c r="T564" s="6"/>
      <c r="U564" s="8"/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39"/>
        <v>10</v>
      </c>
      <c r="P565" s="6">
        <f t="shared" si="40"/>
        <v>10</v>
      </c>
      <c r="Q565" s="6" t="s">
        <v>30</v>
      </c>
      <c r="R565" s="7">
        <v>45803</v>
      </c>
      <c r="S565" s="7">
        <v>401768</v>
      </c>
      <c r="T565" s="6"/>
      <c r="U565" s="8"/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39"/>
        <v>250</v>
      </c>
      <c r="P566" s="6">
        <f t="shared" si="40"/>
        <v>250</v>
      </c>
      <c r="Q566" s="6" t="s">
        <v>30</v>
      </c>
      <c r="R566" s="7">
        <v>41639</v>
      </c>
      <c r="S566" s="7">
        <v>401768</v>
      </c>
      <c r="T566" s="6"/>
      <c r="U566" s="8"/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39"/>
        <v>213</v>
      </c>
      <c r="P567" s="6">
        <f t="shared" si="40"/>
        <v>213</v>
      </c>
      <c r="Q567" s="6" t="s">
        <v>30</v>
      </c>
      <c r="R567" s="7">
        <v>41639</v>
      </c>
      <c r="S567" s="7">
        <v>401768</v>
      </c>
      <c r="T567" s="6"/>
      <c r="U567" s="8"/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39"/>
        <v>213</v>
      </c>
      <c r="P568" s="6">
        <f t="shared" si="40"/>
        <v>213</v>
      </c>
      <c r="Q568" s="6" t="s">
        <v>30</v>
      </c>
      <c r="R568" s="7">
        <v>41639</v>
      </c>
      <c r="S568" s="7">
        <v>401768</v>
      </c>
      <c r="T568" s="6"/>
      <c r="U568" s="8"/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39"/>
        <v>213</v>
      </c>
      <c r="P569" s="6">
        <f t="shared" si="40"/>
        <v>213</v>
      </c>
      <c r="Q569" s="6" t="s">
        <v>30</v>
      </c>
      <c r="R569" s="7">
        <v>41696</v>
      </c>
      <c r="S569" s="7">
        <v>401768</v>
      </c>
      <c r="T569" s="6"/>
      <c r="U569" s="8"/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39"/>
        <v>213</v>
      </c>
      <c r="P570" s="6">
        <f t="shared" si="40"/>
        <v>213</v>
      </c>
      <c r="Q570" s="6" t="s">
        <v>30</v>
      </c>
      <c r="R570" s="7">
        <v>41723</v>
      </c>
      <c r="S570" s="7">
        <v>401768</v>
      </c>
      <c r="T570" s="6"/>
      <c r="U570" s="8"/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39"/>
        <v>15</v>
      </c>
      <c r="P571" s="6">
        <f t="shared" si="40"/>
        <v>15</v>
      </c>
      <c r="Q571" s="6" t="s">
        <v>30</v>
      </c>
      <c r="R571" s="7">
        <v>41639</v>
      </c>
      <c r="S571" s="7">
        <v>401768</v>
      </c>
      <c r="T571" s="6"/>
      <c r="U571" s="8"/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39"/>
        <v>275</v>
      </c>
      <c r="P572" s="6">
        <f t="shared" si="40"/>
        <v>275</v>
      </c>
      <c r="Q572" s="6" t="s">
        <v>30</v>
      </c>
      <c r="R572" s="7">
        <v>45710</v>
      </c>
      <c r="S572" s="7">
        <v>401768</v>
      </c>
      <c r="T572" s="6"/>
      <c r="U572" s="8"/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78.260000000000005</v>
      </c>
      <c r="N573" s="6" t="s">
        <v>29</v>
      </c>
      <c r="O573" s="6">
        <f t="shared" si="39"/>
        <v>78.260000000000005</v>
      </c>
      <c r="P573" s="6">
        <f t="shared" si="40"/>
        <v>78.260000000000005</v>
      </c>
      <c r="Q573" s="6" t="s">
        <v>30</v>
      </c>
      <c r="R573" s="7">
        <v>45300</v>
      </c>
      <c r="S573" s="7">
        <v>401768</v>
      </c>
      <c r="T573" s="6"/>
      <c r="U573" s="8"/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39"/>
        <v>25.99</v>
      </c>
      <c r="P574" s="6">
        <f t="shared" si="40"/>
        <v>25.99</v>
      </c>
      <c r="Q574" s="6" t="s">
        <v>30</v>
      </c>
      <c r="R574" s="7">
        <v>45300</v>
      </c>
      <c r="S574" s="7">
        <v>401768</v>
      </c>
      <c r="T574" s="6"/>
      <c r="U574" s="8"/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76.349999999999994</v>
      </c>
      <c r="N575" s="6" t="s">
        <v>29</v>
      </c>
      <c r="O575" s="6">
        <f t="shared" si="39"/>
        <v>76.349999999999994</v>
      </c>
      <c r="P575" s="6">
        <f t="shared" si="40"/>
        <v>76.349999999999994</v>
      </c>
      <c r="Q575" s="6" t="s">
        <v>30</v>
      </c>
      <c r="R575" s="7">
        <v>45300</v>
      </c>
      <c r="S575" s="7">
        <v>401768</v>
      </c>
      <c r="T575" s="6"/>
      <c r="U575" s="8"/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319.41000000000003</v>
      </c>
      <c r="N576" s="6" t="s">
        <v>29</v>
      </c>
      <c r="O576" s="6">
        <f t="shared" si="39"/>
        <v>319.41000000000003</v>
      </c>
      <c r="P576" s="6">
        <f t="shared" si="40"/>
        <v>319.41000000000003</v>
      </c>
      <c r="Q576" s="6" t="s">
        <v>30</v>
      </c>
      <c r="R576" s="7">
        <v>44840</v>
      </c>
      <c r="S576" s="7">
        <v>401768</v>
      </c>
      <c r="T576" s="6"/>
      <c r="U576" s="8"/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39"/>
        <v>65.27</v>
      </c>
      <c r="P577" s="6">
        <f t="shared" si="40"/>
        <v>65.27</v>
      </c>
      <c r="Q577" s="6" t="s">
        <v>30</v>
      </c>
      <c r="R577" s="7">
        <v>44840</v>
      </c>
      <c r="S577" s="7">
        <v>401768</v>
      </c>
      <c r="T577" s="6"/>
      <c r="U577" s="8"/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39"/>
        <v>65.27</v>
      </c>
      <c r="P578" s="6">
        <f t="shared" si="40"/>
        <v>65.27</v>
      </c>
      <c r="Q578" s="6" t="s">
        <v>30</v>
      </c>
      <c r="R578" s="7">
        <v>44840</v>
      </c>
      <c r="S578" s="7">
        <v>401768</v>
      </c>
      <c r="T578" s="6"/>
      <c r="U578" s="8"/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39"/>
        <v>80.03</v>
      </c>
      <c r="P579" s="6">
        <f t="shared" si="40"/>
        <v>80.03</v>
      </c>
      <c r="Q579" s="6" t="s">
        <v>30</v>
      </c>
      <c r="R579" s="7">
        <v>45300</v>
      </c>
      <c r="S579" s="7">
        <v>401768</v>
      </c>
      <c r="T579" s="6"/>
      <c r="U579" s="8"/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39"/>
        <v>84.14</v>
      </c>
      <c r="P580" s="6">
        <f t="shared" si="40"/>
        <v>84.14</v>
      </c>
      <c r="Q580" s="6" t="s">
        <v>30</v>
      </c>
      <c r="R580" s="7">
        <v>45300</v>
      </c>
      <c r="S580" s="7">
        <v>401768</v>
      </c>
      <c r="T580" s="6"/>
      <c r="U580" s="8"/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39"/>
        <v>85.14</v>
      </c>
      <c r="P581" s="6">
        <f t="shared" si="40"/>
        <v>85.14</v>
      </c>
      <c r="Q581" s="6" t="s">
        <v>30</v>
      </c>
      <c r="R581" s="7">
        <v>45300</v>
      </c>
      <c r="S581" s="7">
        <v>401768</v>
      </c>
      <c r="T581" s="6"/>
      <c r="U581" s="8"/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39"/>
        <v>209.8</v>
      </c>
      <c r="P582" s="6">
        <f t="shared" si="40"/>
        <v>209.8</v>
      </c>
      <c r="Q582" s="6" t="s">
        <v>30</v>
      </c>
      <c r="R582" s="7">
        <v>45300</v>
      </c>
      <c r="S582" s="7">
        <v>401768</v>
      </c>
      <c r="T582" s="6"/>
      <c r="U582" s="8"/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39"/>
        <v>44.42</v>
      </c>
      <c r="P583" s="6">
        <f t="shared" si="40"/>
        <v>44.42</v>
      </c>
      <c r="Q583" s="6" t="s">
        <v>30</v>
      </c>
      <c r="R583" s="7">
        <v>45300</v>
      </c>
      <c r="S583" s="7">
        <v>401768</v>
      </c>
      <c r="T583" s="6"/>
      <c r="U583" s="8"/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39"/>
        <v>77.19</v>
      </c>
      <c r="P584" s="6">
        <f t="shared" si="40"/>
        <v>77.19</v>
      </c>
      <c r="Q584" s="6" t="s">
        <v>30</v>
      </c>
      <c r="R584" s="7">
        <v>45300</v>
      </c>
      <c r="S584" s="7">
        <v>401768</v>
      </c>
      <c r="T584" s="6"/>
      <c r="U584" s="8"/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39"/>
        <v>45500</v>
      </c>
      <c r="P585" s="6">
        <f t="shared" si="40"/>
        <v>45500</v>
      </c>
      <c r="Q585" s="6" t="s">
        <v>30</v>
      </c>
      <c r="R585" s="7">
        <v>44840</v>
      </c>
      <c r="S585" s="7">
        <v>401768</v>
      </c>
      <c r="T585" s="6"/>
      <c r="U585" s="8"/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39"/>
        <v>143848.4</v>
      </c>
      <c r="P586" s="6">
        <f t="shared" si="40"/>
        <v>143848.4</v>
      </c>
      <c r="Q586" s="6" t="s">
        <v>30</v>
      </c>
      <c r="R586" s="7">
        <v>44840</v>
      </c>
      <c r="S586" s="7">
        <v>401768</v>
      </c>
      <c r="T586" s="6"/>
      <c r="U586" s="8"/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39"/>
        <v>18180</v>
      </c>
      <c r="P587" s="6">
        <f t="shared" si="40"/>
        <v>18180</v>
      </c>
      <c r="Q587" s="6" t="s">
        <v>30</v>
      </c>
      <c r="R587" s="7">
        <v>45155</v>
      </c>
      <c r="S587" s="7">
        <v>401768</v>
      </c>
      <c r="T587" s="6"/>
      <c r="U587" s="8"/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39"/>
        <v>71802</v>
      </c>
      <c r="P588" s="6">
        <f t="shared" si="40"/>
        <v>71802</v>
      </c>
      <c r="Q588" s="6" t="s">
        <v>30</v>
      </c>
      <c r="R588" s="7">
        <v>45155</v>
      </c>
      <c r="S588" s="7">
        <v>401768</v>
      </c>
      <c r="T588" s="6"/>
      <c r="U588" s="8"/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39"/>
        <v>33791</v>
      </c>
      <c r="P589" s="6">
        <f t="shared" si="40"/>
        <v>33791</v>
      </c>
      <c r="Q589" s="6" t="s">
        <v>30</v>
      </c>
      <c r="R589" s="7">
        <v>45285</v>
      </c>
      <c r="S589" s="7">
        <v>401768</v>
      </c>
      <c r="T589" s="6"/>
      <c r="U589" s="8"/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39"/>
        <v>82554</v>
      </c>
      <c r="P590" s="6">
        <f t="shared" si="40"/>
        <v>82554</v>
      </c>
      <c r="Q590" s="6" t="s">
        <v>30</v>
      </c>
      <c r="R590" s="7">
        <v>45285</v>
      </c>
      <c r="S590" s="7">
        <v>401768</v>
      </c>
      <c r="T590" s="6"/>
      <c r="U590" s="8"/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39"/>
        <v>23688</v>
      </c>
      <c r="P591" s="6">
        <f t="shared" si="40"/>
        <v>23688</v>
      </c>
      <c r="Q591" s="6" t="s">
        <v>30</v>
      </c>
      <c r="R591" s="7">
        <v>45285</v>
      </c>
      <c r="S591" s="7">
        <v>401768</v>
      </c>
      <c r="T591" s="6"/>
      <c r="U591" s="8"/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39"/>
        <v>56942</v>
      </c>
      <c r="P592" s="6">
        <f t="shared" si="40"/>
        <v>56942</v>
      </c>
      <c r="Q592" s="6" t="s">
        <v>30</v>
      </c>
      <c r="R592" s="7">
        <v>45285</v>
      </c>
      <c r="S592" s="7">
        <v>401768</v>
      </c>
      <c r="T592" s="6"/>
      <c r="U592" s="8"/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39"/>
        <v>75</v>
      </c>
      <c r="P593" s="6">
        <f t="shared" si="40"/>
        <v>75</v>
      </c>
      <c r="Q593" s="6" t="s">
        <v>30</v>
      </c>
      <c r="R593" s="7">
        <v>45315</v>
      </c>
      <c r="S593" s="7">
        <v>401768</v>
      </c>
      <c r="T593" s="6"/>
      <c r="U593" s="8"/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39"/>
        <v>40</v>
      </c>
      <c r="P594" s="6">
        <f t="shared" si="40"/>
        <v>40</v>
      </c>
      <c r="Q594" s="6" t="s">
        <v>30</v>
      </c>
      <c r="R594" s="7">
        <v>45493</v>
      </c>
      <c r="S594" s="7">
        <v>401768</v>
      </c>
      <c r="T594" s="6"/>
      <c r="U594" s="8"/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39"/>
        <v>40</v>
      </c>
      <c r="P595" s="6">
        <f t="shared" si="40"/>
        <v>40</v>
      </c>
      <c r="Q595" s="6" t="s">
        <v>30</v>
      </c>
      <c r="R595" s="7">
        <v>45493</v>
      </c>
      <c r="S595" s="7">
        <v>401768</v>
      </c>
      <c r="T595" s="6"/>
      <c r="U595" s="8"/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39"/>
        <v>40</v>
      </c>
      <c r="P596" s="6">
        <f t="shared" si="40"/>
        <v>40</v>
      </c>
      <c r="Q596" s="6" t="s">
        <v>30</v>
      </c>
      <c r="R596" s="7">
        <v>45719</v>
      </c>
      <c r="S596" s="7">
        <v>401768</v>
      </c>
      <c r="T596" s="6"/>
      <c r="U596" s="8"/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39"/>
        <v>40</v>
      </c>
      <c r="P597" s="6">
        <f t="shared" si="40"/>
        <v>40</v>
      </c>
      <c r="Q597" s="6" t="s">
        <v>30</v>
      </c>
      <c r="R597" s="7">
        <v>45719</v>
      </c>
      <c r="S597" s="7">
        <v>401768</v>
      </c>
      <c r="T597" s="6"/>
      <c r="U597" s="8"/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39"/>
        <v>40</v>
      </c>
      <c r="P598" s="6">
        <f t="shared" si="40"/>
        <v>40</v>
      </c>
      <c r="Q598" s="6" t="s">
        <v>30</v>
      </c>
      <c r="R598" s="7">
        <v>45719</v>
      </c>
      <c r="S598" s="7">
        <v>401768</v>
      </c>
      <c r="T598" s="6"/>
      <c r="U598" s="8"/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39"/>
        <v>40</v>
      </c>
      <c r="P599" s="6">
        <f t="shared" si="40"/>
        <v>40</v>
      </c>
      <c r="Q599" s="6" t="s">
        <v>30</v>
      </c>
      <c r="R599" s="7">
        <v>45719</v>
      </c>
      <c r="S599" s="7">
        <v>401768</v>
      </c>
      <c r="T599" s="6"/>
      <c r="U599" s="8"/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39"/>
        <v>7.55</v>
      </c>
      <c r="P600" s="6">
        <f t="shared" si="40"/>
        <v>7.55</v>
      </c>
      <c r="Q600" s="6" t="s">
        <v>30</v>
      </c>
      <c r="R600" s="7">
        <v>41365</v>
      </c>
      <c r="S600" s="7">
        <v>401768</v>
      </c>
      <c r="T600" s="6"/>
      <c r="U600" s="8"/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39"/>
        <v>26.3</v>
      </c>
      <c r="P601" s="6">
        <f t="shared" si="40"/>
        <v>26.3</v>
      </c>
      <c r="Q601" s="6" t="s">
        <v>30</v>
      </c>
      <c r="R601" s="7">
        <v>41487</v>
      </c>
      <c r="S601" s="7">
        <v>401768</v>
      </c>
      <c r="T601" s="6"/>
      <c r="U601" s="8"/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39"/>
        <v>11.11</v>
      </c>
      <c r="P602" s="6">
        <f t="shared" si="40"/>
        <v>11.11</v>
      </c>
      <c r="Q602" s="6" t="s">
        <v>30</v>
      </c>
      <c r="R602" s="7">
        <v>42004</v>
      </c>
      <c r="S602" s="7">
        <v>401768</v>
      </c>
      <c r="T602" s="6"/>
      <c r="U602" s="8"/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39"/>
        <v>33.79</v>
      </c>
      <c r="P603" s="6">
        <f t="shared" si="40"/>
        <v>33.79</v>
      </c>
      <c r="Q603" s="6" t="s">
        <v>30</v>
      </c>
      <c r="R603" s="7">
        <v>41678</v>
      </c>
      <c r="S603" s="7">
        <v>401768</v>
      </c>
      <c r="T603" s="6"/>
      <c r="U603" s="8"/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39"/>
        <v>10.01</v>
      </c>
      <c r="P604" s="6">
        <f t="shared" si="40"/>
        <v>10.01</v>
      </c>
      <c r="Q604" s="6" t="s">
        <v>30</v>
      </c>
      <c r="R604" s="7">
        <v>41678</v>
      </c>
      <c r="S604" s="7">
        <v>401768</v>
      </c>
      <c r="T604" s="6"/>
      <c r="U604" s="8"/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39"/>
        <v>32.94</v>
      </c>
      <c r="P605" s="6">
        <f t="shared" si="40"/>
        <v>32.94</v>
      </c>
      <c r="Q605" s="6" t="s">
        <v>30</v>
      </c>
      <c r="R605" s="7">
        <v>41503</v>
      </c>
      <c r="S605" s="7">
        <v>401768</v>
      </c>
      <c r="T605" s="6"/>
      <c r="U605" s="8"/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39"/>
        <v>9.82</v>
      </c>
      <c r="P606" s="6">
        <f t="shared" si="40"/>
        <v>9.82</v>
      </c>
      <c r="Q606" s="6" t="s">
        <v>30</v>
      </c>
      <c r="R606" s="7">
        <v>41503</v>
      </c>
      <c r="S606" s="7">
        <v>401768</v>
      </c>
      <c r="T606" s="6"/>
      <c r="U606" s="8"/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39"/>
        <v>27.85</v>
      </c>
      <c r="P607" s="6">
        <f t="shared" si="40"/>
        <v>27.85</v>
      </c>
      <c r="Q607" s="6" t="s">
        <v>30</v>
      </c>
      <c r="R607" s="7">
        <v>42685</v>
      </c>
      <c r="S607" s="7">
        <v>401768</v>
      </c>
      <c r="T607" s="6"/>
      <c r="U607" s="8"/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39"/>
        <v>215</v>
      </c>
      <c r="P608" s="6">
        <f t="shared" si="40"/>
        <v>215</v>
      </c>
      <c r="Q608" s="6" t="s">
        <v>30</v>
      </c>
      <c r="R608" s="7">
        <v>42193</v>
      </c>
      <c r="S608" s="7">
        <v>401768</v>
      </c>
      <c r="T608" s="6"/>
      <c r="U608" s="8"/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39"/>
        <v>25.65</v>
      </c>
      <c r="P609" s="6">
        <f t="shared" si="40"/>
        <v>25.65</v>
      </c>
      <c r="Q609" s="6" t="s">
        <v>30</v>
      </c>
      <c r="R609" s="7">
        <v>41365</v>
      </c>
      <c r="S609" s="7">
        <v>401768</v>
      </c>
      <c r="T609" s="6"/>
      <c r="U609" s="8"/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39"/>
        <v>25.65</v>
      </c>
      <c r="P610" s="6">
        <f t="shared" si="40"/>
        <v>25.65</v>
      </c>
      <c r="Q610" s="6" t="s">
        <v>30</v>
      </c>
      <c r="R610" s="7">
        <v>41275</v>
      </c>
      <c r="S610" s="7">
        <v>401768</v>
      </c>
      <c r="T610" s="6"/>
      <c r="U610" s="8"/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41">O611*M611</f>
        <v>142.5</v>
      </c>
      <c r="Q611" s="6" t="s">
        <v>30</v>
      </c>
      <c r="R611" s="7">
        <v>41950</v>
      </c>
      <c r="S611" s="7">
        <v>401768</v>
      </c>
      <c r="T611" s="6"/>
      <c r="U611" s="8"/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41"/>
        <v>245.3</v>
      </c>
      <c r="Q612" s="6" t="s">
        <v>30</v>
      </c>
      <c r="R612" s="7">
        <v>46139</v>
      </c>
      <c r="S612" s="7">
        <v>401768</v>
      </c>
      <c r="T612" s="6"/>
      <c r="U612" s="8"/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41"/>
        <v>108.9</v>
      </c>
      <c r="Q613" s="6" t="s">
        <v>30</v>
      </c>
      <c r="R613" s="7">
        <v>46139</v>
      </c>
      <c r="S613" s="7">
        <v>401768</v>
      </c>
      <c r="T613" s="6"/>
      <c r="U613" s="8"/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2.2599999999999998</v>
      </c>
      <c r="N614" s="6" t="s">
        <v>151</v>
      </c>
      <c r="O614" s="6">
        <v>110</v>
      </c>
      <c r="P614" s="6">
        <f t="shared" si="41"/>
        <v>248.59999999999997</v>
      </c>
      <c r="Q614" s="6" t="s">
        <v>30</v>
      </c>
      <c r="R614" s="7">
        <v>46139</v>
      </c>
      <c r="S614" s="7">
        <v>401768</v>
      </c>
      <c r="T614" s="6"/>
      <c r="U614" s="8"/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41"/>
        <v>110</v>
      </c>
      <c r="Q615" s="6" t="s">
        <v>30</v>
      </c>
      <c r="R615" s="7">
        <v>46139</v>
      </c>
      <c r="S615" s="7">
        <v>401768</v>
      </c>
      <c r="T615" s="6"/>
      <c r="U615" s="8"/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2.2000000000000002</v>
      </c>
      <c r="N616" s="6" t="s">
        <v>151</v>
      </c>
      <c r="O616" s="6">
        <v>110</v>
      </c>
      <c r="P616" s="6">
        <f t="shared" si="4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/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41"/>
        <v>96.8</v>
      </c>
      <c r="Q617" s="6" t="s">
        <v>30</v>
      </c>
      <c r="R617" s="7">
        <v>44673</v>
      </c>
      <c r="S617" s="7">
        <v>401768</v>
      </c>
      <c r="T617" s="6"/>
      <c r="U617" s="8"/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41"/>
        <v>67.099999999999994</v>
      </c>
      <c r="Q618" s="6" t="s">
        <v>30</v>
      </c>
      <c r="R618" s="7">
        <v>46118</v>
      </c>
      <c r="S618" s="7">
        <v>401768</v>
      </c>
      <c r="T618" s="6"/>
      <c r="U618" s="8"/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41"/>
        <v>216.7</v>
      </c>
      <c r="Q619" s="6" t="s">
        <v>30</v>
      </c>
      <c r="R619" s="7">
        <v>44800</v>
      </c>
      <c r="S619" s="7">
        <v>401768</v>
      </c>
      <c r="T619" s="6"/>
      <c r="U619" s="8"/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41"/>
        <v>94.6</v>
      </c>
      <c r="Q620" s="6" t="s">
        <v>30</v>
      </c>
      <c r="R620" s="7">
        <v>44673</v>
      </c>
      <c r="S620" s="7">
        <v>401768</v>
      </c>
      <c r="T620" s="6"/>
      <c r="U620" s="8"/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41"/>
        <v>105.6</v>
      </c>
      <c r="Q621" s="6" t="s">
        <v>30</v>
      </c>
      <c r="R621" s="7">
        <v>44873</v>
      </c>
      <c r="S621" s="7">
        <v>401768</v>
      </c>
      <c r="T621" s="6"/>
      <c r="U621" s="8"/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41"/>
        <v>64.899999999999991</v>
      </c>
      <c r="Q622" s="6" t="s">
        <v>30</v>
      </c>
      <c r="R622" s="7">
        <v>44893</v>
      </c>
      <c r="S622" s="7">
        <v>401768</v>
      </c>
      <c r="T622" s="6"/>
      <c r="U622" s="8"/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41"/>
        <v>104.5</v>
      </c>
      <c r="Q623" s="6" t="s">
        <v>30</v>
      </c>
      <c r="R623" s="7">
        <v>44896</v>
      </c>
      <c r="S623" s="7">
        <v>401768</v>
      </c>
      <c r="T623" s="6"/>
      <c r="U623" s="8"/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41"/>
        <v>245.3</v>
      </c>
      <c r="Q624" s="6" t="s">
        <v>30</v>
      </c>
      <c r="R624" s="7">
        <v>46118</v>
      </c>
      <c r="S624" s="7">
        <v>401768</v>
      </c>
      <c r="T624" s="6"/>
      <c r="U624" s="8"/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41"/>
        <v>226.6</v>
      </c>
      <c r="Q625" s="6" t="s">
        <v>30</v>
      </c>
      <c r="R625" s="7">
        <v>46118</v>
      </c>
      <c r="S625" s="7">
        <v>46119</v>
      </c>
      <c r="T625" s="6"/>
      <c r="U625" s="8"/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41"/>
        <v>35.200000000000003</v>
      </c>
      <c r="Q626" s="6" t="s">
        <v>30</v>
      </c>
      <c r="R626" s="7">
        <v>44987</v>
      </c>
      <c r="S626" s="7">
        <v>401768</v>
      </c>
      <c r="T626" s="6"/>
      <c r="U626" s="8"/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41"/>
        <v>236.5</v>
      </c>
      <c r="Q627" s="6" t="s">
        <v>30</v>
      </c>
      <c r="R627" s="7">
        <v>45002</v>
      </c>
      <c r="S627" s="7">
        <v>401768</v>
      </c>
      <c r="T627" s="6"/>
      <c r="U627" s="8"/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1.1000000000000001</v>
      </c>
      <c r="N628" s="6" t="s">
        <v>151</v>
      </c>
      <c r="O628" s="6">
        <v>110</v>
      </c>
      <c r="P628" s="6">
        <f t="shared" si="41"/>
        <v>121.00000000000001</v>
      </c>
      <c r="Q628" s="6" t="s">
        <v>30</v>
      </c>
      <c r="R628" s="7">
        <v>45535</v>
      </c>
      <c r="S628" s="7">
        <v>401768</v>
      </c>
      <c r="T628" s="6"/>
      <c r="U628" s="8"/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1.1000000000000001</v>
      </c>
      <c r="N629" s="6" t="s">
        <v>151</v>
      </c>
      <c r="O629" s="6">
        <v>110</v>
      </c>
      <c r="P629" s="6">
        <f t="shared" si="41"/>
        <v>121.00000000000001</v>
      </c>
      <c r="Q629" s="6" t="s">
        <v>30</v>
      </c>
      <c r="R629" s="7">
        <v>45535</v>
      </c>
      <c r="S629" s="7">
        <v>401768</v>
      </c>
      <c r="T629" s="6"/>
      <c r="U629" s="8"/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41"/>
        <v>214.5</v>
      </c>
      <c r="Q630" s="6" t="s">
        <v>30</v>
      </c>
      <c r="R630" s="7">
        <v>45587</v>
      </c>
      <c r="S630" s="7">
        <v>401768</v>
      </c>
      <c r="T630" s="6"/>
      <c r="U630" s="8"/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4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/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41"/>
        <v>47.5</v>
      </c>
      <c r="Q632" s="6" t="s">
        <v>30</v>
      </c>
      <c r="R632" s="7">
        <v>45310</v>
      </c>
      <c r="S632" s="7">
        <v>401768</v>
      </c>
      <c r="T632" s="6"/>
      <c r="U632" s="8"/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41"/>
        <v>855</v>
      </c>
      <c r="Q633" s="6" t="s">
        <v>30</v>
      </c>
      <c r="R633" s="7">
        <v>45381</v>
      </c>
      <c r="S633" s="7">
        <v>401768</v>
      </c>
      <c r="T633" s="6"/>
      <c r="U633" s="8"/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41"/>
        <v>47.5</v>
      </c>
      <c r="Q634" s="6" t="s">
        <v>30</v>
      </c>
      <c r="R634" s="7">
        <v>45493</v>
      </c>
      <c r="S634" s="7">
        <v>401768</v>
      </c>
      <c r="T634" s="6"/>
      <c r="U634" s="8"/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41"/>
        <v>47.5</v>
      </c>
      <c r="Q635" s="6" t="s">
        <v>30</v>
      </c>
      <c r="R635" s="7">
        <v>45493</v>
      </c>
      <c r="S635" s="7">
        <v>401768</v>
      </c>
      <c r="T635" s="6"/>
      <c r="U635" s="8"/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41"/>
        <v>47.5</v>
      </c>
      <c r="Q636" s="6" t="s">
        <v>30</v>
      </c>
      <c r="R636" s="7">
        <v>45538</v>
      </c>
      <c r="S636" s="7">
        <v>401768</v>
      </c>
      <c r="T636" s="6"/>
      <c r="U636" s="8"/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41"/>
        <v>855</v>
      </c>
      <c r="Q637" s="6" t="s">
        <v>30</v>
      </c>
      <c r="R637" s="7">
        <v>45666</v>
      </c>
      <c r="S637" s="7">
        <v>401768</v>
      </c>
      <c r="T637" s="6"/>
      <c r="U637" s="8"/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41"/>
        <v>855</v>
      </c>
      <c r="Q638" s="6" t="s">
        <v>30</v>
      </c>
      <c r="R638" s="7">
        <v>45666</v>
      </c>
      <c r="S638" s="7">
        <v>401768</v>
      </c>
      <c r="T638" s="6"/>
      <c r="U638" s="8"/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41"/>
        <v>861.65</v>
      </c>
      <c r="Q639" s="6" t="s">
        <v>30</v>
      </c>
      <c r="R639" s="7">
        <v>45684</v>
      </c>
      <c r="S639" s="7">
        <v>401768</v>
      </c>
      <c r="T639" s="6"/>
      <c r="U639" s="8"/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41"/>
        <v>861.65</v>
      </c>
      <c r="Q640" s="6" t="s">
        <v>30</v>
      </c>
      <c r="R640" s="7">
        <v>45684</v>
      </c>
      <c r="S640" s="7">
        <v>401768</v>
      </c>
      <c r="T640" s="6"/>
      <c r="U640" s="8"/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41"/>
        <v>861.65</v>
      </c>
      <c r="Q641" s="6" t="s">
        <v>30</v>
      </c>
      <c r="R641" s="7">
        <v>45684</v>
      </c>
      <c r="S641" s="7">
        <v>401768</v>
      </c>
      <c r="T641" s="6"/>
      <c r="U641" s="8"/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41"/>
        <v>861.65</v>
      </c>
      <c r="Q642" s="6" t="s">
        <v>30</v>
      </c>
      <c r="R642" s="7">
        <v>45684</v>
      </c>
      <c r="S642" s="7">
        <v>401768</v>
      </c>
      <c r="T642" s="6"/>
      <c r="U642" s="8"/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41"/>
        <v>855</v>
      </c>
      <c r="Q643" s="6" t="s">
        <v>30</v>
      </c>
      <c r="R643" s="7">
        <v>45684</v>
      </c>
      <c r="S643" s="7">
        <v>401768</v>
      </c>
      <c r="T643" s="6"/>
      <c r="U643" s="8"/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41"/>
        <v>104604500</v>
      </c>
      <c r="Q644" s="6" t="s">
        <v>30</v>
      </c>
      <c r="R644" s="7">
        <v>45801</v>
      </c>
      <c r="S644" s="7">
        <v>401768</v>
      </c>
      <c r="T644" s="6"/>
      <c r="U644" s="8"/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42">M645</f>
        <v>272.68</v>
      </c>
      <c r="P645" s="6">
        <f t="shared" ref="P645:P648" si="43">O645</f>
        <v>272.68</v>
      </c>
      <c r="Q645" s="6" t="s">
        <v>30</v>
      </c>
      <c r="R645" s="7">
        <v>44545</v>
      </c>
      <c r="S645" s="7">
        <v>401768</v>
      </c>
      <c r="T645" s="6"/>
      <c r="U645" s="8"/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42"/>
        <v>69600</v>
      </c>
      <c r="P646" s="6">
        <f t="shared" si="43"/>
        <v>69600</v>
      </c>
      <c r="Q646" s="6" t="s">
        <v>30</v>
      </c>
      <c r="R646" s="7">
        <v>44497</v>
      </c>
      <c r="S646" s="7">
        <v>401768</v>
      </c>
      <c r="T646" s="6"/>
      <c r="U646" s="8"/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42"/>
        <v>36.07</v>
      </c>
      <c r="P647" s="6">
        <f t="shared" si="43"/>
        <v>36.07</v>
      </c>
      <c r="Q647" s="6" t="s">
        <v>30</v>
      </c>
      <c r="R647" s="7">
        <v>44499</v>
      </c>
      <c r="S647" s="7">
        <v>401768</v>
      </c>
      <c r="T647" s="6"/>
      <c r="U647" s="8"/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42"/>
        <v>53.85</v>
      </c>
      <c r="P648" s="6">
        <f t="shared" si="43"/>
        <v>53.85</v>
      </c>
      <c r="Q648" s="6" t="s">
        <v>30</v>
      </c>
      <c r="R648" s="7">
        <v>43123</v>
      </c>
      <c r="S648" s="7">
        <v>401768</v>
      </c>
      <c r="T648" s="6"/>
      <c r="U648" s="8"/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41"/>
        <v>668.8</v>
      </c>
      <c r="Q649" s="6" t="s">
        <v>30</v>
      </c>
      <c r="R649" s="7">
        <v>43669</v>
      </c>
      <c r="S649" s="7">
        <v>401768</v>
      </c>
      <c r="T649" s="6"/>
      <c r="U649" s="8"/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44">M650</f>
        <v>432.84</v>
      </c>
      <c r="P650" s="6">
        <f t="shared" ref="P650:P651" si="45">O650</f>
        <v>432.84</v>
      </c>
      <c r="Q650" s="6" t="s">
        <v>30</v>
      </c>
      <c r="R650" s="7">
        <v>43004</v>
      </c>
      <c r="S650" s="7">
        <v>401768</v>
      </c>
      <c r="T650" s="6"/>
      <c r="U650" s="8"/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44"/>
        <v>7.04</v>
      </c>
      <c r="P651" s="6">
        <f t="shared" si="45"/>
        <v>7.04</v>
      </c>
      <c r="Q651" s="6" t="s">
        <v>30</v>
      </c>
      <c r="R651" s="7">
        <v>43650</v>
      </c>
      <c r="S651" s="7">
        <v>401768</v>
      </c>
      <c r="T651" s="6"/>
      <c r="U651" s="8"/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41"/>
        <v>96.8</v>
      </c>
      <c r="Q652" s="6" t="s">
        <v>30</v>
      </c>
      <c r="R652" s="7">
        <v>44580</v>
      </c>
      <c r="S652" s="7">
        <v>401768</v>
      </c>
      <c r="T652" s="6"/>
      <c r="U652" s="8"/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41"/>
        <v>59.400000000000006</v>
      </c>
      <c r="Q653" s="6" t="s">
        <v>30</v>
      </c>
      <c r="R653" s="7">
        <v>44580</v>
      </c>
      <c r="S653" s="7">
        <v>401768</v>
      </c>
      <c r="T653" s="6"/>
      <c r="U653" s="8"/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41"/>
        <v>209</v>
      </c>
      <c r="Q654" s="6" t="s">
        <v>30</v>
      </c>
      <c r="R654" s="7">
        <v>44580</v>
      </c>
      <c r="S654" s="7">
        <v>401768</v>
      </c>
      <c r="T654" s="6"/>
      <c r="U654" s="8"/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41"/>
        <v>94.6</v>
      </c>
      <c r="Q655" s="6" t="s">
        <v>30</v>
      </c>
      <c r="R655" s="7">
        <v>44580</v>
      </c>
      <c r="S655" s="7">
        <v>401768</v>
      </c>
      <c r="T655" s="6"/>
      <c r="U655" s="8"/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46">M656</f>
        <v>60.35</v>
      </c>
      <c r="P656" s="6">
        <f t="shared" ref="P656:P657" si="47">O656</f>
        <v>60.35</v>
      </c>
      <c r="Q656" s="6" t="s">
        <v>30</v>
      </c>
      <c r="R656" s="7">
        <v>42578</v>
      </c>
      <c r="S656" s="7">
        <v>401768</v>
      </c>
      <c r="T656" s="6"/>
      <c r="U656" s="8"/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46"/>
        <v>1120.32</v>
      </c>
      <c r="P657" s="6">
        <f t="shared" si="47"/>
        <v>1120.32</v>
      </c>
      <c r="Q657" s="6" t="s">
        <v>30</v>
      </c>
      <c r="R657" s="7">
        <v>43004</v>
      </c>
      <c r="S657" s="7">
        <v>401768</v>
      </c>
      <c r="T657" s="6"/>
      <c r="U657" s="8"/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41"/>
        <v>359.7</v>
      </c>
      <c r="Q658" s="6" t="s">
        <v>30</v>
      </c>
      <c r="R658" s="7">
        <v>44750</v>
      </c>
      <c r="S658" s="7">
        <v>401768</v>
      </c>
      <c r="T658" s="6"/>
      <c r="U658" s="8"/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41"/>
        <v>235.4</v>
      </c>
      <c r="Q659" s="6" t="s">
        <v>30</v>
      </c>
      <c r="R659" s="7">
        <v>44750</v>
      </c>
      <c r="S659" s="7">
        <v>401768</v>
      </c>
      <c r="T659" s="6"/>
      <c r="U659" s="8"/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41"/>
        <v>682</v>
      </c>
      <c r="Q660" s="6" t="s">
        <v>30</v>
      </c>
      <c r="R660" s="7">
        <v>45383</v>
      </c>
      <c r="S660" s="7">
        <v>401768</v>
      </c>
      <c r="T660" s="6"/>
      <c r="U660" s="8"/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41"/>
        <v>105.6</v>
      </c>
      <c r="Q661" s="6" t="s">
        <v>30</v>
      </c>
      <c r="R661" s="7">
        <v>44548</v>
      </c>
      <c r="S661" s="7">
        <v>401768</v>
      </c>
      <c r="T661" s="6"/>
      <c r="U661" s="8"/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41"/>
        <v>2753.3</v>
      </c>
      <c r="Q662" s="6" t="s">
        <v>30</v>
      </c>
      <c r="R662" s="7">
        <v>45276</v>
      </c>
      <c r="S662" s="7">
        <v>401768</v>
      </c>
      <c r="T662" s="6"/>
      <c r="U662" s="8"/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41"/>
        <v>1089</v>
      </c>
      <c r="Q663" s="6" t="s">
        <v>30</v>
      </c>
      <c r="R663" s="7">
        <v>45423</v>
      </c>
      <c r="S663" s="7">
        <v>401768</v>
      </c>
      <c r="T663" s="6"/>
      <c r="U663" s="8"/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48">M664</f>
        <v>430.09</v>
      </c>
      <c r="P664" s="6">
        <f t="shared" ref="P664:P711" si="49">O664</f>
        <v>430.09</v>
      </c>
      <c r="Q664" s="6" t="s">
        <v>30</v>
      </c>
      <c r="R664" s="7">
        <v>42524</v>
      </c>
      <c r="S664" s="7">
        <v>401768</v>
      </c>
      <c r="T664" s="6"/>
      <c r="U664" s="8"/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48"/>
        <v>60.57</v>
      </c>
      <c r="P665" s="6">
        <f t="shared" si="49"/>
        <v>60.57</v>
      </c>
      <c r="Q665" s="6" t="s">
        <v>30</v>
      </c>
      <c r="R665" s="7">
        <v>42444</v>
      </c>
      <c r="S665" s="7">
        <v>401768</v>
      </c>
      <c r="T665" s="6"/>
      <c r="U665" s="8"/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294.39999999999998</v>
      </c>
      <c r="N666" s="6" t="s">
        <v>29</v>
      </c>
      <c r="O666" s="6">
        <f t="shared" si="48"/>
        <v>294.39999999999998</v>
      </c>
      <c r="P666" s="6">
        <f t="shared" si="49"/>
        <v>294.39999999999998</v>
      </c>
      <c r="Q666" s="6" t="s">
        <v>30</v>
      </c>
      <c r="R666" s="7">
        <v>42524</v>
      </c>
      <c r="S666" s="7">
        <v>401768</v>
      </c>
      <c r="T666" s="6"/>
      <c r="U666" s="8"/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48"/>
        <v>181.76</v>
      </c>
      <c r="P667" s="6">
        <f t="shared" si="49"/>
        <v>181.76</v>
      </c>
      <c r="Q667" s="6" t="s">
        <v>30</v>
      </c>
      <c r="R667" s="7">
        <v>46146</v>
      </c>
      <c r="S667" s="7">
        <v>401768</v>
      </c>
      <c r="T667" s="6"/>
      <c r="U667" s="8"/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48"/>
        <v>153.93</v>
      </c>
      <c r="P668" s="6">
        <f t="shared" si="49"/>
        <v>153.93</v>
      </c>
      <c r="Q668" s="6" t="s">
        <v>30</v>
      </c>
      <c r="R668" s="7">
        <v>46146</v>
      </c>
      <c r="S668" s="7">
        <v>401768</v>
      </c>
      <c r="T668" s="6"/>
      <c r="U668" s="8"/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48"/>
        <v>16.59</v>
      </c>
      <c r="P669" s="6">
        <f t="shared" si="49"/>
        <v>16.59</v>
      </c>
      <c r="Q669" s="6" t="s">
        <v>30</v>
      </c>
      <c r="R669" s="7">
        <v>46146</v>
      </c>
      <c r="S669" s="7">
        <v>401768</v>
      </c>
      <c r="T669" s="6"/>
      <c r="U669" s="8"/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128.61000000000001</v>
      </c>
      <c r="N670" s="6" t="s">
        <v>29</v>
      </c>
      <c r="O670" s="6">
        <f t="shared" si="48"/>
        <v>128.61000000000001</v>
      </c>
      <c r="P670" s="6">
        <f t="shared" si="49"/>
        <v>128.61000000000001</v>
      </c>
      <c r="Q670" s="6" t="s">
        <v>30</v>
      </c>
      <c r="R670" s="7">
        <v>46146</v>
      </c>
      <c r="S670" s="7">
        <v>401768</v>
      </c>
      <c r="T670" s="6">
        <v>718</v>
      </c>
      <c r="U670" s="8"/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48"/>
        <v>15.99</v>
      </c>
      <c r="P671" s="6">
        <f t="shared" si="49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/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48"/>
        <v>78.62</v>
      </c>
      <c r="P672" s="6">
        <f t="shared" si="49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/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48"/>
        <v>73.8</v>
      </c>
      <c r="P673" s="6">
        <f t="shared" si="49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/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77.099999999999994</v>
      </c>
      <c r="N674" s="6" t="s">
        <v>29</v>
      </c>
      <c r="O674" s="6">
        <f t="shared" si="48"/>
        <v>77.099999999999994</v>
      </c>
      <c r="P674" s="6">
        <f t="shared" si="49"/>
        <v>77.099999999999994</v>
      </c>
      <c r="Q674" s="6" t="s">
        <v>30</v>
      </c>
      <c r="R674" s="7">
        <v>46146</v>
      </c>
      <c r="S674" s="7">
        <v>401768</v>
      </c>
      <c r="T674" s="6">
        <v>2310</v>
      </c>
      <c r="U674" s="8"/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48"/>
        <v>60.48</v>
      </c>
      <c r="P675" s="6">
        <f t="shared" si="49"/>
        <v>60.48</v>
      </c>
      <c r="Q675" s="6" t="s">
        <v>30</v>
      </c>
      <c r="R675" s="7">
        <v>46146</v>
      </c>
      <c r="S675" s="7">
        <v>401768</v>
      </c>
      <c r="T675" s="6"/>
      <c r="U675" s="8"/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48"/>
        <v>62.71</v>
      </c>
      <c r="P676" s="6">
        <f t="shared" si="49"/>
        <v>62.71</v>
      </c>
      <c r="Q676" s="6" t="s">
        <v>30</v>
      </c>
      <c r="R676" s="7">
        <v>46146</v>
      </c>
      <c r="S676" s="7">
        <v>401768</v>
      </c>
      <c r="T676" s="6"/>
      <c r="U676" s="8"/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48"/>
        <v>93.32</v>
      </c>
      <c r="P677" s="6">
        <f t="shared" si="49"/>
        <v>93.32</v>
      </c>
      <c r="Q677" s="6" t="s">
        <v>30</v>
      </c>
      <c r="R677" s="7">
        <v>46146</v>
      </c>
      <c r="S677" s="7">
        <v>401768</v>
      </c>
      <c r="T677" s="6"/>
      <c r="U677" s="8"/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48"/>
        <v>95.78</v>
      </c>
      <c r="P678" s="6">
        <f t="shared" si="49"/>
        <v>95.78</v>
      </c>
      <c r="Q678" s="6" t="s">
        <v>30</v>
      </c>
      <c r="R678" s="7">
        <v>46146</v>
      </c>
      <c r="S678" s="7">
        <v>401768</v>
      </c>
      <c r="T678" s="6"/>
      <c r="U678" s="8"/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48"/>
        <v>215.68</v>
      </c>
      <c r="P679" s="6">
        <f t="shared" si="49"/>
        <v>215.68</v>
      </c>
      <c r="Q679" s="6" t="s">
        <v>30</v>
      </c>
      <c r="R679" s="7">
        <v>44834</v>
      </c>
      <c r="S679" s="7">
        <v>401768</v>
      </c>
      <c r="T679" s="6"/>
      <c r="U679" s="8"/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48"/>
        <v>58.63</v>
      </c>
      <c r="P680" s="6">
        <f t="shared" si="49"/>
        <v>58.63</v>
      </c>
      <c r="Q680" s="6" t="s">
        <v>30</v>
      </c>
      <c r="R680" s="7">
        <v>43299</v>
      </c>
      <c r="S680" s="7">
        <v>401768</v>
      </c>
      <c r="T680" s="6"/>
      <c r="U680" s="8"/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48"/>
        <v>71.48</v>
      </c>
      <c r="P681" s="6">
        <f t="shared" si="49"/>
        <v>71.48</v>
      </c>
      <c r="Q681" s="6" t="s">
        <v>30</v>
      </c>
      <c r="R681" s="7">
        <v>46146</v>
      </c>
      <c r="S681" s="7">
        <v>401768</v>
      </c>
      <c r="T681" s="6"/>
      <c r="U681" s="8"/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48"/>
        <v>90.67</v>
      </c>
      <c r="P682" s="6">
        <f t="shared" si="49"/>
        <v>90.67</v>
      </c>
      <c r="Q682" s="6" t="s">
        <v>30</v>
      </c>
      <c r="R682" s="7">
        <v>44435</v>
      </c>
      <c r="S682" s="7">
        <v>401768</v>
      </c>
      <c r="T682" s="6"/>
      <c r="U682" s="8"/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48"/>
        <v>95.72</v>
      </c>
      <c r="P683" s="6">
        <f t="shared" si="49"/>
        <v>95.72</v>
      </c>
      <c r="Q683" s="6" t="s">
        <v>30</v>
      </c>
      <c r="R683" s="7">
        <v>44427</v>
      </c>
      <c r="S683" s="7">
        <v>401768</v>
      </c>
      <c r="T683" s="6"/>
      <c r="U683" s="8"/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48"/>
        <v>58.82</v>
      </c>
      <c r="P684" s="6">
        <f t="shared" si="49"/>
        <v>58.82</v>
      </c>
      <c r="Q684" s="6" t="s">
        <v>30</v>
      </c>
      <c r="R684" s="7">
        <v>41981</v>
      </c>
      <c r="S684" s="7">
        <v>401768</v>
      </c>
      <c r="T684" s="6"/>
      <c r="U684" s="8"/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48"/>
        <v>62.49</v>
      </c>
      <c r="P685" s="6">
        <f t="shared" si="49"/>
        <v>62.49</v>
      </c>
      <c r="Q685" s="6" t="s">
        <v>30</v>
      </c>
      <c r="R685" s="7">
        <v>44438</v>
      </c>
      <c r="S685" s="7">
        <v>401768</v>
      </c>
      <c r="T685" s="6"/>
      <c r="U685" s="8"/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48"/>
        <v>126.53</v>
      </c>
      <c r="P686" s="6">
        <f t="shared" si="49"/>
        <v>126.53</v>
      </c>
      <c r="Q686" s="6" t="s">
        <v>30</v>
      </c>
      <c r="R686" s="7">
        <v>42695</v>
      </c>
      <c r="S686" s="7">
        <v>401768</v>
      </c>
      <c r="T686" s="6"/>
      <c r="U686" s="8"/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48"/>
        <v>55.31</v>
      </c>
      <c r="P687" s="6">
        <f t="shared" si="49"/>
        <v>55.31</v>
      </c>
      <c r="Q687" s="6" t="s">
        <v>30</v>
      </c>
      <c r="R687" s="7">
        <v>41999</v>
      </c>
      <c r="S687" s="7">
        <v>401768</v>
      </c>
      <c r="T687" s="6"/>
      <c r="U687" s="8"/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48"/>
        <v>59.1</v>
      </c>
      <c r="P688" s="6">
        <f t="shared" si="49"/>
        <v>59.1</v>
      </c>
      <c r="Q688" s="6" t="s">
        <v>30</v>
      </c>
      <c r="R688" s="7">
        <v>42000</v>
      </c>
      <c r="S688" s="7">
        <v>401768</v>
      </c>
      <c r="T688" s="6"/>
      <c r="U688" s="8"/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48"/>
        <v>38.36</v>
      </c>
      <c r="P689" s="6">
        <f t="shared" si="49"/>
        <v>38.36</v>
      </c>
      <c r="Q689" s="6" t="s">
        <v>30</v>
      </c>
      <c r="R689" s="7">
        <v>42122</v>
      </c>
      <c r="S689" s="7">
        <v>401768</v>
      </c>
      <c r="T689" s="6"/>
      <c r="U689" s="8"/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48"/>
        <v>14.5</v>
      </c>
      <c r="P690" s="6">
        <f t="shared" si="49"/>
        <v>14.5</v>
      </c>
      <c r="Q690" s="6" t="s">
        <v>30</v>
      </c>
      <c r="R690" s="7">
        <v>42016</v>
      </c>
      <c r="S690" s="7">
        <v>401768</v>
      </c>
      <c r="T690" s="6"/>
      <c r="U690" s="8"/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48"/>
        <v>24000</v>
      </c>
      <c r="P691" s="6">
        <f t="shared" si="49"/>
        <v>24000</v>
      </c>
      <c r="Q691" s="6" t="s">
        <v>30</v>
      </c>
      <c r="R691" s="7">
        <v>44462</v>
      </c>
      <c r="S691" s="7">
        <v>401768</v>
      </c>
      <c r="T691" s="6"/>
      <c r="U691" s="8"/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48"/>
        <v>74053</v>
      </c>
      <c r="P692" s="6">
        <f t="shared" si="49"/>
        <v>74053</v>
      </c>
      <c r="Q692" s="6" t="s">
        <v>30</v>
      </c>
      <c r="R692" s="7">
        <v>44541</v>
      </c>
      <c r="S692" s="7">
        <v>401768</v>
      </c>
      <c r="T692" s="6"/>
      <c r="U692" s="8"/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48"/>
        <v>207.6</v>
      </c>
      <c r="P693" s="6">
        <f t="shared" si="49"/>
        <v>207.6</v>
      </c>
      <c r="Q693" s="6" t="s">
        <v>30</v>
      </c>
      <c r="R693" s="7">
        <v>44644</v>
      </c>
      <c r="S693" s="7">
        <v>401768</v>
      </c>
      <c r="T693" s="6"/>
      <c r="U693" s="8"/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48"/>
        <v>6.74</v>
      </c>
      <c r="P694" s="6">
        <f t="shared" si="49"/>
        <v>6.74</v>
      </c>
      <c r="Q694" s="6" t="s">
        <v>30</v>
      </c>
      <c r="R694" s="7">
        <v>41365</v>
      </c>
      <c r="S694" s="7">
        <v>401768</v>
      </c>
      <c r="T694" s="6"/>
      <c r="U694" s="8"/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48"/>
        <v>3</v>
      </c>
      <c r="P695" s="6">
        <f t="shared" si="49"/>
        <v>3</v>
      </c>
      <c r="Q695" s="6" t="s">
        <v>30</v>
      </c>
      <c r="R695" s="7">
        <v>43088</v>
      </c>
      <c r="S695" s="7">
        <v>401768</v>
      </c>
      <c r="T695" s="6"/>
      <c r="U695" s="8"/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48"/>
        <v>10</v>
      </c>
      <c r="P696" s="6">
        <f t="shared" si="49"/>
        <v>10</v>
      </c>
      <c r="Q696" s="6" t="s">
        <v>30</v>
      </c>
      <c r="R696" s="7">
        <v>41365</v>
      </c>
      <c r="S696" s="7">
        <v>401768</v>
      </c>
      <c r="T696" s="6"/>
      <c r="U696" s="8"/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48"/>
        <v>18</v>
      </c>
      <c r="P697" s="6">
        <f t="shared" si="49"/>
        <v>18</v>
      </c>
      <c r="Q697" s="6" t="s">
        <v>30</v>
      </c>
      <c r="R697" s="7">
        <v>41849</v>
      </c>
      <c r="S697" s="7">
        <v>401768</v>
      </c>
      <c r="T697" s="6"/>
      <c r="U697" s="8"/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48"/>
        <v>14.4</v>
      </c>
      <c r="P698" s="6">
        <f t="shared" si="49"/>
        <v>14.4</v>
      </c>
      <c r="Q698" s="6" t="s">
        <v>30</v>
      </c>
      <c r="R698" s="7">
        <v>41426</v>
      </c>
      <c r="S698" s="7">
        <v>401768</v>
      </c>
      <c r="T698" s="6"/>
      <c r="U698" s="8"/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48"/>
        <v>16.87</v>
      </c>
      <c r="P699" s="6">
        <f t="shared" si="49"/>
        <v>16.87</v>
      </c>
      <c r="Q699" s="6" t="s">
        <v>30</v>
      </c>
      <c r="R699" s="7">
        <v>42422</v>
      </c>
      <c r="S699" s="7">
        <v>401768</v>
      </c>
      <c r="T699" s="6"/>
      <c r="U699" s="8"/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48"/>
        <v>587</v>
      </c>
      <c r="P700" s="6">
        <f t="shared" si="49"/>
        <v>587</v>
      </c>
      <c r="Q700" s="6" t="s">
        <v>30</v>
      </c>
      <c r="R700" s="7">
        <v>45159</v>
      </c>
      <c r="S700" s="7">
        <v>401768</v>
      </c>
      <c r="T700" s="6"/>
      <c r="U700" s="8"/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48"/>
        <v>347</v>
      </c>
      <c r="P701" s="6">
        <f t="shared" si="49"/>
        <v>347</v>
      </c>
      <c r="Q701" s="6" t="s">
        <v>30</v>
      </c>
      <c r="R701" s="7">
        <v>45159</v>
      </c>
      <c r="S701" s="7">
        <v>401768</v>
      </c>
      <c r="T701" s="6"/>
      <c r="U701" s="8"/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48"/>
        <v>8310</v>
      </c>
      <c r="P702" s="6">
        <f t="shared" si="49"/>
        <v>8310</v>
      </c>
      <c r="Q702" s="6" t="s">
        <v>30</v>
      </c>
      <c r="R702" s="7">
        <v>45159</v>
      </c>
      <c r="S702" s="7">
        <v>401768</v>
      </c>
      <c r="T702" s="6"/>
      <c r="U702" s="8"/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48"/>
        <v>8310</v>
      </c>
      <c r="P703" s="6">
        <f t="shared" si="49"/>
        <v>8310</v>
      </c>
      <c r="Q703" s="6" t="s">
        <v>30</v>
      </c>
      <c r="R703" s="7">
        <v>45161</v>
      </c>
      <c r="S703" s="7">
        <v>401768</v>
      </c>
      <c r="T703" s="6"/>
      <c r="U703" s="8"/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48"/>
        <v>57</v>
      </c>
      <c r="P704" s="6">
        <f t="shared" si="49"/>
        <v>57</v>
      </c>
      <c r="Q704" s="6" t="s">
        <v>30</v>
      </c>
      <c r="R704" s="7">
        <v>44370</v>
      </c>
      <c r="S704" s="7">
        <v>401768</v>
      </c>
      <c r="T704" s="6"/>
      <c r="U704" s="8"/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48"/>
        <v>1460</v>
      </c>
      <c r="P705" s="6">
        <f t="shared" si="49"/>
        <v>1460</v>
      </c>
      <c r="Q705" s="6" t="s">
        <v>30</v>
      </c>
      <c r="R705" s="7">
        <v>44370</v>
      </c>
      <c r="S705" s="7">
        <v>401768</v>
      </c>
      <c r="T705" s="6"/>
      <c r="U705" s="8"/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48"/>
        <v>812</v>
      </c>
      <c r="P706" s="6">
        <f t="shared" si="49"/>
        <v>812</v>
      </c>
      <c r="Q706" s="6" t="s">
        <v>30</v>
      </c>
      <c r="R706" s="7">
        <v>46102</v>
      </c>
      <c r="S706" s="7">
        <v>401768</v>
      </c>
      <c r="T706" s="6"/>
      <c r="U706" s="8"/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48"/>
        <v>396</v>
      </c>
      <c r="P707" s="6">
        <f t="shared" si="49"/>
        <v>396</v>
      </c>
      <c r="Q707" s="6" t="s">
        <v>30</v>
      </c>
      <c r="R707" s="7">
        <v>46102</v>
      </c>
      <c r="S707" s="7">
        <v>401768</v>
      </c>
      <c r="T707" s="6"/>
      <c r="U707" s="8"/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48"/>
        <v>230.74</v>
      </c>
      <c r="P708" s="6">
        <f t="shared" si="49"/>
        <v>230.74</v>
      </c>
      <c r="Q708" s="6" t="s">
        <v>30</v>
      </c>
      <c r="R708" s="7">
        <v>45664</v>
      </c>
      <c r="S708" s="7">
        <v>401768</v>
      </c>
      <c r="T708" s="6"/>
      <c r="U708" s="8"/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48"/>
        <v>42</v>
      </c>
      <c r="P709" s="6">
        <f t="shared" si="49"/>
        <v>42</v>
      </c>
      <c r="Q709" s="6" t="s">
        <v>30</v>
      </c>
      <c r="R709" s="7">
        <v>45803</v>
      </c>
      <c r="S709" s="7">
        <v>401768</v>
      </c>
      <c r="T709" s="6"/>
      <c r="U709" s="8"/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48"/>
        <v>812</v>
      </c>
      <c r="P710" s="6">
        <f t="shared" si="49"/>
        <v>812</v>
      </c>
      <c r="Q710" s="6" t="s">
        <v>30</v>
      </c>
      <c r="R710" s="7">
        <v>46165</v>
      </c>
      <c r="S710" s="7">
        <v>401768</v>
      </c>
      <c r="T710" s="6"/>
      <c r="U710" s="8"/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48"/>
        <v>396</v>
      </c>
      <c r="P711" s="6">
        <f t="shared" si="49"/>
        <v>396</v>
      </c>
      <c r="Q711" s="6" t="s">
        <v>30</v>
      </c>
      <c r="R711" s="7">
        <v>46165</v>
      </c>
      <c r="S711" s="7">
        <v>401768</v>
      </c>
      <c r="T711" s="6"/>
      <c r="U711" s="8"/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50">O712*M712</f>
        <v>19</v>
      </c>
      <c r="Q712" s="6" t="s">
        <v>30</v>
      </c>
      <c r="R712" s="7">
        <v>42357</v>
      </c>
      <c r="S712" s="7">
        <v>401768</v>
      </c>
      <c r="T712" s="6"/>
      <c r="U712" s="8"/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50"/>
        <v>19</v>
      </c>
      <c r="Q713" s="6" t="s">
        <v>30</v>
      </c>
      <c r="R713" s="7">
        <v>42357</v>
      </c>
      <c r="S713" s="7">
        <v>401768</v>
      </c>
      <c r="T713" s="6"/>
      <c r="U713" s="8"/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50"/>
        <v>76</v>
      </c>
      <c r="Q714" s="6" t="s">
        <v>30</v>
      </c>
      <c r="R714" s="7">
        <v>42357</v>
      </c>
      <c r="S714" s="7">
        <v>401768</v>
      </c>
      <c r="T714" s="6"/>
      <c r="U714" s="8"/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50"/>
        <v>71.25</v>
      </c>
      <c r="Q715" s="6" t="s">
        <v>30</v>
      </c>
      <c r="R715" s="7">
        <v>42357</v>
      </c>
      <c r="S715" s="7">
        <v>401768</v>
      </c>
      <c r="T715" s="6"/>
      <c r="U715" s="8"/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50"/>
        <v>48.45</v>
      </c>
      <c r="Q716" s="6" t="s">
        <v>30</v>
      </c>
      <c r="R716" s="7">
        <v>42357</v>
      </c>
      <c r="S716" s="7">
        <v>401768</v>
      </c>
      <c r="T716" s="6"/>
      <c r="U716" s="8"/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51">M717</f>
        <v>92</v>
      </c>
      <c r="P717" s="6">
        <f t="shared" ref="P717:P740" si="52">O717</f>
        <v>92</v>
      </c>
      <c r="Q717" s="6" t="s">
        <v>30</v>
      </c>
      <c r="R717" s="7">
        <v>44627</v>
      </c>
      <c r="S717" s="7">
        <v>401768</v>
      </c>
      <c r="T717" s="6"/>
      <c r="U717" s="8"/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51"/>
        <v>46</v>
      </c>
      <c r="P718" s="6">
        <f t="shared" si="52"/>
        <v>46</v>
      </c>
      <c r="Q718" s="6" t="s">
        <v>30</v>
      </c>
      <c r="R718" s="7">
        <v>41475</v>
      </c>
      <c r="S718" s="7">
        <v>401768</v>
      </c>
      <c r="T718" s="6"/>
      <c r="U718" s="8"/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34.479999999999997</v>
      </c>
      <c r="N719" s="6" t="s">
        <v>29</v>
      </c>
      <c r="O719" s="6">
        <f t="shared" si="51"/>
        <v>34.479999999999997</v>
      </c>
      <c r="P719" s="6">
        <f t="shared" si="52"/>
        <v>34.479999999999997</v>
      </c>
      <c r="Q719" s="6" t="s">
        <v>30</v>
      </c>
      <c r="R719" s="7">
        <v>43465</v>
      </c>
      <c r="S719" s="7">
        <v>401768</v>
      </c>
      <c r="T719" s="6"/>
      <c r="U719" s="8"/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51"/>
        <v>23</v>
      </c>
      <c r="P720" s="6">
        <f t="shared" si="52"/>
        <v>23</v>
      </c>
      <c r="Q720" s="6" t="s">
        <v>30</v>
      </c>
      <c r="R720" s="7">
        <v>41577</v>
      </c>
      <c r="S720" s="7">
        <v>401768</v>
      </c>
      <c r="T720" s="6"/>
      <c r="U720" s="8"/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51"/>
        <v>60</v>
      </c>
      <c r="P721" s="6">
        <f t="shared" si="52"/>
        <v>60</v>
      </c>
      <c r="Q721" s="6" t="s">
        <v>30</v>
      </c>
      <c r="R721" s="7">
        <v>45945</v>
      </c>
      <c r="S721" s="7">
        <v>401768</v>
      </c>
      <c r="T721" s="6"/>
      <c r="U721" s="8"/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51"/>
        <v>60</v>
      </c>
      <c r="P722" s="6">
        <f t="shared" si="52"/>
        <v>60</v>
      </c>
      <c r="Q722" s="6" t="s">
        <v>30</v>
      </c>
      <c r="R722" s="7">
        <v>41395</v>
      </c>
      <c r="S722" s="7">
        <v>401768</v>
      </c>
      <c r="T722" s="6"/>
      <c r="U722" s="8"/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51"/>
        <v>1000</v>
      </c>
      <c r="P723" s="6">
        <f t="shared" si="52"/>
        <v>1000</v>
      </c>
      <c r="Q723" s="6" t="s">
        <v>30</v>
      </c>
      <c r="R723" s="7">
        <v>46161</v>
      </c>
      <c r="S723" s="7">
        <v>401768</v>
      </c>
      <c r="T723" s="6"/>
      <c r="U723" s="8"/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51"/>
        <v>92.48</v>
      </c>
      <c r="P724" s="6">
        <f t="shared" si="52"/>
        <v>92.48</v>
      </c>
      <c r="Q724" s="6" t="s">
        <v>30</v>
      </c>
      <c r="R724" s="7">
        <v>44872</v>
      </c>
      <c r="S724" s="7">
        <v>401768</v>
      </c>
      <c r="T724" s="6"/>
      <c r="U724" s="8"/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51"/>
        <v>97.79</v>
      </c>
      <c r="P725" s="6">
        <f t="shared" si="52"/>
        <v>97.79</v>
      </c>
      <c r="Q725" s="6" t="s">
        <v>30</v>
      </c>
      <c r="R725" s="7">
        <v>44872</v>
      </c>
      <c r="S725" s="7">
        <v>401768</v>
      </c>
      <c r="T725" s="6"/>
      <c r="U725" s="8"/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51"/>
        <v>63.29</v>
      </c>
      <c r="P726" s="6">
        <f t="shared" si="52"/>
        <v>63.29</v>
      </c>
      <c r="Q726" s="6" t="s">
        <v>30</v>
      </c>
      <c r="R726" s="7">
        <v>44872</v>
      </c>
      <c r="S726" s="7">
        <v>401768</v>
      </c>
      <c r="T726" s="6"/>
      <c r="U726" s="8"/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51"/>
        <v>150.31</v>
      </c>
      <c r="P727" s="6">
        <f t="shared" si="52"/>
        <v>150.31</v>
      </c>
      <c r="Q727" s="6" t="s">
        <v>30</v>
      </c>
      <c r="R727" s="7">
        <v>44872</v>
      </c>
      <c r="S727" s="7">
        <v>401768</v>
      </c>
      <c r="T727" s="6"/>
      <c r="U727" s="8"/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51"/>
        <v>47782</v>
      </c>
      <c r="P728" s="6">
        <f t="shared" si="52"/>
        <v>47782</v>
      </c>
      <c r="Q728" s="6" t="s">
        <v>30</v>
      </c>
      <c r="R728" s="7">
        <v>44809</v>
      </c>
      <c r="S728" s="7">
        <v>401768</v>
      </c>
      <c r="T728" s="6"/>
      <c r="U728" s="8"/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51"/>
        <v>47782</v>
      </c>
      <c r="P729" s="6">
        <f t="shared" si="52"/>
        <v>47782</v>
      </c>
      <c r="Q729" s="6" t="s">
        <v>30</v>
      </c>
      <c r="R729" s="7">
        <v>44810</v>
      </c>
      <c r="S729" s="7">
        <v>401768</v>
      </c>
      <c r="T729" s="6"/>
      <c r="U729" s="8"/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51"/>
        <v>174.5</v>
      </c>
      <c r="P730" s="6">
        <f t="shared" si="52"/>
        <v>174.5</v>
      </c>
      <c r="Q730" s="6" t="s">
        <v>30</v>
      </c>
      <c r="R730" s="7">
        <v>44970</v>
      </c>
      <c r="S730" s="7">
        <v>401768</v>
      </c>
      <c r="T730" s="6"/>
      <c r="U730" s="8"/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51"/>
        <v>70</v>
      </c>
      <c r="P731" s="6">
        <f t="shared" si="52"/>
        <v>70</v>
      </c>
      <c r="Q731" s="6" t="s">
        <v>30</v>
      </c>
      <c r="R731" s="7">
        <v>45131</v>
      </c>
      <c r="S731" s="7">
        <v>401768</v>
      </c>
      <c r="T731" s="6"/>
      <c r="U731" s="8"/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51"/>
        <v>156.5</v>
      </c>
      <c r="P732" s="6">
        <f t="shared" si="52"/>
        <v>156.5</v>
      </c>
      <c r="Q732" s="6" t="s">
        <v>30</v>
      </c>
      <c r="R732" s="7">
        <v>45131</v>
      </c>
      <c r="S732" s="7">
        <v>401768</v>
      </c>
      <c r="T732" s="6"/>
      <c r="U732" s="8"/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51"/>
        <v>383.6</v>
      </c>
      <c r="P733" s="6">
        <f t="shared" si="52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/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51"/>
        <v>475.7</v>
      </c>
      <c r="P734" s="6">
        <f t="shared" si="52"/>
        <v>475.7</v>
      </c>
      <c r="Q734" s="6" t="s">
        <v>30</v>
      </c>
      <c r="R734" s="7">
        <v>45140</v>
      </c>
      <c r="S734" s="7">
        <v>401768</v>
      </c>
      <c r="T734" s="6"/>
      <c r="U734" s="8"/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51"/>
        <v>9000</v>
      </c>
      <c r="P735" s="6">
        <f t="shared" si="52"/>
        <v>9000</v>
      </c>
      <c r="Q735" s="6" t="s">
        <v>30</v>
      </c>
      <c r="R735" s="7">
        <v>45488</v>
      </c>
      <c r="S735" s="7">
        <v>401768</v>
      </c>
      <c r="T735" s="6"/>
      <c r="U735" s="8"/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51"/>
        <v>50</v>
      </c>
      <c r="P736" s="6">
        <f t="shared" si="52"/>
        <v>50</v>
      </c>
      <c r="Q736" s="6" t="s">
        <v>30</v>
      </c>
      <c r="R736" s="7">
        <v>45500</v>
      </c>
      <c r="S736" s="7">
        <v>401768</v>
      </c>
      <c r="T736" s="6"/>
      <c r="U736" s="8"/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51"/>
        <v>50</v>
      </c>
      <c r="P737" s="6">
        <f t="shared" si="52"/>
        <v>50</v>
      </c>
      <c r="Q737" s="6" t="s">
        <v>30</v>
      </c>
      <c r="R737" s="7">
        <v>45500</v>
      </c>
      <c r="S737" s="7">
        <v>401768</v>
      </c>
      <c r="T737" s="6"/>
      <c r="U737" s="8"/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51"/>
        <v>489.26</v>
      </c>
      <c r="P738" s="6">
        <f t="shared" si="52"/>
        <v>489.26</v>
      </c>
      <c r="Q738" s="6" t="s">
        <v>30</v>
      </c>
      <c r="R738" s="7">
        <v>45575</v>
      </c>
      <c r="S738" s="7">
        <v>401768</v>
      </c>
      <c r="T738" s="6"/>
      <c r="U738" s="8"/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51"/>
        <v>129.29</v>
      </c>
      <c r="P739" s="6">
        <f t="shared" si="52"/>
        <v>129.29</v>
      </c>
      <c r="Q739" s="6" t="s">
        <v>30</v>
      </c>
      <c r="R739" s="7">
        <v>45591</v>
      </c>
      <c r="S739" s="7">
        <v>401768</v>
      </c>
      <c r="T739" s="6"/>
      <c r="U739" s="8"/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51"/>
        <v>489.26</v>
      </c>
      <c r="P740" s="6">
        <f t="shared" si="52"/>
        <v>489.26</v>
      </c>
      <c r="Q740" s="6" t="s">
        <v>30</v>
      </c>
      <c r="R740" s="7">
        <v>45818</v>
      </c>
      <c r="S740" s="7">
        <v>401768</v>
      </c>
      <c r="T740" s="6"/>
      <c r="U740" s="8"/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50"/>
        <v>566.20000000000005</v>
      </c>
      <c r="Q741" s="6" t="s">
        <v>30</v>
      </c>
      <c r="R741" s="7">
        <v>46164</v>
      </c>
      <c r="S741" s="7">
        <v>401768</v>
      </c>
      <c r="T741" s="6"/>
      <c r="U741" s="8"/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50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/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10.050000000000001</v>
      </c>
      <c r="N743" s="6" t="s">
        <v>160</v>
      </c>
      <c r="O743" s="6">
        <v>95</v>
      </c>
      <c r="P743" s="6">
        <f t="shared" si="50"/>
        <v>954.75000000000011</v>
      </c>
      <c r="Q743" s="6" t="s">
        <v>30</v>
      </c>
      <c r="R743" s="7">
        <v>46164</v>
      </c>
      <c r="S743" s="7">
        <v>401768</v>
      </c>
      <c r="T743" s="6"/>
      <c r="U743" s="8"/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50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/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50"/>
        <v>545.30000000000007</v>
      </c>
      <c r="Q745" s="6" t="s">
        <v>30</v>
      </c>
      <c r="R745" s="7">
        <v>46164</v>
      </c>
      <c r="S745" s="7">
        <v>401768</v>
      </c>
      <c r="T745" s="6"/>
      <c r="U745" s="8"/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50"/>
        <v>545.30000000000007</v>
      </c>
      <c r="Q746" s="6" t="s">
        <v>30</v>
      </c>
      <c r="R746" s="7">
        <v>46164</v>
      </c>
      <c r="S746" s="7">
        <v>401768</v>
      </c>
      <c r="T746" s="6"/>
      <c r="U746" s="8"/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2.4900000000000002</v>
      </c>
      <c r="N747" s="6" t="s">
        <v>160</v>
      </c>
      <c r="O747" s="6">
        <v>95</v>
      </c>
      <c r="P747" s="6">
        <f t="shared" si="50"/>
        <v>236.55</v>
      </c>
      <c r="Q747" s="6" t="s">
        <v>30</v>
      </c>
      <c r="R747" s="7">
        <v>45042</v>
      </c>
      <c r="S747" s="7">
        <v>401768</v>
      </c>
      <c r="T747" s="6"/>
      <c r="U747" s="8"/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50"/>
        <v>657.4</v>
      </c>
      <c r="Q748" s="6" t="s">
        <v>30</v>
      </c>
      <c r="R748" s="7">
        <v>46164</v>
      </c>
      <c r="S748" s="7">
        <v>401768</v>
      </c>
      <c r="T748" s="6"/>
      <c r="U748" s="8"/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50"/>
        <v>499.7</v>
      </c>
      <c r="Q749" s="6" t="s">
        <v>30</v>
      </c>
      <c r="R749" s="7">
        <v>46164</v>
      </c>
      <c r="S749" s="7">
        <v>401768</v>
      </c>
      <c r="T749" s="6"/>
      <c r="U749" s="8"/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4.5999999999999996</v>
      </c>
      <c r="N750" s="6" t="s">
        <v>160</v>
      </c>
      <c r="O750" s="6">
        <v>95</v>
      </c>
      <c r="P750" s="6">
        <f t="shared" si="50"/>
        <v>436.99999999999994</v>
      </c>
      <c r="Q750" s="6" t="s">
        <v>30</v>
      </c>
      <c r="R750" s="7">
        <v>46164</v>
      </c>
      <c r="S750" s="7">
        <v>401768</v>
      </c>
      <c r="T750" s="6"/>
      <c r="U750" s="8"/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50"/>
        <v>412.3</v>
      </c>
      <c r="Q751" s="6" t="s">
        <v>30</v>
      </c>
      <c r="R751" s="7">
        <v>42765</v>
      </c>
      <c r="S751" s="7">
        <v>401768</v>
      </c>
      <c r="T751" s="6"/>
      <c r="U751" s="8"/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7.4999999999999997E-2</v>
      </c>
      <c r="N752" s="6" t="s">
        <v>160</v>
      </c>
      <c r="O752" s="6">
        <v>95</v>
      </c>
      <c r="P752" s="6">
        <f t="shared" si="50"/>
        <v>7.125</v>
      </c>
      <c r="Q752" s="6" t="s">
        <v>30</v>
      </c>
      <c r="R752" s="7">
        <v>42634</v>
      </c>
      <c r="S752" s="7">
        <v>401768</v>
      </c>
      <c r="T752" s="6"/>
      <c r="U752" s="8"/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50"/>
        <v>270.75</v>
      </c>
      <c r="Q753" s="6" t="s">
        <v>30</v>
      </c>
      <c r="R753" s="7">
        <v>42718</v>
      </c>
      <c r="S753" s="7">
        <v>401768</v>
      </c>
      <c r="T753" s="6"/>
      <c r="U753" s="8"/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50"/>
        <v>45.6</v>
      </c>
      <c r="Q754" s="6" t="s">
        <v>30</v>
      </c>
      <c r="R754" s="7">
        <v>44509</v>
      </c>
      <c r="S754" s="7">
        <v>401768</v>
      </c>
      <c r="T754" s="6"/>
      <c r="U754" s="8"/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50"/>
        <v>74.100000000000009</v>
      </c>
      <c r="Q755" s="6" t="s">
        <v>30</v>
      </c>
      <c r="R755" s="7">
        <v>42214</v>
      </c>
      <c r="S755" s="7">
        <v>401768</v>
      </c>
      <c r="T755" s="6"/>
      <c r="U755" s="8"/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50"/>
        <v>532.95000000000005</v>
      </c>
      <c r="Q756" s="6" t="s">
        <v>30</v>
      </c>
      <c r="R756" s="7">
        <v>42422</v>
      </c>
      <c r="S756" s="7">
        <v>401768</v>
      </c>
      <c r="T756" s="6"/>
      <c r="U756" s="8"/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50"/>
        <v>57</v>
      </c>
      <c r="Q757" s="6" t="s">
        <v>30</v>
      </c>
      <c r="R757" s="7">
        <v>42479</v>
      </c>
      <c r="S757" s="7">
        <v>401768</v>
      </c>
      <c r="T757" s="6"/>
      <c r="U757" s="8"/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50"/>
        <v>687.80000000000007</v>
      </c>
      <c r="Q758" s="6" t="s">
        <v>30</v>
      </c>
      <c r="R758" s="7">
        <v>44639</v>
      </c>
      <c r="S758" s="7">
        <v>401768</v>
      </c>
      <c r="T758" s="6"/>
      <c r="U758" s="8"/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50"/>
        <v>546.25</v>
      </c>
      <c r="Q759" s="6" t="s">
        <v>30</v>
      </c>
      <c r="R759" s="7">
        <v>42422</v>
      </c>
      <c r="S759" s="7">
        <v>401768</v>
      </c>
      <c r="T759" s="6"/>
      <c r="U759" s="8"/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50"/>
        <v>546.25</v>
      </c>
      <c r="Q760" s="6" t="s">
        <v>30</v>
      </c>
      <c r="R760" s="7">
        <v>42422</v>
      </c>
      <c r="S760" s="7">
        <v>401768</v>
      </c>
      <c r="T760" s="6"/>
      <c r="U760" s="8"/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50"/>
        <v>928.15</v>
      </c>
      <c r="Q761" s="6" t="s">
        <v>30</v>
      </c>
      <c r="R761" s="7">
        <v>43033</v>
      </c>
      <c r="S761" s="7">
        <v>401768</v>
      </c>
      <c r="T761" s="6"/>
      <c r="U761" s="8"/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50"/>
        <v>1591.9358999999999</v>
      </c>
      <c r="Q762" s="6" t="s">
        <v>30</v>
      </c>
      <c r="R762" s="7">
        <v>43040</v>
      </c>
      <c r="S762" s="7">
        <v>401768</v>
      </c>
      <c r="T762" s="6"/>
      <c r="U762" s="8"/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50"/>
        <v>1927.55</v>
      </c>
      <c r="Q763" s="6" t="s">
        <v>30</v>
      </c>
      <c r="R763" s="7">
        <v>42884</v>
      </c>
      <c r="S763" s="7">
        <v>401768</v>
      </c>
      <c r="T763" s="6"/>
      <c r="U763" s="8"/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16.899999999999999</v>
      </c>
      <c r="N764" s="6" t="s">
        <v>160</v>
      </c>
      <c r="O764" s="6">
        <v>95</v>
      </c>
      <c r="P764" s="6">
        <f t="shared" si="50"/>
        <v>1605.4999999999998</v>
      </c>
      <c r="Q764" s="6" t="s">
        <v>30</v>
      </c>
      <c r="R764" s="7">
        <v>42535</v>
      </c>
      <c r="S764" s="7">
        <v>401768</v>
      </c>
      <c r="T764" s="6"/>
      <c r="U764" s="8"/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50"/>
        <v>2042.5</v>
      </c>
      <c r="Q765" s="6" t="s">
        <v>30</v>
      </c>
      <c r="R765" s="7">
        <v>42310</v>
      </c>
      <c r="S765" s="7">
        <v>401768</v>
      </c>
      <c r="T765" s="6"/>
      <c r="U765" s="8"/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50"/>
        <v>2150.8000000000002</v>
      </c>
      <c r="Q766" s="6" t="s">
        <v>30</v>
      </c>
      <c r="R766" s="7">
        <v>42798</v>
      </c>
      <c r="S766" s="7">
        <v>401768</v>
      </c>
      <c r="T766" s="6"/>
      <c r="U766" s="8"/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4.8600000000000003</v>
      </c>
      <c r="N767" s="6" t="s">
        <v>160</v>
      </c>
      <c r="O767" s="6">
        <v>95</v>
      </c>
      <c r="P767" s="6">
        <f t="shared" si="50"/>
        <v>461.70000000000005</v>
      </c>
      <c r="Q767" s="6" t="s">
        <v>30</v>
      </c>
      <c r="R767" s="7">
        <v>42906</v>
      </c>
      <c r="S767" s="7">
        <v>401768</v>
      </c>
      <c r="T767" s="6"/>
      <c r="U767" s="8"/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50"/>
        <v>62.7</v>
      </c>
      <c r="Q768" s="6" t="s">
        <v>30</v>
      </c>
      <c r="R768" s="7">
        <v>46172</v>
      </c>
      <c r="S768" s="7">
        <v>401768</v>
      </c>
      <c r="T768" s="6"/>
      <c r="U768" s="8"/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50"/>
        <v>1520</v>
      </c>
      <c r="Q769" s="6" t="s">
        <v>30</v>
      </c>
      <c r="R769" s="7">
        <v>43280</v>
      </c>
      <c r="S769" s="7">
        <v>401768</v>
      </c>
      <c r="T769" s="6"/>
      <c r="U769" s="8"/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50"/>
        <v>687.80000000000007</v>
      </c>
      <c r="Q770" s="6" t="s">
        <v>30</v>
      </c>
      <c r="R770" s="7">
        <v>44566</v>
      </c>
      <c r="S770" s="7">
        <v>401768</v>
      </c>
      <c r="T770" s="6"/>
      <c r="U770" s="8"/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16.899999999999999</v>
      </c>
      <c r="N771" s="6" t="s">
        <v>160</v>
      </c>
      <c r="O771" s="6">
        <v>95</v>
      </c>
      <c r="P771" s="6">
        <f t="shared" si="50"/>
        <v>1605.4999999999998</v>
      </c>
      <c r="Q771" s="6" t="s">
        <v>30</v>
      </c>
      <c r="R771" s="7">
        <v>42060</v>
      </c>
      <c r="S771" s="7">
        <v>401768</v>
      </c>
      <c r="T771" s="6"/>
      <c r="U771" s="8"/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50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/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4.6100000000000003</v>
      </c>
      <c r="N773" s="6" t="s">
        <v>160</v>
      </c>
      <c r="O773" s="6">
        <v>95</v>
      </c>
      <c r="P773" s="6">
        <f t="shared" si="50"/>
        <v>437.95000000000005</v>
      </c>
      <c r="Q773" s="6" t="s">
        <v>30</v>
      </c>
      <c r="R773" s="7">
        <v>43909</v>
      </c>
      <c r="S773" s="7">
        <v>401768</v>
      </c>
      <c r="T773" s="6"/>
      <c r="U773" s="8"/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50"/>
        <v>545.30000000000007</v>
      </c>
      <c r="Q774" s="6" t="s">
        <v>30</v>
      </c>
      <c r="R774" s="7">
        <v>46172</v>
      </c>
      <c r="S774" s="7">
        <v>401768</v>
      </c>
      <c r="T774" s="6"/>
      <c r="U774" s="8"/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2.4900000000000002</v>
      </c>
      <c r="N775" s="6" t="s">
        <v>160</v>
      </c>
      <c r="O775" s="6">
        <v>95</v>
      </c>
      <c r="P775" s="6">
        <f t="shared" si="50"/>
        <v>236.55</v>
      </c>
      <c r="Q775" s="6" t="s">
        <v>30</v>
      </c>
      <c r="R775" s="7">
        <v>44957</v>
      </c>
      <c r="S775" s="7">
        <v>401768</v>
      </c>
      <c r="T775" s="6"/>
      <c r="U775" s="8"/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53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/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53"/>
        <v>2146.0500000000002</v>
      </c>
      <c r="Q777" s="6" t="s">
        <v>30</v>
      </c>
      <c r="R777" s="7">
        <v>44509</v>
      </c>
      <c r="S777" s="7">
        <v>401768</v>
      </c>
      <c r="T777" s="6"/>
      <c r="U777" s="8"/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53"/>
        <v>2608.7000000000003</v>
      </c>
      <c r="Q778" s="6" t="s">
        <v>30</v>
      </c>
      <c r="R778" s="7">
        <v>46172</v>
      </c>
      <c r="S778" s="7">
        <v>401768</v>
      </c>
      <c r="T778" s="6"/>
      <c r="U778" s="8"/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53"/>
        <v>0</v>
      </c>
      <c r="Q779" s="6" t="s">
        <v>30</v>
      </c>
      <c r="R779" s="7">
        <v>42060</v>
      </c>
      <c r="S779" s="7">
        <v>401768</v>
      </c>
      <c r="T779" s="6"/>
      <c r="U779" s="8"/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16.899999999999999</v>
      </c>
      <c r="N780" s="6" t="s">
        <v>160</v>
      </c>
      <c r="O780" s="6">
        <v>95</v>
      </c>
      <c r="P780" s="6">
        <f t="shared" si="53"/>
        <v>1605.4999999999998</v>
      </c>
      <c r="Q780" s="6" t="s">
        <v>30</v>
      </c>
      <c r="R780" s="7">
        <v>42241</v>
      </c>
      <c r="S780" s="7">
        <v>401768</v>
      </c>
      <c r="T780" s="6"/>
      <c r="U780" s="8"/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53"/>
        <v>0</v>
      </c>
      <c r="Q781" s="6" t="s">
        <v>30</v>
      </c>
      <c r="R781" s="7">
        <v>43330</v>
      </c>
      <c r="S781" s="7">
        <v>401768</v>
      </c>
      <c r="T781" s="6"/>
      <c r="U781" s="8"/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53"/>
        <v>58.9</v>
      </c>
      <c r="Q782" s="6" t="s">
        <v>30</v>
      </c>
      <c r="R782" s="7">
        <v>46172</v>
      </c>
      <c r="S782" s="7">
        <v>401768</v>
      </c>
      <c r="T782" s="6"/>
      <c r="U782" s="8"/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53"/>
        <v>712.5</v>
      </c>
      <c r="Q783" s="6" t="s">
        <v>30</v>
      </c>
      <c r="R783" s="7">
        <v>46134</v>
      </c>
      <c r="S783" s="7">
        <v>401768</v>
      </c>
      <c r="T783" s="6"/>
      <c r="U7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2026-06-09T06:00:35Z</dcterms:modified>
</cp:coreProperties>
</file>