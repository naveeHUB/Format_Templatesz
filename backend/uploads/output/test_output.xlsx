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es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409]#,##0.00;[Red]-[$$-409]#,##0.00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workbookViewId="0" rightToLeft="0"/>
  </sheetViews>
  <sheetData>
    <row r="1">
      <c r="A1" t="str">
        <v>DOCUMENT NO.</v>
      </c>
      <c r="B1" t="str">
        <v>DOC. DATE</v>
      </c>
      <c r="C1" t="str">
        <v>UNIT</v>
      </c>
      <c r="D1" t="str">
        <v>UNIT DESCRIPTION</v>
      </c>
      <c r="E1" t="str">
        <v>REF. UNIT</v>
      </c>
      <c r="F1" t="str">
        <v>REF. UNIT DESCRIPTION</v>
      </c>
      <c r="G1" t="str">
        <v>CUSTOMER</v>
      </c>
      <c r="H1" t="str">
        <v>CUSTOMER DESC.</v>
      </c>
      <c r="I1" t="str">
        <v>ITEM</v>
      </c>
      <c r="J1" t="str">
        <v>REV.</v>
      </c>
      <c r="K1" t="str">
        <v>ITEM DESCRIPTION</v>
      </c>
      <c r="L1" t="str">
        <v>SALES UOM</v>
      </c>
      <c r="M1" t="str">
        <v>SALES PRICE</v>
      </c>
      <c r="N1" t="str">
        <v>CURRENCY</v>
      </c>
      <c r="O1" t="str">
        <v>USD/EUR value</v>
      </c>
      <c r="P1" t="str">
        <v>Total price</v>
      </c>
      <c r="Q1" t="str">
        <v>TAX SET DESCRIPTION</v>
      </c>
      <c r="R1" t="str">
        <v>EFF. FROM</v>
      </c>
      <c r="S1" t="str">
        <v>EFF. TO</v>
      </c>
      <c r="T1" t="str">
        <v>Sales Plan Qty</v>
      </c>
      <c r="U1" t="str">
        <v>Sale Plan Value</v>
      </c>
      <c r="W1" t="str">
        <v>Customer</v>
      </c>
      <c r="X1" t="str">
        <v>Sum of Sale Plan Value</v>
      </c>
    </row>
    <row r="2">
      <c r="A2">
        <v>970</v>
      </c>
      <c r="B2">
        <v>43959</v>
      </c>
      <c r="C2" t="str">
        <v>DCD</v>
      </c>
      <c r="D2" t="str">
        <v>DIE CASTING DIVISION</v>
      </c>
      <c r="E2" t="str">
        <v>DCD</v>
      </c>
      <c r="F2" t="str">
        <v>DIE CASTING DIVISION</v>
      </c>
      <c r="G2" t="str">
        <v>C00001</v>
      </c>
      <c r="H2" t="str">
        <v>AMPHENOL OMNICONNECT INDIA PVT. LTD</v>
      </c>
      <c r="I2" t="str">
        <v>A01D03720000</v>
      </c>
      <c r="J2">
        <v>0</v>
      </c>
      <c r="K2" t="str">
        <v>LOW BAND METALLIC DIPOLE IM01014 REV B</v>
      </c>
      <c r="L2" t="str">
        <v>NOS</v>
      </c>
      <c r="M2">
        <v>60.25</v>
      </c>
      <c r="N2" t="str">
        <v>INR</v>
      </c>
      <c r="O2">
        <f>M2</f>
        <v>0</v>
      </c>
      <c r="P2">
        <f>O2</f>
        <v>0</v>
      </c>
      <c r="Q2" t="str">
        <v/>
      </c>
      <c r="R2">
        <v>45019</v>
      </c>
      <c r="S2">
        <v>401768</v>
      </c>
      <c r="T2" t="str">
        <v/>
      </c>
      <c r="U2" s="1">
        <f>IF(AND(T2&lt;&gt;"",M2&lt;&gt;""),T2*M2/100000,"")</f>
        <v>0</v>
      </c>
      <c r="W2" t="str">
        <v>C00235</v>
      </c>
      <c r="X2" s="1">
        <f>SUMIF($G$2:$G$783,W2,$O$2:$O$783)</f>
        <v>0</v>
      </c>
    </row>
    <row r="3">
      <c r="A3">
        <v>4162</v>
      </c>
      <c r="B3">
        <v>46049</v>
      </c>
      <c r="C3" t="str">
        <v>DCD</v>
      </c>
      <c r="D3" t="str">
        <v>DIE CASTING DIVISION</v>
      </c>
      <c r="E3" t="str">
        <v/>
      </c>
      <c r="F3" t="str">
        <v/>
      </c>
      <c r="G3" t="str">
        <v>C00459</v>
      </c>
      <c r="H3" t="str">
        <v>APTIV CONNECTION SYSTEMS INDIA PVT LTD</v>
      </c>
      <c r="I3" t="str">
        <v>C00459TM0372526PM2074</v>
      </c>
      <c r="J3">
        <v>0</v>
      </c>
      <c r="K3" t="str">
        <v>TWO CAVITY INJECTION MOULD FOR INLET EMERGENCY CABLE HOLDER</v>
      </c>
      <c r="L3" t="str">
        <v>SET</v>
      </c>
      <c r="M3">
        <v>1030000</v>
      </c>
      <c r="N3" t="str">
        <v>INR</v>
      </c>
      <c r="O3">
        <f>M3</f>
        <v>0</v>
      </c>
      <c r="P3">
        <f>O3</f>
        <v>0</v>
      </c>
      <c r="Q3" t="str">
        <v/>
      </c>
      <c r="R3">
        <v>46049</v>
      </c>
      <c r="S3">
        <v>401768</v>
      </c>
      <c r="T3" t="str">
        <v/>
      </c>
      <c r="U3" s="1">
        <f>IF(AND(T3&lt;&gt;"",M3&lt;&gt;""),T3*M3/100000,"")</f>
        <v>0</v>
      </c>
      <c r="W3" t="str">
        <v>C00066</v>
      </c>
      <c r="X3" s="1">
        <f>SUMIF($G$2:$G$783,W3,$O$2:$O$783)</f>
        <v>0</v>
      </c>
    </row>
    <row r="4">
      <c r="A4">
        <v>840</v>
      </c>
      <c r="B4">
        <v>43959</v>
      </c>
      <c r="C4" t="str">
        <v>DCD</v>
      </c>
      <c r="D4" t="str">
        <v>DIE CASTING DIVISION</v>
      </c>
      <c r="E4" t="str">
        <v>DCD</v>
      </c>
      <c r="F4" t="str">
        <v>DIE CASTING DIVISION</v>
      </c>
      <c r="G4" t="str">
        <v>C00013</v>
      </c>
      <c r="H4" t="str">
        <v>ARGO-HYTOS PVT LTD</v>
      </c>
      <c r="I4" t="str">
        <v>A13D01340000</v>
      </c>
      <c r="J4">
        <v>0</v>
      </c>
      <c r="K4" t="str">
        <v>FILTER HEAD (E103.0001)</v>
      </c>
      <c r="L4" t="str">
        <v>NOS</v>
      </c>
      <c r="M4">
        <v>311.95</v>
      </c>
      <c r="N4" t="str">
        <v>INR</v>
      </c>
      <c r="O4">
        <f>M4</f>
        <v>0</v>
      </c>
      <c r="P4">
        <f>O4</f>
        <v>0</v>
      </c>
      <c r="Q4" t="str">
        <v/>
      </c>
      <c r="R4">
        <v>46151</v>
      </c>
      <c r="S4">
        <v>401768</v>
      </c>
      <c r="T4">
        <v>500</v>
      </c>
      <c r="U4" s="1">
        <f>IF(AND(T4&lt;&gt;"",M4&lt;&gt;""),T4*M4/100000,"")</f>
        <v>0</v>
      </c>
      <c r="W4" t="str">
        <v>C00109</v>
      </c>
      <c r="X4" s="1">
        <f>SUMIF($G$2:$G$783,W4,$O$2:$O$783)</f>
        <v>0</v>
      </c>
    </row>
    <row r="5">
      <c r="A5">
        <v>983</v>
      </c>
      <c r="B5">
        <v>43959</v>
      </c>
      <c r="C5" t="str">
        <v>DCD</v>
      </c>
      <c r="D5" t="str">
        <v>DIE CASTING DIVISION</v>
      </c>
      <c r="E5" t="str">
        <v>DCD</v>
      </c>
      <c r="F5" t="str">
        <v>DIE CASTING DIVISION</v>
      </c>
      <c r="G5" t="str">
        <v>C00013</v>
      </c>
      <c r="H5" t="str">
        <v>ARGO-HYTOS PVT LTD</v>
      </c>
      <c r="I5" t="str">
        <v>A13D01400000</v>
      </c>
      <c r="J5">
        <v>0</v>
      </c>
      <c r="K5" t="str">
        <v>FILTER HEAD (ES.053),17017300</v>
      </c>
      <c r="L5" t="str">
        <v>NOS</v>
      </c>
      <c r="M5">
        <v>260.01</v>
      </c>
      <c r="N5" t="str">
        <v>INR</v>
      </c>
      <c r="O5">
        <f>M5</f>
        <v>0</v>
      </c>
      <c r="P5">
        <f>O5</f>
        <v>0</v>
      </c>
      <c r="Q5" t="str">
        <v/>
      </c>
      <c r="R5">
        <v>46065</v>
      </c>
      <c r="S5">
        <v>401768</v>
      </c>
      <c r="T5" t="str">
        <v/>
      </c>
      <c r="U5" s="1">
        <f>IF(AND(T5&lt;&gt;"",M5&lt;&gt;""),T5*M5/100000,"")</f>
        <v>0</v>
      </c>
      <c r="W5" t="str">
        <v>C00013</v>
      </c>
      <c r="X5" s="1">
        <f>SUMIF($G$2:$G$783,W5,$O$2:$O$783)</f>
        <v>0</v>
      </c>
    </row>
    <row r="6">
      <c r="A6">
        <v>667</v>
      </c>
      <c r="B6">
        <v>43959</v>
      </c>
      <c r="C6" t="str">
        <v>DCD</v>
      </c>
      <c r="D6" t="str">
        <v>DIE CASTING DIVISION</v>
      </c>
      <c r="E6" t="str">
        <v>DCD</v>
      </c>
      <c r="F6" t="str">
        <v>DIE CASTING DIVISION</v>
      </c>
      <c r="G6" t="str">
        <v>C00013</v>
      </c>
      <c r="H6" t="str">
        <v>ARGO-HYTOS PVT LTD</v>
      </c>
      <c r="I6" t="str">
        <v>A13D01530000</v>
      </c>
      <c r="J6">
        <v>0</v>
      </c>
      <c r="K6" t="str">
        <v>FILTER HEAD (E103.0002) DRAWING  NO# 44413000</v>
      </c>
      <c r="L6" t="str">
        <v>NOS</v>
      </c>
      <c r="M6">
        <v>229.11</v>
      </c>
      <c r="N6" t="str">
        <v>INR</v>
      </c>
      <c r="O6">
        <f>M6</f>
        <v>0</v>
      </c>
      <c r="P6">
        <f>O6</f>
        <v>0</v>
      </c>
      <c r="Q6" t="str">
        <v/>
      </c>
      <c r="R6">
        <v>45461</v>
      </c>
      <c r="S6">
        <v>45461</v>
      </c>
      <c r="T6">
        <v>2160</v>
      </c>
      <c r="U6" s="1">
        <f>IF(AND(T6&lt;&gt;"",M6&lt;&gt;""),T6*M6/100000,"")</f>
        <v>0</v>
      </c>
      <c r="W6" t="str">
        <v>C00152</v>
      </c>
      <c r="X6" s="1">
        <f>SUMIF($G$2:$G$783,W6,$O$2:$O$783)</f>
        <v>0</v>
      </c>
    </row>
    <row r="7">
      <c r="A7">
        <v>972</v>
      </c>
      <c r="B7">
        <v>43959</v>
      </c>
      <c r="C7" t="str">
        <v>DCD</v>
      </c>
      <c r="D7" t="str">
        <v>DIE CASTING DIVISION</v>
      </c>
      <c r="E7" t="str">
        <v>DCD</v>
      </c>
      <c r="F7" t="str">
        <v>DIE CASTING DIVISION</v>
      </c>
      <c r="G7" t="str">
        <v>C00013</v>
      </c>
      <c r="H7" t="str">
        <v>ARGO-HYTOS PVT LTD</v>
      </c>
      <c r="I7" t="str">
        <v>A13D03750000</v>
      </c>
      <c r="J7">
        <v>0</v>
      </c>
      <c r="K7" t="str">
        <v>FILTER HEAD E103.0184 (40677300 REV.0)</v>
      </c>
      <c r="L7" t="str">
        <v>NOS</v>
      </c>
      <c r="M7">
        <v>311.6</v>
      </c>
      <c r="N7" t="str">
        <v>INR</v>
      </c>
      <c r="O7">
        <f>M7</f>
        <v>0</v>
      </c>
      <c r="P7">
        <f>O7</f>
        <v>0</v>
      </c>
      <c r="Q7" t="str">
        <v/>
      </c>
      <c r="R7">
        <v>46151</v>
      </c>
      <c r="S7">
        <v>401768</v>
      </c>
      <c r="T7" t="str">
        <v/>
      </c>
      <c r="U7" s="1">
        <f>IF(AND(T7&lt;&gt;"",M7&lt;&gt;""),T7*M7/100000,"")</f>
        <v>0</v>
      </c>
      <c r="W7" t="str">
        <v>C00178</v>
      </c>
      <c r="X7" s="1">
        <f>SUMIF($G$2:$G$783,W7,$O$2:$O$783)</f>
        <v>0</v>
      </c>
    </row>
    <row r="8">
      <c r="A8">
        <v>3002</v>
      </c>
      <c r="B8">
        <v>43959</v>
      </c>
      <c r="C8" t="str">
        <v>DCD</v>
      </c>
      <c r="D8" t="str">
        <v>DIE CASTING DIVISION</v>
      </c>
      <c r="E8" t="str">
        <v>DCD</v>
      </c>
      <c r="F8" t="str">
        <v>DIE CASTING DIVISION</v>
      </c>
      <c r="G8" t="str">
        <v>C00013</v>
      </c>
      <c r="H8" t="str">
        <v>ARGO-HYTOS PVT LTD</v>
      </c>
      <c r="I8" t="str">
        <v>A13D03880000</v>
      </c>
      <c r="J8">
        <v>0</v>
      </c>
      <c r="K8" t="str">
        <v>FILTER HEAD . 2118 ( E103.2118 )</v>
      </c>
      <c r="L8" t="str">
        <v>NOS</v>
      </c>
      <c r="M8">
        <v>195.18</v>
      </c>
      <c r="N8" t="str">
        <v>INR</v>
      </c>
      <c r="O8">
        <f>M8</f>
        <v>0</v>
      </c>
      <c r="P8">
        <f>O8</f>
        <v>0</v>
      </c>
      <c r="Q8" t="str">
        <v/>
      </c>
      <c r="R8">
        <v>45175</v>
      </c>
      <c r="S8">
        <v>45199</v>
      </c>
      <c r="T8" t="str">
        <v/>
      </c>
      <c r="U8" s="1">
        <f>IF(AND(T8&lt;&gt;"",M8&lt;&gt;""),T8*M8/100000,"")</f>
        <v>0</v>
      </c>
      <c r="W8" t="str">
        <v>C00093</v>
      </c>
      <c r="X8" s="1">
        <f>SUMIF($G$2:$G$783,W8,$O$2:$O$783)</f>
        <v>0</v>
      </c>
    </row>
    <row r="9">
      <c r="A9">
        <v>350</v>
      </c>
      <c r="B9">
        <v>43959</v>
      </c>
      <c r="C9" t="str">
        <v>DCD</v>
      </c>
      <c r="D9" t="str">
        <v>DIE CASTING DIVISION</v>
      </c>
      <c r="E9" t="str">
        <v>DCD</v>
      </c>
      <c r="F9" t="str">
        <v>DIE CASTING DIVISION</v>
      </c>
      <c r="G9" t="str">
        <v>C00013</v>
      </c>
      <c r="H9" t="str">
        <v>ARGO-HYTOS PVT LTD</v>
      </c>
      <c r="I9" t="str">
        <v>A13D134B0000</v>
      </c>
      <c r="J9">
        <v>0</v>
      </c>
      <c r="K9" t="str">
        <v>FILTER HEAD-E2118 (E103.0179) [28794200]</v>
      </c>
      <c r="L9" t="str">
        <v>NOS</v>
      </c>
      <c r="M9">
        <v>315.98</v>
      </c>
      <c r="N9" t="str">
        <v>INR</v>
      </c>
      <c r="O9">
        <f>M9</f>
        <v>0</v>
      </c>
      <c r="P9">
        <f>O9</f>
        <v>0</v>
      </c>
      <c r="Q9" t="str">
        <v/>
      </c>
      <c r="R9">
        <v>46151</v>
      </c>
      <c r="S9">
        <v>401768</v>
      </c>
      <c r="T9">
        <v>800</v>
      </c>
      <c r="U9" s="1">
        <f>IF(AND(T9&lt;&gt;"",M9&lt;&gt;""),T9*M9/100000,"")</f>
        <v>0</v>
      </c>
      <c r="W9" t="str">
        <v>C00038</v>
      </c>
      <c r="X9" s="1">
        <f>SUMIF($G$2:$G$783,W9,$O$2:$O$783)</f>
        <v>0</v>
      </c>
    </row>
    <row r="10">
      <c r="A10">
        <v>2965</v>
      </c>
      <c r="B10">
        <v>43959</v>
      </c>
      <c r="C10" t="str">
        <v>DCD</v>
      </c>
      <c r="D10" t="str">
        <v>DIE CASTING DIVISION</v>
      </c>
      <c r="E10" t="str">
        <v>DCD</v>
      </c>
      <c r="F10" t="str">
        <v>DIE CASTING DIVISION</v>
      </c>
      <c r="G10" t="str">
        <v>C00013</v>
      </c>
      <c r="H10" t="str">
        <v>ARGO-HYTOS PVT LTD</v>
      </c>
      <c r="I10" t="str">
        <v>A13D153A0000</v>
      </c>
      <c r="J10">
        <v>0</v>
      </c>
      <c r="K10" t="str">
        <v>FILTER HEAD E103 (40134500 / DPR-W-152-049)</v>
      </c>
      <c r="L10" t="str">
        <v>NOS</v>
      </c>
      <c r="M10">
        <v>364.82</v>
      </c>
      <c r="N10" t="str">
        <v>INR</v>
      </c>
      <c r="O10">
        <f>M10</f>
        <v>0</v>
      </c>
      <c r="P10">
        <f>O10</f>
        <v>0</v>
      </c>
      <c r="Q10" t="str">
        <v/>
      </c>
      <c r="R10">
        <v>46151</v>
      </c>
      <c r="S10">
        <v>401768</v>
      </c>
      <c r="T10" t="str">
        <v/>
      </c>
      <c r="U10" s="1">
        <f>IF(AND(T10&lt;&gt;"",M10&lt;&gt;""),T10*M10/100000,"")</f>
        <v>0</v>
      </c>
      <c r="W10" t="str">
        <v>C00117</v>
      </c>
      <c r="X10" s="1">
        <f>SUMIF($G$2:$G$783,W10,$O$2:$O$783)</f>
        <v>0</v>
      </c>
    </row>
    <row r="11">
      <c r="A11">
        <v>3100</v>
      </c>
      <c r="B11">
        <v>43993</v>
      </c>
      <c r="C11" t="str">
        <v>DCD</v>
      </c>
      <c r="D11" t="str">
        <v>DIE CASTING DIVISION</v>
      </c>
      <c r="E11" t="str">
        <v>DCD</v>
      </c>
      <c r="F11" t="str">
        <v>DIE CASTING DIVISION</v>
      </c>
      <c r="G11" t="str">
        <v>C00013</v>
      </c>
      <c r="H11" t="str">
        <v>ARGO-HYTOS PVT LTD</v>
      </c>
      <c r="I11" t="str">
        <v>A13D01540000</v>
      </c>
      <c r="J11">
        <v>0</v>
      </c>
      <c r="K11" t="str">
        <v>FILTER HEAD (40134400)</v>
      </c>
      <c r="L11" t="str">
        <v>NOS</v>
      </c>
      <c r="M11">
        <v>315.98</v>
      </c>
      <c r="N11" t="str">
        <v>INR</v>
      </c>
      <c r="O11">
        <f>M11</f>
        <v>0</v>
      </c>
      <c r="P11">
        <f>O11</f>
        <v>0</v>
      </c>
      <c r="Q11" t="str">
        <v/>
      </c>
      <c r="R11">
        <v>46151</v>
      </c>
      <c r="S11">
        <v>401768</v>
      </c>
      <c r="T11">
        <v>400</v>
      </c>
      <c r="U11" s="1">
        <f>IF(AND(T11&lt;&gt;"",M11&lt;&gt;""),T11*M11/100000,"")</f>
        <v>0</v>
      </c>
      <c r="W11" t="str">
        <v>C00500</v>
      </c>
      <c r="X11" s="1">
        <f>SUMIF($G$2:$G$783,W11,$O$2:$O$783)</f>
        <v>0</v>
      </c>
    </row>
    <row r="12">
      <c r="A12">
        <v>3110</v>
      </c>
      <c r="B12">
        <v>44076</v>
      </c>
      <c r="C12" t="str">
        <v>DCD</v>
      </c>
      <c r="D12" t="str">
        <v>DIE CASTING DIVISION</v>
      </c>
      <c r="E12" t="str">
        <v>DCD</v>
      </c>
      <c r="F12" t="str">
        <v>DIE CASTING DIVISION</v>
      </c>
      <c r="G12" t="str">
        <v>C00013</v>
      </c>
      <c r="H12" t="str">
        <v>ARGO-HYTOS PVT LTD</v>
      </c>
      <c r="I12" t="str">
        <v>C000130D03970000</v>
      </c>
      <c r="J12">
        <v>0</v>
      </c>
      <c r="K12" t="str">
        <v>FILTER HEAD E103.0169-(40002900)</v>
      </c>
      <c r="L12" t="str">
        <v>NOS</v>
      </c>
      <c r="M12">
        <v>315.98</v>
      </c>
      <c r="N12" t="str">
        <v>INR</v>
      </c>
      <c r="O12">
        <f>M12</f>
        <v>0</v>
      </c>
      <c r="P12">
        <f>O12</f>
        <v>0</v>
      </c>
      <c r="Q12" t="str">
        <v/>
      </c>
      <c r="R12">
        <v>46151</v>
      </c>
      <c r="S12">
        <v>401768</v>
      </c>
      <c r="T12" t="str">
        <v/>
      </c>
      <c r="U12" s="1">
        <f>IF(AND(T12&lt;&gt;"",M12&lt;&gt;""),T12*M12/100000,"")</f>
        <v>0</v>
      </c>
      <c r="W12" t="str">
        <v>C00371</v>
      </c>
      <c r="X12" s="1">
        <f>SUMIF($G$2:$G$783,W12,$O$2:$O$783)</f>
        <v>0</v>
      </c>
    </row>
    <row r="13">
      <c r="A13">
        <v>3128</v>
      </c>
      <c r="B13">
        <v>44446</v>
      </c>
      <c r="C13" t="str">
        <v>DCD</v>
      </c>
      <c r="D13" t="str">
        <v>DIE CASTING DIVISION</v>
      </c>
      <c r="E13" t="str">
        <v>DCD</v>
      </c>
      <c r="F13" t="str">
        <v>DIE CASTING DIVISION</v>
      </c>
      <c r="G13" t="str">
        <v>C00013</v>
      </c>
      <c r="H13" t="str">
        <v>ARGO-HYTOS PVT LTD</v>
      </c>
      <c r="I13" t="str">
        <v>C00013SUPPL02122</v>
      </c>
      <c r="J13">
        <v>0</v>
      </c>
      <c r="K13" t="str">
        <v>SUPPLEMENTARY INVOICE FOR PRICE DIFFERENCE FROM THE PERIOD OF 1ST JUL-22 TO 15TH SEP 2022</v>
      </c>
      <c r="L13" t="str">
        <v>NOS</v>
      </c>
      <c r="M13">
        <v>45133.74</v>
      </c>
      <c r="N13" t="str">
        <v>INR</v>
      </c>
      <c r="O13">
        <f>M13</f>
        <v>0</v>
      </c>
      <c r="P13">
        <f>O13</f>
        <v>0</v>
      </c>
      <c r="Q13" t="str">
        <v/>
      </c>
      <c r="R13">
        <v>45108</v>
      </c>
      <c r="S13">
        <v>45169</v>
      </c>
      <c r="T13" t="str">
        <v/>
      </c>
      <c r="U13" s="1">
        <f>IF(AND(T13&lt;&gt;"",M13&lt;&gt;""),T13*M13/100000,"")</f>
        <v>0</v>
      </c>
      <c r="W13" t="str">
        <v>C00185</v>
      </c>
      <c r="X13" s="1">
        <f>SUMIF($G$2:$G$783,W13,$O$2:$O$783)</f>
        <v>0</v>
      </c>
    </row>
    <row r="14">
      <c r="A14">
        <v>3172</v>
      </c>
      <c r="B14">
        <v>44690</v>
      </c>
      <c r="C14" t="str">
        <v>DCD</v>
      </c>
      <c r="D14" t="str">
        <v>DIE CASTING DIVISION</v>
      </c>
      <c r="E14" t="str">
        <v>DCD</v>
      </c>
      <c r="F14" t="str">
        <v>DIE CASTING DIVISION</v>
      </c>
      <c r="G14" t="str">
        <v>C00013</v>
      </c>
      <c r="H14" t="str">
        <v>ARGO-HYTOS PVT LTD</v>
      </c>
      <c r="I14" t="str">
        <v>C00013D416002122</v>
      </c>
      <c r="J14">
        <v>0</v>
      </c>
      <c r="K14" t="str">
        <v>JCB FILTER COVER (34380400)</v>
      </c>
      <c r="L14" t="str">
        <v>NOS</v>
      </c>
      <c r="M14">
        <v>193.99</v>
      </c>
      <c r="N14" t="str">
        <v>INR</v>
      </c>
      <c r="O14">
        <f>M14</f>
        <v>0</v>
      </c>
      <c r="P14">
        <f>O14</f>
        <v>0</v>
      </c>
      <c r="Q14" t="str">
        <v/>
      </c>
      <c r="R14">
        <v>46151</v>
      </c>
      <c r="S14">
        <v>401768</v>
      </c>
      <c r="T14">
        <v>8580</v>
      </c>
      <c r="U14" s="1">
        <f>IF(AND(T14&lt;&gt;"",M14&lt;&gt;""),T14*M14/100000,"")</f>
        <v>0</v>
      </c>
      <c r="W14" t="str">
        <v>C00455</v>
      </c>
      <c r="X14" s="1">
        <f>SUMIF($G$2:$G$783,W14,$O$2:$O$783)</f>
        <v>0</v>
      </c>
    </row>
    <row r="15">
      <c r="A15">
        <v>3173</v>
      </c>
      <c r="B15">
        <v>44690</v>
      </c>
      <c r="C15" t="str">
        <v>DCD</v>
      </c>
      <c r="D15" t="str">
        <v>DIE CASTING DIVISION</v>
      </c>
      <c r="E15" t="str">
        <v>DCD</v>
      </c>
      <c r="F15" t="str">
        <v>DIE CASTING DIVISION</v>
      </c>
      <c r="G15" t="str">
        <v>C00013</v>
      </c>
      <c r="H15" t="str">
        <v>ARGO-HYTOS PVT LTD</v>
      </c>
      <c r="I15" t="str">
        <v>C00013D417002122</v>
      </c>
      <c r="J15">
        <v>0</v>
      </c>
      <c r="K15" t="str">
        <v>JCB FILTER HEAD (34381900)</v>
      </c>
      <c r="L15" t="str">
        <v>NOS</v>
      </c>
      <c r="M15">
        <v>449.89</v>
      </c>
      <c r="N15" t="str">
        <v>INR</v>
      </c>
      <c r="O15">
        <f>M15</f>
        <v>0</v>
      </c>
      <c r="P15">
        <f>O15</f>
        <v>0</v>
      </c>
      <c r="Q15" t="str">
        <v/>
      </c>
      <c r="R15">
        <v>46151</v>
      </c>
      <c r="S15">
        <v>401768</v>
      </c>
      <c r="T15">
        <v>9440</v>
      </c>
      <c r="U15" s="1">
        <f>IF(AND(T15&lt;&gt;"",M15&lt;&gt;""),T15*M15/100000,"")</f>
        <v>0</v>
      </c>
      <c r="W15" t="str">
        <v>C00161</v>
      </c>
      <c r="X15" s="1">
        <f>SUMIF($G$2:$G$783,W15,$O$2:$O$783)</f>
        <v>0</v>
      </c>
    </row>
    <row r="16">
      <c r="A16">
        <v>3176</v>
      </c>
      <c r="B16">
        <v>44699</v>
      </c>
      <c r="C16" t="str">
        <v>DCD</v>
      </c>
      <c r="D16" t="str">
        <v>DIE CASTING DIVISION</v>
      </c>
      <c r="E16" t="str">
        <v>DCD</v>
      </c>
      <c r="F16" t="str">
        <v>DIE CASTING DIVISION</v>
      </c>
      <c r="G16" t="str">
        <v>C00013</v>
      </c>
      <c r="H16" t="str">
        <v>ARGO-HYTOS PVT LTD</v>
      </c>
      <c r="I16" t="str">
        <v>C000130D42102223</v>
      </c>
      <c r="J16">
        <v>0</v>
      </c>
      <c r="K16" t="str">
        <v>FILTER HEAD (44413100)_E103.0004</v>
      </c>
      <c r="L16" t="str">
        <v>NOS</v>
      </c>
      <c r="M16">
        <v>321.02</v>
      </c>
      <c r="N16" t="str">
        <v>INR</v>
      </c>
      <c r="O16">
        <f>M16</f>
        <v>0</v>
      </c>
      <c r="P16">
        <f>O16</f>
        <v>0</v>
      </c>
      <c r="Q16" t="str">
        <v/>
      </c>
      <c r="R16">
        <v>46151</v>
      </c>
      <c r="S16">
        <v>401768</v>
      </c>
      <c r="T16" t="str">
        <v/>
      </c>
      <c r="U16" s="1">
        <f>IF(AND(T16&lt;&gt;"",M16&lt;&gt;""),T16*M16/100000,"")</f>
        <v>0</v>
      </c>
      <c r="W16" t="str">
        <v>C00379</v>
      </c>
      <c r="X16" s="1">
        <f>SUMIF($G$2:$G$783,W16,$O$2:$O$783)</f>
        <v>0</v>
      </c>
    </row>
    <row r="17">
      <c r="A17">
        <v>3175</v>
      </c>
      <c r="B17">
        <v>44699</v>
      </c>
      <c r="C17" t="str">
        <v>DCD</v>
      </c>
      <c r="D17" t="str">
        <v>DIE CASTING DIVISION</v>
      </c>
      <c r="E17" t="str">
        <v>DCD</v>
      </c>
      <c r="F17" t="str">
        <v>DIE CASTING DIVISION</v>
      </c>
      <c r="G17" t="str">
        <v>C00013</v>
      </c>
      <c r="H17" t="str">
        <v>ARGO-HYTOS PVT LTD</v>
      </c>
      <c r="I17" t="str">
        <v>C000130D42202223</v>
      </c>
      <c r="J17">
        <v>0</v>
      </c>
      <c r="K17" t="str">
        <v>FILTER HEAD (44413400)_E103.0156</v>
      </c>
      <c r="L17" t="str">
        <v>NOS</v>
      </c>
      <c r="M17">
        <v>321.02</v>
      </c>
      <c r="N17" t="str">
        <v>INR</v>
      </c>
      <c r="O17">
        <f>M17</f>
        <v>0</v>
      </c>
      <c r="P17">
        <f>O17</f>
        <v>0</v>
      </c>
      <c r="Q17" t="str">
        <v/>
      </c>
      <c r="R17">
        <v>46151</v>
      </c>
      <c r="S17">
        <v>401768</v>
      </c>
      <c r="T17" t="str">
        <v/>
      </c>
      <c r="U17" s="1">
        <f>IF(AND(T17&lt;&gt;"",M17&lt;&gt;""),T17*M17/100000,"")</f>
        <v>0</v>
      </c>
      <c r="W17" t="str">
        <v>C00402</v>
      </c>
      <c r="X17" s="1">
        <f>SUMIF($G$2:$G$783,W17,$O$2:$O$783)</f>
        <v>0</v>
      </c>
    </row>
    <row r="18">
      <c r="A18">
        <v>3177</v>
      </c>
      <c r="B18">
        <v>44700</v>
      </c>
      <c r="C18" t="str">
        <v>DCD</v>
      </c>
      <c r="D18" t="str">
        <v>DIE CASTING DIVISION</v>
      </c>
      <c r="E18" t="str">
        <v>DCD</v>
      </c>
      <c r="F18" t="str">
        <v>DIE CASTING DIVISION</v>
      </c>
      <c r="G18" t="str">
        <v>C00013</v>
      </c>
      <c r="H18" t="str">
        <v>ARGO-HYTOS PVT LTD</v>
      </c>
      <c r="I18" t="str">
        <v>C000130D41802223</v>
      </c>
      <c r="J18">
        <v>0</v>
      </c>
      <c r="K18" t="str">
        <v>FILTER HEAD (44411200)_E103.0151</v>
      </c>
      <c r="L18" t="str">
        <v>NOS</v>
      </c>
      <c r="M18">
        <v>307.93</v>
      </c>
      <c r="N18" t="str">
        <v>INR</v>
      </c>
      <c r="O18">
        <f>M18</f>
        <v>0</v>
      </c>
      <c r="P18">
        <f>O18</f>
        <v>0</v>
      </c>
      <c r="Q18" t="str">
        <v/>
      </c>
      <c r="R18">
        <v>46151</v>
      </c>
      <c r="S18">
        <v>401768</v>
      </c>
      <c r="T18" t="str">
        <v/>
      </c>
      <c r="U18" s="1">
        <f>IF(AND(T18&lt;&gt;"",M18&lt;&gt;""),T18*M18/100000,"")</f>
        <v>0</v>
      </c>
      <c r="W18" t="str">
        <v>C00110</v>
      </c>
      <c r="X18" s="1">
        <f>SUMIF($G$2:$G$783,W18,$O$2:$O$783)</f>
        <v>0</v>
      </c>
    </row>
    <row r="19">
      <c r="A19">
        <v>3178</v>
      </c>
      <c r="B19">
        <v>44700</v>
      </c>
      <c r="C19" t="str">
        <v>DCD</v>
      </c>
      <c r="D19" t="str">
        <v>DIE CASTING DIVISION</v>
      </c>
      <c r="E19" t="str">
        <v>DCD</v>
      </c>
      <c r="F19" t="str">
        <v>DIE CASTING DIVISION</v>
      </c>
      <c r="G19" t="str">
        <v>C00013</v>
      </c>
      <c r="H19" t="str">
        <v>ARGO-HYTOS PVT LTD</v>
      </c>
      <c r="I19" t="str">
        <v>C000130D41902223</v>
      </c>
      <c r="J19">
        <v>0</v>
      </c>
      <c r="K19" t="str">
        <v>FILTER HEAD (44411300)_E103.0165</v>
      </c>
      <c r="L19" t="str">
        <v>NOS</v>
      </c>
      <c r="M19">
        <v>312.13</v>
      </c>
      <c r="N19" t="str">
        <v>INR</v>
      </c>
      <c r="O19">
        <f>M19</f>
        <v>0</v>
      </c>
      <c r="P19">
        <f>O19</f>
        <v>0</v>
      </c>
      <c r="Q19" t="str">
        <v/>
      </c>
      <c r="R19">
        <v>46151</v>
      </c>
      <c r="S19">
        <v>401768</v>
      </c>
      <c r="T19" t="str">
        <v/>
      </c>
      <c r="U19" s="1">
        <f>IF(AND(T19&lt;&gt;"",M19&lt;&gt;""),T19*M19/100000,"")</f>
        <v>0</v>
      </c>
      <c r="W19" t="str">
        <v>C00320</v>
      </c>
      <c r="X19" s="1">
        <f>SUMIF($G$2:$G$783,W19,$O$2:$O$783)</f>
        <v>0</v>
      </c>
    </row>
    <row r="20">
      <c r="A20">
        <v>3179</v>
      </c>
      <c r="B20">
        <v>44700</v>
      </c>
      <c r="C20" t="str">
        <v>DCD</v>
      </c>
      <c r="D20" t="str">
        <v>DIE CASTING DIVISION</v>
      </c>
      <c r="E20" t="str">
        <v>DCD</v>
      </c>
      <c r="F20" t="str">
        <v>DIE CASTING DIVISION</v>
      </c>
      <c r="G20" t="str">
        <v>C00013</v>
      </c>
      <c r="H20" t="str">
        <v>ARGO-HYTOS PVT LTD</v>
      </c>
      <c r="I20" t="str">
        <v>C000130D42002223</v>
      </c>
      <c r="J20">
        <v>0</v>
      </c>
      <c r="K20" t="str">
        <v>FILTER HEAD (44413300)_E103.0010</v>
      </c>
      <c r="L20" t="str">
        <v>NOS</v>
      </c>
      <c r="M20">
        <v>373.89</v>
      </c>
      <c r="N20" t="str">
        <v>INR</v>
      </c>
      <c r="O20">
        <f>M20</f>
        <v>0</v>
      </c>
      <c r="P20">
        <f>O20</f>
        <v>0</v>
      </c>
      <c r="Q20" t="str">
        <v/>
      </c>
      <c r="R20">
        <v>46151</v>
      </c>
      <c r="S20">
        <v>401768</v>
      </c>
      <c r="T20">
        <v>150</v>
      </c>
      <c r="U20" s="1">
        <f>IF(AND(T20&lt;&gt;"",M20&lt;&gt;""),T20*M20/100000,"")</f>
        <v>0</v>
      </c>
      <c r="W20" t="str">
        <v>C00160</v>
      </c>
      <c r="X20" s="1">
        <f>SUMIF($G$2:$G$783,W20,$O$2:$O$783)</f>
        <v>0</v>
      </c>
    </row>
    <row r="21">
      <c r="A21">
        <v>3181</v>
      </c>
      <c r="B21">
        <v>44708</v>
      </c>
      <c r="C21" t="str">
        <v>DCD</v>
      </c>
      <c r="D21" t="str">
        <v>DIE CASTING DIVISION</v>
      </c>
      <c r="E21" t="str">
        <v>DCD</v>
      </c>
      <c r="F21" t="str">
        <v>DIE CASTING DIVISION</v>
      </c>
      <c r="G21" t="str">
        <v>C00013</v>
      </c>
      <c r="H21" t="str">
        <v>ARGO-HYTOS PVT LTD</v>
      </c>
      <c r="I21" t="str">
        <v>C000130D42302223</v>
      </c>
      <c r="J21">
        <v>0</v>
      </c>
      <c r="K21" t="str">
        <v>FILTER HEAD (44418500)_E103.0009</v>
      </c>
      <c r="L21" t="str">
        <v>NOS</v>
      </c>
      <c r="M21">
        <v>249.92</v>
      </c>
      <c r="N21" t="str">
        <v>INR</v>
      </c>
      <c r="O21">
        <f>M21</f>
        <v>0</v>
      </c>
      <c r="P21">
        <f>O21</f>
        <v>0</v>
      </c>
      <c r="Q21" t="str">
        <v/>
      </c>
      <c r="R21">
        <v>45173</v>
      </c>
      <c r="S21">
        <v>45199</v>
      </c>
      <c r="T21" t="str">
        <v/>
      </c>
      <c r="U21" s="1">
        <f>IF(AND(T21&lt;&gt;"",M21&lt;&gt;""),T21*M21/100000,"")</f>
        <v>0</v>
      </c>
      <c r="W21" t="str">
        <v>C00448</v>
      </c>
      <c r="X21" s="1">
        <f>SUMIF($G$2:$G$783,W21,$O$2:$O$783)</f>
        <v>0</v>
      </c>
    </row>
    <row r="22">
      <c r="A22">
        <v>3182</v>
      </c>
      <c r="B22">
        <v>44708</v>
      </c>
      <c r="C22" t="str">
        <v>DCD</v>
      </c>
      <c r="D22" t="str">
        <v>DIE CASTING DIVISION</v>
      </c>
      <c r="E22" t="str">
        <v>DCD</v>
      </c>
      <c r="F22" t="str">
        <v>DIE CASTING DIVISION</v>
      </c>
      <c r="G22" t="str">
        <v>C00013</v>
      </c>
      <c r="H22" t="str">
        <v>ARGO-HYTOS PVT LTD</v>
      </c>
      <c r="I22" t="str">
        <v>C000130D42402223</v>
      </c>
      <c r="J22">
        <v>0</v>
      </c>
      <c r="K22" t="str">
        <v>FILTER HEAD (44418700)_E103.0161</v>
      </c>
      <c r="L22" t="str">
        <v>NOS</v>
      </c>
      <c r="M22">
        <v>321.43</v>
      </c>
      <c r="N22" t="str">
        <v>INR</v>
      </c>
      <c r="O22">
        <f>M22</f>
        <v>0</v>
      </c>
      <c r="P22">
        <f>O22</f>
        <v>0</v>
      </c>
      <c r="Q22" t="str">
        <v/>
      </c>
      <c r="R22">
        <v>46151</v>
      </c>
      <c r="S22">
        <v>401768</v>
      </c>
      <c r="T22">
        <v>500</v>
      </c>
      <c r="U22" s="1">
        <f>IF(AND(T22&lt;&gt;"",M22&lt;&gt;""),T22*M22/100000,"")</f>
        <v>0</v>
      </c>
      <c r="W22" t="str">
        <v>C00383</v>
      </c>
      <c r="X22" s="1">
        <f>SUMIF($G$2:$G$783,W22,$O$2:$O$783)</f>
        <v>0</v>
      </c>
    </row>
    <row r="23">
      <c r="A23">
        <v>3183</v>
      </c>
      <c r="B23">
        <v>44708</v>
      </c>
      <c r="C23" t="str">
        <v>DCD</v>
      </c>
      <c r="D23" t="str">
        <v>DIE CASTING DIVISION</v>
      </c>
      <c r="E23" t="str">
        <v>DCD</v>
      </c>
      <c r="F23" t="str">
        <v>DIE CASTING DIVISION</v>
      </c>
      <c r="G23" t="str">
        <v>C00013</v>
      </c>
      <c r="H23" t="str">
        <v>ARGO-HYTOS PVT LTD</v>
      </c>
      <c r="I23" t="str">
        <v>C000130D42502223</v>
      </c>
      <c r="J23">
        <v>0</v>
      </c>
      <c r="K23" t="str">
        <v>FILTER HEAD (44418900)_E103.0166</v>
      </c>
      <c r="L23" t="str">
        <v>NOS</v>
      </c>
      <c r="M23">
        <v>339.56</v>
      </c>
      <c r="N23" t="str">
        <v>INR</v>
      </c>
      <c r="O23">
        <f>M23</f>
        <v>0</v>
      </c>
      <c r="P23">
        <f>O23</f>
        <v>0</v>
      </c>
      <c r="Q23" t="str">
        <v/>
      </c>
      <c r="R23">
        <v>46151</v>
      </c>
      <c r="S23">
        <v>401768</v>
      </c>
      <c r="T23" t="str">
        <v/>
      </c>
      <c r="U23" s="1">
        <f>IF(AND(T23&lt;&gt;"",M23&lt;&gt;""),T23*M23/100000,"")</f>
        <v>0</v>
      </c>
      <c r="W23" t="str">
        <v>C00075</v>
      </c>
      <c r="X23" s="1">
        <f>SUMIF($G$2:$G$783,W23,$O$2:$O$783)</f>
        <v>0</v>
      </c>
    </row>
    <row r="24">
      <c r="A24">
        <v>3184</v>
      </c>
      <c r="B24">
        <v>44723</v>
      </c>
      <c r="C24" t="str">
        <v>DCD</v>
      </c>
      <c r="D24" t="str">
        <v>DIE CASTING DIVISION</v>
      </c>
      <c r="E24" t="str">
        <v>DCD</v>
      </c>
      <c r="F24" t="str">
        <v>DIE CASTING DIVISION</v>
      </c>
      <c r="G24" t="str">
        <v>C00013</v>
      </c>
      <c r="H24" t="str">
        <v>ARGO-HYTOS PVT LTD</v>
      </c>
      <c r="I24" t="str">
        <v>C000130D42602223</v>
      </c>
      <c r="J24">
        <v>0</v>
      </c>
      <c r="K24" t="str">
        <v>FILTER HEAD (44413200)_E103.0006</v>
      </c>
      <c r="L24" t="str">
        <v>NOS</v>
      </c>
      <c r="M24">
        <v>321.02</v>
      </c>
      <c r="N24" t="str">
        <v>INR</v>
      </c>
      <c r="O24">
        <f>M24</f>
        <v>0</v>
      </c>
      <c r="P24">
        <f>O24</f>
        <v>0</v>
      </c>
      <c r="Q24" t="str">
        <v/>
      </c>
      <c r="R24">
        <v>46151</v>
      </c>
      <c r="S24">
        <v>401768</v>
      </c>
      <c r="T24" t="str">
        <v/>
      </c>
      <c r="U24" s="1">
        <f>IF(AND(T24&lt;&gt;"",M24&lt;&gt;""),T24*M24/100000,"")</f>
        <v>0</v>
      </c>
      <c r="W24" t="str">
        <v>C00419</v>
      </c>
      <c r="X24" s="1">
        <f>SUMIF($G$2:$G$783,W24,$O$2:$O$783)</f>
        <v>0</v>
      </c>
    </row>
  </sheetData>
  <pageMargins left="0.7" right="0.7" top="0.75" bottom="0.75" header="0.3" footer="0.3"/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2026-06-08T10:33:50Z</dcterms:created>
  <dcterms:modified xsi:type="dcterms:W3CDTF">2026-06-08T10:34:46Z</dcterms:modified>
  <cp:lastModifiedBy>Navaneethakrishnan v</cp:lastModifiedBy>
  <dc:creator>Navaneethakrishnan v</dc:creator>
</cp:coreProperties>
</file>