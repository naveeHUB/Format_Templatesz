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ales plan web page\backend\uploads\templates\"/>
    </mc:Choice>
  </mc:AlternateContent>
  <xr:revisionPtr revIDLastSave="0" documentId="13_ncr:1_{F181EFF2-49D6-4FCB-929A-71526B49E0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83" i="1" l="1"/>
  <c r="U783" i="1" s="1"/>
  <c r="P782" i="1"/>
  <c r="U782" i="1" s="1"/>
  <c r="P781" i="1"/>
  <c r="U781" i="1" s="1"/>
  <c r="P780" i="1"/>
  <c r="U780" i="1" s="1"/>
  <c r="U779" i="1"/>
  <c r="P779" i="1"/>
  <c r="U778" i="1"/>
  <c r="P778" i="1"/>
  <c r="U777" i="1"/>
  <c r="P777" i="1"/>
  <c r="U776" i="1"/>
  <c r="P776" i="1"/>
  <c r="U775" i="1"/>
  <c r="P775" i="1"/>
  <c r="U774" i="1"/>
  <c r="P774" i="1"/>
  <c r="U773" i="1"/>
  <c r="P773" i="1"/>
  <c r="U772" i="1"/>
  <c r="P772" i="1"/>
  <c r="U771" i="1"/>
  <c r="P771" i="1"/>
  <c r="U770" i="1"/>
  <c r="P770" i="1"/>
  <c r="U769" i="1"/>
  <c r="P769" i="1"/>
  <c r="U768" i="1"/>
  <c r="P768" i="1"/>
  <c r="U767" i="1"/>
  <c r="P767" i="1"/>
  <c r="U766" i="1"/>
  <c r="P766" i="1"/>
  <c r="U765" i="1"/>
  <c r="P765" i="1"/>
  <c r="U764" i="1"/>
  <c r="P764" i="1"/>
  <c r="U763" i="1"/>
  <c r="P763" i="1"/>
  <c r="U762" i="1"/>
  <c r="P762" i="1"/>
  <c r="U761" i="1"/>
  <c r="P761" i="1"/>
  <c r="U760" i="1"/>
  <c r="P760" i="1"/>
  <c r="U759" i="1"/>
  <c r="P759" i="1"/>
  <c r="U758" i="1"/>
  <c r="P758" i="1"/>
  <c r="U757" i="1"/>
  <c r="P757" i="1"/>
  <c r="U756" i="1"/>
  <c r="P756" i="1"/>
  <c r="U755" i="1"/>
  <c r="P755" i="1"/>
  <c r="U754" i="1"/>
  <c r="P754" i="1"/>
  <c r="U753" i="1"/>
  <c r="P753" i="1"/>
  <c r="U752" i="1"/>
  <c r="P752" i="1"/>
  <c r="U751" i="1"/>
  <c r="P751" i="1"/>
  <c r="U750" i="1"/>
  <c r="P750" i="1"/>
  <c r="U749" i="1"/>
  <c r="P749" i="1"/>
  <c r="U748" i="1"/>
  <c r="P748" i="1"/>
  <c r="U747" i="1"/>
  <c r="P747" i="1"/>
  <c r="U746" i="1"/>
  <c r="P746" i="1"/>
  <c r="U745" i="1"/>
  <c r="P745" i="1"/>
  <c r="U744" i="1"/>
  <c r="P744" i="1"/>
  <c r="U743" i="1"/>
  <c r="P743" i="1"/>
  <c r="U742" i="1"/>
  <c r="P742" i="1"/>
  <c r="U741" i="1"/>
  <c r="P741" i="1"/>
  <c r="O740" i="1"/>
  <c r="P740" i="1" s="1"/>
  <c r="U740" i="1" s="1"/>
  <c r="P739" i="1"/>
  <c r="U739" i="1" s="1"/>
  <c r="O739" i="1"/>
  <c r="O738" i="1"/>
  <c r="P738" i="1" s="1"/>
  <c r="U738" i="1" s="1"/>
  <c r="P737" i="1"/>
  <c r="U737" i="1" s="1"/>
  <c r="O737" i="1"/>
  <c r="U736" i="1"/>
  <c r="O736" i="1"/>
  <c r="P736" i="1" s="1"/>
  <c r="P735" i="1"/>
  <c r="U735" i="1" s="1"/>
  <c r="O735" i="1"/>
  <c r="O734" i="1"/>
  <c r="P734" i="1" s="1"/>
  <c r="U734" i="1" s="1"/>
  <c r="P733" i="1"/>
  <c r="U733" i="1" s="1"/>
  <c r="O733" i="1"/>
  <c r="O732" i="1"/>
  <c r="P732" i="1" s="1"/>
  <c r="U732" i="1" s="1"/>
  <c r="P731" i="1"/>
  <c r="U731" i="1" s="1"/>
  <c r="O731" i="1"/>
  <c r="U730" i="1"/>
  <c r="O730" i="1"/>
  <c r="P730" i="1" s="1"/>
  <c r="P729" i="1"/>
  <c r="U729" i="1" s="1"/>
  <c r="O729" i="1"/>
  <c r="U728" i="1"/>
  <c r="O728" i="1"/>
  <c r="P728" i="1" s="1"/>
  <c r="P727" i="1"/>
  <c r="U727" i="1" s="1"/>
  <c r="O727" i="1"/>
  <c r="U726" i="1"/>
  <c r="O726" i="1"/>
  <c r="P726" i="1" s="1"/>
  <c r="P725" i="1"/>
  <c r="U725" i="1" s="1"/>
  <c r="O725" i="1"/>
  <c r="O724" i="1"/>
  <c r="P724" i="1" s="1"/>
  <c r="U724" i="1" s="1"/>
  <c r="P723" i="1"/>
  <c r="U723" i="1" s="1"/>
  <c r="O723" i="1"/>
  <c r="O722" i="1"/>
  <c r="P722" i="1" s="1"/>
  <c r="U722" i="1" s="1"/>
  <c r="P721" i="1"/>
  <c r="U721" i="1" s="1"/>
  <c r="O721" i="1"/>
  <c r="U720" i="1"/>
  <c r="O720" i="1"/>
  <c r="P720" i="1" s="1"/>
  <c r="P719" i="1"/>
  <c r="U719" i="1" s="1"/>
  <c r="O719" i="1"/>
  <c r="O718" i="1"/>
  <c r="P718" i="1" s="1"/>
  <c r="U718" i="1" s="1"/>
  <c r="P717" i="1"/>
  <c r="U717" i="1" s="1"/>
  <c r="O717" i="1"/>
  <c r="U716" i="1"/>
  <c r="P716" i="1"/>
  <c r="U715" i="1"/>
  <c r="P715" i="1"/>
  <c r="U714" i="1"/>
  <c r="P714" i="1"/>
  <c r="U713" i="1"/>
  <c r="P713" i="1"/>
  <c r="U712" i="1"/>
  <c r="P712" i="1"/>
  <c r="U711" i="1"/>
  <c r="O711" i="1"/>
  <c r="P711" i="1" s="1"/>
  <c r="P710" i="1"/>
  <c r="U710" i="1" s="1"/>
  <c r="O710" i="1"/>
  <c r="O709" i="1"/>
  <c r="P709" i="1" s="1"/>
  <c r="U709" i="1" s="1"/>
  <c r="P708" i="1"/>
  <c r="U708" i="1" s="1"/>
  <c r="O708" i="1"/>
  <c r="U707" i="1"/>
  <c r="O707" i="1"/>
  <c r="P707" i="1" s="1"/>
  <c r="P706" i="1"/>
  <c r="U706" i="1" s="1"/>
  <c r="O706" i="1"/>
  <c r="O705" i="1"/>
  <c r="P705" i="1" s="1"/>
  <c r="U705" i="1" s="1"/>
  <c r="P704" i="1"/>
  <c r="U704" i="1" s="1"/>
  <c r="O704" i="1"/>
  <c r="O703" i="1"/>
  <c r="P703" i="1" s="1"/>
  <c r="U703" i="1" s="1"/>
  <c r="P702" i="1"/>
  <c r="U702" i="1" s="1"/>
  <c r="O702" i="1"/>
  <c r="O701" i="1"/>
  <c r="P701" i="1" s="1"/>
  <c r="U701" i="1" s="1"/>
  <c r="P700" i="1"/>
  <c r="U700" i="1" s="1"/>
  <c r="O700" i="1"/>
  <c r="U699" i="1"/>
  <c r="O699" i="1"/>
  <c r="P699" i="1" s="1"/>
  <c r="P698" i="1"/>
  <c r="U698" i="1" s="1"/>
  <c r="O698" i="1"/>
  <c r="O697" i="1"/>
  <c r="P697" i="1" s="1"/>
  <c r="U697" i="1" s="1"/>
  <c r="P696" i="1"/>
  <c r="U696" i="1" s="1"/>
  <c r="O696" i="1"/>
  <c r="U695" i="1"/>
  <c r="O695" i="1"/>
  <c r="P695" i="1" s="1"/>
  <c r="P694" i="1"/>
  <c r="U694" i="1" s="1"/>
  <c r="O694" i="1"/>
  <c r="O693" i="1"/>
  <c r="P693" i="1" s="1"/>
  <c r="U693" i="1" s="1"/>
  <c r="P692" i="1"/>
  <c r="U692" i="1" s="1"/>
  <c r="O692" i="1"/>
  <c r="O691" i="1"/>
  <c r="P691" i="1" s="1"/>
  <c r="U691" i="1" s="1"/>
  <c r="P690" i="1"/>
  <c r="U690" i="1" s="1"/>
  <c r="O690" i="1"/>
  <c r="O689" i="1"/>
  <c r="P689" i="1" s="1"/>
  <c r="U689" i="1" s="1"/>
  <c r="P688" i="1"/>
  <c r="U688" i="1" s="1"/>
  <c r="O688" i="1"/>
  <c r="O687" i="1"/>
  <c r="P687" i="1" s="1"/>
  <c r="U687" i="1" s="1"/>
  <c r="P686" i="1"/>
  <c r="U686" i="1" s="1"/>
  <c r="O686" i="1"/>
  <c r="O685" i="1"/>
  <c r="P685" i="1" s="1"/>
  <c r="U685" i="1" s="1"/>
  <c r="P684" i="1"/>
  <c r="U684" i="1" s="1"/>
  <c r="O684" i="1"/>
  <c r="O683" i="1"/>
  <c r="P683" i="1" s="1"/>
  <c r="U683" i="1" s="1"/>
  <c r="P682" i="1"/>
  <c r="U682" i="1" s="1"/>
  <c r="O682" i="1"/>
  <c r="U681" i="1"/>
  <c r="O681" i="1"/>
  <c r="P681" i="1" s="1"/>
  <c r="P680" i="1"/>
  <c r="U680" i="1" s="1"/>
  <c r="O680" i="1"/>
  <c r="O679" i="1"/>
  <c r="P679" i="1" s="1"/>
  <c r="U679" i="1" s="1"/>
  <c r="P678" i="1"/>
  <c r="U678" i="1" s="1"/>
  <c r="O678" i="1"/>
  <c r="O677" i="1"/>
  <c r="P677" i="1" s="1"/>
  <c r="U677" i="1" s="1"/>
  <c r="P676" i="1"/>
  <c r="U676" i="1" s="1"/>
  <c r="O676" i="1"/>
  <c r="O675" i="1"/>
  <c r="P675" i="1" s="1"/>
  <c r="U675" i="1" s="1"/>
  <c r="P674" i="1"/>
  <c r="U674" i="1" s="1"/>
  <c r="O674" i="1"/>
  <c r="U673" i="1"/>
  <c r="O673" i="1"/>
  <c r="P673" i="1" s="1"/>
  <c r="P672" i="1"/>
  <c r="U672" i="1" s="1"/>
  <c r="O672" i="1"/>
  <c r="O671" i="1"/>
  <c r="P671" i="1" s="1"/>
  <c r="U671" i="1" s="1"/>
  <c r="P670" i="1"/>
  <c r="U670" i="1" s="1"/>
  <c r="O670" i="1"/>
  <c r="O669" i="1"/>
  <c r="P669" i="1" s="1"/>
  <c r="U669" i="1" s="1"/>
  <c r="P668" i="1"/>
  <c r="U668" i="1" s="1"/>
  <c r="O668" i="1"/>
  <c r="O667" i="1"/>
  <c r="P667" i="1" s="1"/>
  <c r="U667" i="1" s="1"/>
  <c r="P666" i="1"/>
  <c r="U666" i="1" s="1"/>
  <c r="O666" i="1"/>
  <c r="U665" i="1"/>
  <c r="O665" i="1"/>
  <c r="P665" i="1" s="1"/>
  <c r="P664" i="1"/>
  <c r="U664" i="1" s="1"/>
  <c r="O664" i="1"/>
  <c r="U663" i="1"/>
  <c r="P663" i="1"/>
  <c r="U662" i="1"/>
  <c r="P662" i="1"/>
  <c r="U661" i="1"/>
  <c r="P661" i="1"/>
  <c r="U660" i="1"/>
  <c r="P660" i="1"/>
  <c r="U659" i="1"/>
  <c r="P659" i="1"/>
  <c r="U658" i="1"/>
  <c r="P658" i="1"/>
  <c r="U657" i="1"/>
  <c r="O657" i="1"/>
  <c r="P657" i="1" s="1"/>
  <c r="P656" i="1"/>
  <c r="U656" i="1" s="1"/>
  <c r="O656" i="1"/>
  <c r="U655" i="1"/>
  <c r="P655" i="1"/>
  <c r="U654" i="1"/>
  <c r="P654" i="1"/>
  <c r="U653" i="1"/>
  <c r="P653" i="1"/>
  <c r="U652" i="1"/>
  <c r="P652" i="1"/>
  <c r="O651" i="1"/>
  <c r="P651" i="1" s="1"/>
  <c r="U651" i="1" s="1"/>
  <c r="P650" i="1"/>
  <c r="U650" i="1" s="1"/>
  <c r="O650" i="1"/>
  <c r="U649" i="1"/>
  <c r="P649" i="1"/>
  <c r="U648" i="1"/>
  <c r="O648" i="1"/>
  <c r="P648" i="1" s="1"/>
  <c r="P647" i="1"/>
  <c r="U647" i="1" s="1"/>
  <c r="O647" i="1"/>
  <c r="U646" i="1"/>
  <c r="O646" i="1"/>
  <c r="P646" i="1" s="1"/>
  <c r="P645" i="1"/>
  <c r="U645" i="1" s="1"/>
  <c r="O645" i="1"/>
  <c r="U644" i="1"/>
  <c r="P644" i="1"/>
  <c r="U643" i="1"/>
  <c r="P643" i="1"/>
  <c r="U642" i="1"/>
  <c r="P642" i="1"/>
  <c r="U641" i="1"/>
  <c r="P641" i="1"/>
  <c r="U640" i="1"/>
  <c r="P640" i="1"/>
  <c r="U639" i="1"/>
  <c r="P639" i="1"/>
  <c r="U638" i="1"/>
  <c r="P638" i="1"/>
  <c r="U637" i="1"/>
  <c r="P637" i="1"/>
  <c r="U636" i="1"/>
  <c r="P636" i="1"/>
  <c r="U635" i="1"/>
  <c r="P635" i="1"/>
  <c r="U634" i="1"/>
  <c r="P634" i="1"/>
  <c r="U633" i="1"/>
  <c r="P633" i="1"/>
  <c r="U632" i="1"/>
  <c r="P632" i="1"/>
  <c r="U631" i="1"/>
  <c r="P631" i="1"/>
  <c r="U630" i="1"/>
  <c r="P630" i="1"/>
  <c r="U629" i="1"/>
  <c r="P629" i="1"/>
  <c r="U628" i="1"/>
  <c r="P628" i="1"/>
  <c r="U627" i="1"/>
  <c r="P627" i="1"/>
  <c r="U626" i="1"/>
  <c r="P626" i="1"/>
  <c r="U625" i="1"/>
  <c r="P625" i="1"/>
  <c r="U624" i="1"/>
  <c r="P624" i="1"/>
  <c r="U623" i="1"/>
  <c r="P623" i="1"/>
  <c r="U622" i="1"/>
  <c r="P622" i="1"/>
  <c r="U621" i="1"/>
  <c r="P621" i="1"/>
  <c r="U620" i="1"/>
  <c r="P620" i="1"/>
  <c r="U619" i="1"/>
  <c r="P619" i="1"/>
  <c r="U618" i="1"/>
  <c r="P618" i="1"/>
  <c r="U617" i="1"/>
  <c r="P617" i="1"/>
  <c r="U616" i="1"/>
  <c r="P616" i="1"/>
  <c r="U615" i="1"/>
  <c r="P615" i="1"/>
  <c r="U614" i="1"/>
  <c r="P614" i="1"/>
  <c r="U613" i="1"/>
  <c r="P613" i="1"/>
  <c r="U612" i="1"/>
  <c r="P612" i="1"/>
  <c r="U611" i="1"/>
  <c r="P611" i="1"/>
  <c r="U610" i="1"/>
  <c r="O610" i="1"/>
  <c r="P610" i="1" s="1"/>
  <c r="P609" i="1"/>
  <c r="U609" i="1" s="1"/>
  <c r="O609" i="1"/>
  <c r="U608" i="1"/>
  <c r="O608" i="1"/>
  <c r="P608" i="1" s="1"/>
  <c r="P607" i="1"/>
  <c r="U607" i="1" s="1"/>
  <c r="O607" i="1"/>
  <c r="O606" i="1"/>
  <c r="P606" i="1" s="1"/>
  <c r="U606" i="1" s="1"/>
  <c r="P605" i="1"/>
  <c r="U605" i="1" s="1"/>
  <c r="O605" i="1"/>
  <c r="O604" i="1"/>
  <c r="P604" i="1" s="1"/>
  <c r="U604" i="1" s="1"/>
  <c r="P603" i="1"/>
  <c r="U603" i="1" s="1"/>
  <c r="O603" i="1"/>
  <c r="O602" i="1"/>
  <c r="P602" i="1" s="1"/>
  <c r="U602" i="1" s="1"/>
  <c r="P601" i="1"/>
  <c r="U601" i="1" s="1"/>
  <c r="O601" i="1"/>
  <c r="O600" i="1"/>
  <c r="P600" i="1" s="1"/>
  <c r="U600" i="1" s="1"/>
  <c r="P599" i="1"/>
  <c r="U599" i="1" s="1"/>
  <c r="O599" i="1"/>
  <c r="O598" i="1"/>
  <c r="P598" i="1" s="1"/>
  <c r="U598" i="1" s="1"/>
  <c r="P597" i="1"/>
  <c r="U597" i="1" s="1"/>
  <c r="O597" i="1"/>
  <c r="U596" i="1"/>
  <c r="O596" i="1"/>
  <c r="P596" i="1" s="1"/>
  <c r="P595" i="1"/>
  <c r="U595" i="1" s="1"/>
  <c r="O595" i="1"/>
  <c r="U594" i="1"/>
  <c r="O594" i="1"/>
  <c r="P594" i="1" s="1"/>
  <c r="P593" i="1"/>
  <c r="U593" i="1" s="1"/>
  <c r="O593" i="1"/>
  <c r="U592" i="1"/>
  <c r="O592" i="1"/>
  <c r="P592" i="1" s="1"/>
  <c r="P591" i="1"/>
  <c r="U591" i="1" s="1"/>
  <c r="O591" i="1"/>
  <c r="O590" i="1"/>
  <c r="P590" i="1" s="1"/>
  <c r="U590" i="1" s="1"/>
  <c r="P589" i="1"/>
  <c r="U589" i="1" s="1"/>
  <c r="O589" i="1"/>
  <c r="O588" i="1"/>
  <c r="P588" i="1" s="1"/>
  <c r="U588" i="1" s="1"/>
  <c r="P587" i="1"/>
  <c r="U587" i="1" s="1"/>
  <c r="O587" i="1"/>
  <c r="O586" i="1"/>
  <c r="P586" i="1" s="1"/>
  <c r="U586" i="1" s="1"/>
  <c r="P585" i="1"/>
  <c r="U585" i="1" s="1"/>
  <c r="O585" i="1"/>
  <c r="O584" i="1"/>
  <c r="P584" i="1" s="1"/>
  <c r="U584" i="1" s="1"/>
  <c r="P583" i="1"/>
  <c r="U583" i="1" s="1"/>
  <c r="O583" i="1"/>
  <c r="O582" i="1"/>
  <c r="P582" i="1" s="1"/>
  <c r="U582" i="1" s="1"/>
  <c r="P581" i="1"/>
  <c r="U581" i="1" s="1"/>
  <c r="O581" i="1"/>
  <c r="U580" i="1"/>
  <c r="O580" i="1"/>
  <c r="P580" i="1" s="1"/>
  <c r="P579" i="1"/>
  <c r="U579" i="1" s="1"/>
  <c r="O579" i="1"/>
  <c r="U578" i="1"/>
  <c r="O578" i="1"/>
  <c r="P578" i="1" s="1"/>
  <c r="P577" i="1"/>
  <c r="U577" i="1" s="1"/>
  <c r="O577" i="1"/>
  <c r="U576" i="1"/>
  <c r="O576" i="1"/>
  <c r="P576" i="1" s="1"/>
  <c r="P575" i="1"/>
  <c r="U575" i="1" s="1"/>
  <c r="O575" i="1"/>
  <c r="O574" i="1"/>
  <c r="P574" i="1" s="1"/>
  <c r="U574" i="1" s="1"/>
  <c r="P573" i="1"/>
  <c r="U573" i="1" s="1"/>
  <c r="O573" i="1"/>
  <c r="O572" i="1"/>
  <c r="P572" i="1" s="1"/>
  <c r="U572" i="1" s="1"/>
  <c r="P571" i="1"/>
  <c r="U571" i="1" s="1"/>
  <c r="O571" i="1"/>
  <c r="O570" i="1"/>
  <c r="P570" i="1" s="1"/>
  <c r="U570" i="1" s="1"/>
  <c r="P569" i="1"/>
  <c r="U569" i="1" s="1"/>
  <c r="O569" i="1"/>
  <c r="O568" i="1"/>
  <c r="P568" i="1" s="1"/>
  <c r="U568" i="1" s="1"/>
  <c r="P567" i="1"/>
  <c r="U567" i="1" s="1"/>
  <c r="O567" i="1"/>
  <c r="O566" i="1"/>
  <c r="P566" i="1" s="1"/>
  <c r="U566" i="1" s="1"/>
  <c r="P565" i="1"/>
  <c r="U565" i="1" s="1"/>
  <c r="O565" i="1"/>
  <c r="U564" i="1"/>
  <c r="O564" i="1"/>
  <c r="P564" i="1" s="1"/>
  <c r="P563" i="1"/>
  <c r="U563" i="1" s="1"/>
  <c r="O563" i="1"/>
  <c r="U562" i="1"/>
  <c r="O562" i="1"/>
  <c r="P562" i="1" s="1"/>
  <c r="P561" i="1"/>
  <c r="U561" i="1" s="1"/>
  <c r="O561" i="1"/>
  <c r="U560" i="1"/>
  <c r="O560" i="1"/>
  <c r="P560" i="1" s="1"/>
  <c r="P559" i="1"/>
  <c r="U559" i="1" s="1"/>
  <c r="O559" i="1"/>
  <c r="O558" i="1"/>
  <c r="P558" i="1" s="1"/>
  <c r="U558" i="1" s="1"/>
  <c r="P557" i="1"/>
  <c r="U557" i="1" s="1"/>
  <c r="P556" i="1"/>
  <c r="U556" i="1" s="1"/>
  <c r="O556" i="1"/>
  <c r="U555" i="1"/>
  <c r="P555" i="1"/>
  <c r="U554" i="1"/>
  <c r="P554" i="1"/>
  <c r="U553" i="1"/>
  <c r="P553" i="1"/>
  <c r="U552" i="1"/>
  <c r="P552" i="1"/>
  <c r="O551" i="1"/>
  <c r="P551" i="1" s="1"/>
  <c r="U551" i="1" s="1"/>
  <c r="P550" i="1"/>
  <c r="U550" i="1" s="1"/>
  <c r="O550" i="1"/>
  <c r="O549" i="1"/>
  <c r="P549" i="1" s="1"/>
  <c r="U549" i="1" s="1"/>
  <c r="P548" i="1"/>
  <c r="U548" i="1" s="1"/>
  <c r="O548" i="1"/>
  <c r="O547" i="1"/>
  <c r="P547" i="1" s="1"/>
  <c r="U547" i="1" s="1"/>
  <c r="P546" i="1"/>
  <c r="U546" i="1" s="1"/>
  <c r="O546" i="1"/>
  <c r="O545" i="1"/>
  <c r="P545" i="1" s="1"/>
  <c r="U545" i="1" s="1"/>
  <c r="P544" i="1"/>
  <c r="U544" i="1" s="1"/>
  <c r="O544" i="1"/>
  <c r="O543" i="1"/>
  <c r="P543" i="1" s="1"/>
  <c r="U543" i="1" s="1"/>
  <c r="P542" i="1"/>
  <c r="U542" i="1" s="1"/>
  <c r="O542" i="1"/>
  <c r="U541" i="1"/>
  <c r="O541" i="1"/>
  <c r="P541" i="1" s="1"/>
  <c r="P540" i="1"/>
  <c r="U540" i="1" s="1"/>
  <c r="O540" i="1"/>
  <c r="U539" i="1"/>
  <c r="O539" i="1"/>
  <c r="P539" i="1" s="1"/>
  <c r="P538" i="1"/>
  <c r="U538" i="1" s="1"/>
  <c r="O538" i="1"/>
  <c r="U537" i="1"/>
  <c r="O537" i="1"/>
  <c r="P537" i="1" s="1"/>
  <c r="P536" i="1"/>
  <c r="U536" i="1" s="1"/>
  <c r="O536" i="1"/>
  <c r="U535" i="1"/>
  <c r="O535" i="1"/>
  <c r="P535" i="1" s="1"/>
  <c r="P534" i="1"/>
  <c r="U534" i="1" s="1"/>
  <c r="O534" i="1"/>
  <c r="U533" i="1"/>
  <c r="O533" i="1"/>
  <c r="P533" i="1" s="1"/>
  <c r="P532" i="1"/>
  <c r="U532" i="1" s="1"/>
  <c r="O532" i="1"/>
  <c r="U531" i="1"/>
  <c r="O531" i="1"/>
  <c r="P531" i="1" s="1"/>
  <c r="P530" i="1"/>
  <c r="U530" i="1" s="1"/>
  <c r="O530" i="1"/>
  <c r="U529" i="1"/>
  <c r="O529" i="1"/>
  <c r="P529" i="1" s="1"/>
  <c r="P528" i="1"/>
  <c r="U528" i="1" s="1"/>
  <c r="O528" i="1"/>
  <c r="U527" i="1"/>
  <c r="O527" i="1"/>
  <c r="P527" i="1" s="1"/>
  <c r="P526" i="1"/>
  <c r="U526" i="1" s="1"/>
  <c r="O526" i="1"/>
  <c r="U525" i="1"/>
  <c r="O525" i="1"/>
  <c r="P525" i="1" s="1"/>
  <c r="P524" i="1"/>
  <c r="U524" i="1" s="1"/>
  <c r="O524" i="1"/>
  <c r="U523" i="1"/>
  <c r="P523" i="1"/>
  <c r="U522" i="1"/>
  <c r="P522" i="1"/>
  <c r="U521" i="1"/>
  <c r="P521" i="1"/>
  <c r="U520" i="1"/>
  <c r="P520" i="1"/>
  <c r="U519" i="1"/>
  <c r="O519" i="1"/>
  <c r="P519" i="1" s="1"/>
  <c r="P518" i="1"/>
  <c r="U518" i="1" s="1"/>
  <c r="O518" i="1"/>
  <c r="U517" i="1"/>
  <c r="O517" i="1"/>
  <c r="P517" i="1" s="1"/>
  <c r="P516" i="1"/>
  <c r="U516" i="1" s="1"/>
  <c r="O516" i="1"/>
  <c r="U515" i="1"/>
  <c r="O515" i="1"/>
  <c r="P515" i="1" s="1"/>
  <c r="P514" i="1"/>
  <c r="U514" i="1" s="1"/>
  <c r="O514" i="1"/>
  <c r="U513" i="1"/>
  <c r="O513" i="1"/>
  <c r="P513" i="1" s="1"/>
  <c r="P512" i="1"/>
  <c r="U512" i="1" s="1"/>
  <c r="O512" i="1"/>
  <c r="U511" i="1"/>
  <c r="O511" i="1"/>
  <c r="P511" i="1" s="1"/>
  <c r="P510" i="1"/>
  <c r="U510" i="1" s="1"/>
  <c r="O510" i="1"/>
  <c r="U509" i="1"/>
  <c r="O509" i="1"/>
  <c r="P509" i="1" s="1"/>
  <c r="P508" i="1"/>
  <c r="U508" i="1" s="1"/>
  <c r="O508" i="1"/>
  <c r="U507" i="1"/>
  <c r="O507" i="1"/>
  <c r="P507" i="1" s="1"/>
  <c r="P506" i="1"/>
  <c r="U506" i="1" s="1"/>
  <c r="O506" i="1"/>
  <c r="U505" i="1"/>
  <c r="O505" i="1"/>
  <c r="P505" i="1" s="1"/>
  <c r="P504" i="1"/>
  <c r="U504" i="1" s="1"/>
  <c r="O504" i="1"/>
  <c r="U503" i="1"/>
  <c r="O503" i="1"/>
  <c r="P503" i="1" s="1"/>
  <c r="P502" i="1"/>
  <c r="U502" i="1" s="1"/>
  <c r="O502" i="1"/>
  <c r="U501" i="1"/>
  <c r="O501" i="1"/>
  <c r="P501" i="1" s="1"/>
  <c r="P500" i="1"/>
  <c r="U500" i="1" s="1"/>
  <c r="O500" i="1"/>
  <c r="U499" i="1"/>
  <c r="O499" i="1"/>
  <c r="P499" i="1" s="1"/>
  <c r="P498" i="1"/>
  <c r="U498" i="1" s="1"/>
  <c r="O498" i="1"/>
  <c r="U497" i="1"/>
  <c r="O497" i="1"/>
  <c r="P497" i="1" s="1"/>
  <c r="P496" i="1"/>
  <c r="U496" i="1" s="1"/>
  <c r="O496" i="1"/>
  <c r="U495" i="1"/>
  <c r="O495" i="1"/>
  <c r="P495" i="1" s="1"/>
  <c r="P494" i="1"/>
  <c r="U494" i="1" s="1"/>
  <c r="O494" i="1"/>
  <c r="U493" i="1"/>
  <c r="O493" i="1"/>
  <c r="P493" i="1" s="1"/>
  <c r="P492" i="1"/>
  <c r="U492" i="1" s="1"/>
  <c r="O492" i="1"/>
  <c r="U491" i="1"/>
  <c r="O491" i="1"/>
  <c r="P491" i="1" s="1"/>
  <c r="P490" i="1"/>
  <c r="U490" i="1" s="1"/>
  <c r="O490" i="1"/>
  <c r="U489" i="1"/>
  <c r="P489" i="1"/>
  <c r="U488" i="1"/>
  <c r="P488" i="1"/>
  <c r="U487" i="1"/>
  <c r="P487" i="1"/>
  <c r="U486" i="1"/>
  <c r="P486" i="1"/>
  <c r="U485" i="1"/>
  <c r="P485" i="1"/>
  <c r="U484" i="1"/>
  <c r="P484" i="1"/>
  <c r="U483" i="1"/>
  <c r="P483" i="1"/>
  <c r="U482" i="1"/>
  <c r="O482" i="1"/>
  <c r="P482" i="1" s="1"/>
  <c r="P481" i="1"/>
  <c r="U481" i="1" s="1"/>
  <c r="O481" i="1"/>
  <c r="U480" i="1"/>
  <c r="O480" i="1"/>
  <c r="P480" i="1" s="1"/>
  <c r="P479" i="1"/>
  <c r="U479" i="1" s="1"/>
  <c r="P478" i="1"/>
  <c r="U478" i="1" s="1"/>
  <c r="P477" i="1"/>
  <c r="U477" i="1" s="1"/>
  <c r="P476" i="1"/>
  <c r="U476" i="1" s="1"/>
  <c r="P475" i="1"/>
  <c r="U475" i="1" s="1"/>
  <c r="P474" i="1"/>
  <c r="U474" i="1" s="1"/>
  <c r="P473" i="1"/>
  <c r="U473" i="1" s="1"/>
  <c r="P472" i="1"/>
  <c r="U472" i="1" s="1"/>
  <c r="P471" i="1"/>
  <c r="U471" i="1" s="1"/>
  <c r="P470" i="1"/>
  <c r="U470" i="1" s="1"/>
  <c r="P469" i="1"/>
  <c r="U469" i="1" s="1"/>
  <c r="P468" i="1"/>
  <c r="U468" i="1" s="1"/>
  <c r="P467" i="1"/>
  <c r="U467" i="1" s="1"/>
  <c r="P466" i="1"/>
  <c r="U466" i="1" s="1"/>
  <c r="P465" i="1"/>
  <c r="U465" i="1" s="1"/>
  <c r="P464" i="1"/>
  <c r="U464" i="1" s="1"/>
  <c r="P463" i="1"/>
  <c r="U463" i="1" s="1"/>
  <c r="P462" i="1"/>
  <c r="U462" i="1" s="1"/>
  <c r="P461" i="1"/>
  <c r="U461" i="1" s="1"/>
  <c r="P460" i="1"/>
  <c r="U460" i="1" s="1"/>
  <c r="P459" i="1"/>
  <c r="U459" i="1" s="1"/>
  <c r="P458" i="1"/>
  <c r="U458" i="1" s="1"/>
  <c r="P457" i="1"/>
  <c r="U457" i="1" s="1"/>
  <c r="P456" i="1"/>
  <c r="U456" i="1" s="1"/>
  <c r="P455" i="1"/>
  <c r="U455" i="1" s="1"/>
  <c r="P454" i="1"/>
  <c r="U454" i="1" s="1"/>
  <c r="P453" i="1"/>
  <c r="U453" i="1" s="1"/>
  <c r="P452" i="1"/>
  <c r="U452" i="1" s="1"/>
  <c r="P451" i="1"/>
  <c r="U451" i="1" s="1"/>
  <c r="P450" i="1"/>
  <c r="U450" i="1" s="1"/>
  <c r="P449" i="1"/>
  <c r="U449" i="1" s="1"/>
  <c r="P448" i="1"/>
  <c r="U448" i="1" s="1"/>
  <c r="P447" i="1"/>
  <c r="U447" i="1" s="1"/>
  <c r="P446" i="1"/>
  <c r="U446" i="1" s="1"/>
  <c r="P445" i="1"/>
  <c r="U445" i="1" s="1"/>
  <c r="P444" i="1"/>
  <c r="U444" i="1" s="1"/>
  <c r="P443" i="1"/>
  <c r="U443" i="1" s="1"/>
  <c r="P442" i="1"/>
  <c r="U442" i="1" s="1"/>
  <c r="P441" i="1"/>
  <c r="U441" i="1" s="1"/>
  <c r="P440" i="1"/>
  <c r="U440" i="1" s="1"/>
  <c r="P439" i="1"/>
  <c r="U439" i="1" s="1"/>
  <c r="P438" i="1"/>
  <c r="U438" i="1" s="1"/>
  <c r="O438" i="1"/>
  <c r="O437" i="1"/>
  <c r="P437" i="1" s="1"/>
  <c r="U437" i="1" s="1"/>
  <c r="P436" i="1"/>
  <c r="U436" i="1" s="1"/>
  <c r="O436" i="1"/>
  <c r="O435" i="1"/>
  <c r="P435" i="1" s="1"/>
  <c r="U435" i="1" s="1"/>
  <c r="P434" i="1"/>
  <c r="U434" i="1" s="1"/>
  <c r="P433" i="1"/>
  <c r="U433" i="1" s="1"/>
  <c r="P432" i="1"/>
  <c r="U432" i="1" s="1"/>
  <c r="P431" i="1"/>
  <c r="U431" i="1" s="1"/>
  <c r="P430" i="1"/>
  <c r="U430" i="1" s="1"/>
  <c r="P429" i="1"/>
  <c r="U429" i="1" s="1"/>
  <c r="P428" i="1"/>
  <c r="U428" i="1" s="1"/>
  <c r="P427" i="1"/>
  <c r="U427" i="1" s="1"/>
  <c r="P426" i="1"/>
  <c r="U426" i="1" s="1"/>
  <c r="P425" i="1"/>
  <c r="U425" i="1" s="1"/>
  <c r="P424" i="1"/>
  <c r="U424" i="1" s="1"/>
  <c r="P423" i="1"/>
  <c r="U423" i="1" s="1"/>
  <c r="P422" i="1"/>
  <c r="U422" i="1" s="1"/>
  <c r="P421" i="1"/>
  <c r="U421" i="1" s="1"/>
  <c r="O421" i="1"/>
  <c r="U420" i="1"/>
  <c r="O420" i="1"/>
  <c r="P420" i="1" s="1"/>
  <c r="P419" i="1"/>
  <c r="U419" i="1" s="1"/>
  <c r="P418" i="1"/>
  <c r="U418" i="1" s="1"/>
  <c r="P417" i="1"/>
  <c r="U417" i="1" s="1"/>
  <c r="P416" i="1"/>
  <c r="U416" i="1" s="1"/>
  <c r="P415" i="1"/>
  <c r="U415" i="1" s="1"/>
  <c r="P414" i="1"/>
  <c r="U414" i="1" s="1"/>
  <c r="P413" i="1"/>
  <c r="U413" i="1" s="1"/>
  <c r="P412" i="1"/>
  <c r="U412" i="1" s="1"/>
  <c r="P411" i="1"/>
  <c r="U411" i="1" s="1"/>
  <c r="P410" i="1"/>
  <c r="U410" i="1" s="1"/>
  <c r="P409" i="1"/>
  <c r="U409" i="1" s="1"/>
  <c r="P408" i="1"/>
  <c r="U408" i="1" s="1"/>
  <c r="P407" i="1"/>
  <c r="U407" i="1" s="1"/>
  <c r="P406" i="1"/>
  <c r="U406" i="1" s="1"/>
  <c r="P405" i="1"/>
  <c r="U405" i="1" s="1"/>
  <c r="P404" i="1"/>
  <c r="U404" i="1" s="1"/>
  <c r="P403" i="1"/>
  <c r="U403" i="1" s="1"/>
  <c r="P402" i="1"/>
  <c r="U402" i="1" s="1"/>
  <c r="P401" i="1"/>
  <c r="U401" i="1" s="1"/>
  <c r="P400" i="1"/>
  <c r="U400" i="1" s="1"/>
  <c r="P399" i="1"/>
  <c r="U399" i="1" s="1"/>
  <c r="P398" i="1"/>
  <c r="U398" i="1" s="1"/>
  <c r="P397" i="1"/>
  <c r="U397" i="1" s="1"/>
  <c r="P396" i="1"/>
  <c r="U396" i="1" s="1"/>
  <c r="P395" i="1"/>
  <c r="U395" i="1" s="1"/>
  <c r="P394" i="1"/>
  <c r="U394" i="1" s="1"/>
  <c r="P393" i="1"/>
  <c r="U393" i="1" s="1"/>
  <c r="P392" i="1"/>
  <c r="U392" i="1" s="1"/>
  <c r="P391" i="1"/>
  <c r="U391" i="1" s="1"/>
  <c r="P390" i="1"/>
  <c r="U390" i="1" s="1"/>
  <c r="P389" i="1"/>
  <c r="U389" i="1" s="1"/>
  <c r="P388" i="1"/>
  <c r="U388" i="1" s="1"/>
  <c r="P387" i="1"/>
  <c r="U387" i="1" s="1"/>
  <c r="P386" i="1"/>
  <c r="U386" i="1" s="1"/>
  <c r="P385" i="1"/>
  <c r="U385" i="1" s="1"/>
  <c r="P384" i="1"/>
  <c r="U384" i="1" s="1"/>
  <c r="P383" i="1"/>
  <c r="U383" i="1" s="1"/>
  <c r="P382" i="1"/>
  <c r="U382" i="1" s="1"/>
  <c r="P381" i="1"/>
  <c r="U381" i="1" s="1"/>
  <c r="P380" i="1"/>
  <c r="U380" i="1" s="1"/>
  <c r="P379" i="1"/>
  <c r="U379" i="1" s="1"/>
  <c r="P378" i="1"/>
  <c r="U378" i="1" s="1"/>
  <c r="P377" i="1"/>
  <c r="U377" i="1" s="1"/>
  <c r="P376" i="1"/>
  <c r="U376" i="1" s="1"/>
  <c r="P375" i="1"/>
  <c r="U375" i="1" s="1"/>
  <c r="P374" i="1"/>
  <c r="U374" i="1" s="1"/>
  <c r="P373" i="1"/>
  <c r="U373" i="1" s="1"/>
  <c r="P372" i="1"/>
  <c r="U372" i="1" s="1"/>
  <c r="P371" i="1"/>
  <c r="U371" i="1" s="1"/>
  <c r="P370" i="1"/>
  <c r="U370" i="1" s="1"/>
  <c r="P369" i="1"/>
  <c r="U369" i="1" s="1"/>
  <c r="P368" i="1"/>
  <c r="U368" i="1" s="1"/>
  <c r="P367" i="1"/>
  <c r="U367" i="1" s="1"/>
  <c r="P366" i="1"/>
  <c r="U366" i="1" s="1"/>
  <c r="P365" i="1"/>
  <c r="U365" i="1" s="1"/>
  <c r="P364" i="1"/>
  <c r="U364" i="1" s="1"/>
  <c r="P363" i="1"/>
  <c r="U363" i="1" s="1"/>
  <c r="P362" i="1"/>
  <c r="U362" i="1" s="1"/>
  <c r="O362" i="1"/>
  <c r="O361" i="1"/>
  <c r="P361" i="1" s="1"/>
  <c r="U361" i="1" s="1"/>
  <c r="P360" i="1"/>
  <c r="U360" i="1" s="1"/>
  <c r="O360" i="1"/>
  <c r="O359" i="1"/>
  <c r="P359" i="1" s="1"/>
  <c r="U359" i="1" s="1"/>
  <c r="P358" i="1"/>
  <c r="U358" i="1" s="1"/>
  <c r="O358" i="1"/>
  <c r="O357" i="1"/>
  <c r="P357" i="1" s="1"/>
  <c r="U357" i="1" s="1"/>
  <c r="P356" i="1"/>
  <c r="U356" i="1" s="1"/>
  <c r="O356" i="1"/>
  <c r="O355" i="1"/>
  <c r="P355" i="1" s="1"/>
  <c r="U355" i="1" s="1"/>
  <c r="P354" i="1"/>
  <c r="U354" i="1" s="1"/>
  <c r="O354" i="1"/>
  <c r="O353" i="1"/>
  <c r="P353" i="1" s="1"/>
  <c r="U353" i="1" s="1"/>
  <c r="P352" i="1"/>
  <c r="U352" i="1" s="1"/>
  <c r="O352" i="1"/>
  <c r="O351" i="1"/>
  <c r="P351" i="1" s="1"/>
  <c r="U351" i="1" s="1"/>
  <c r="P350" i="1"/>
  <c r="U350" i="1" s="1"/>
  <c r="O350" i="1"/>
  <c r="O349" i="1"/>
  <c r="P349" i="1" s="1"/>
  <c r="U349" i="1" s="1"/>
  <c r="P348" i="1"/>
  <c r="U348" i="1" s="1"/>
  <c r="O348" i="1"/>
  <c r="O347" i="1"/>
  <c r="P347" i="1" s="1"/>
  <c r="U347" i="1" s="1"/>
  <c r="P346" i="1"/>
  <c r="U346" i="1" s="1"/>
  <c r="O346" i="1"/>
  <c r="U345" i="1"/>
  <c r="O345" i="1"/>
  <c r="P345" i="1" s="1"/>
  <c r="P344" i="1"/>
  <c r="U344" i="1" s="1"/>
  <c r="O344" i="1"/>
  <c r="U343" i="1"/>
  <c r="O343" i="1"/>
  <c r="P343" i="1" s="1"/>
  <c r="P342" i="1"/>
  <c r="U342" i="1" s="1"/>
  <c r="O342" i="1"/>
  <c r="U341" i="1"/>
  <c r="P341" i="1"/>
  <c r="U340" i="1"/>
  <c r="P340" i="1"/>
  <c r="O339" i="1"/>
  <c r="P339" i="1" s="1"/>
  <c r="U339" i="1" s="1"/>
  <c r="P338" i="1"/>
  <c r="U338" i="1" s="1"/>
  <c r="P337" i="1"/>
  <c r="U337" i="1" s="1"/>
  <c r="P336" i="1"/>
  <c r="U336" i="1" s="1"/>
  <c r="P335" i="1"/>
  <c r="U335" i="1" s="1"/>
  <c r="P334" i="1"/>
  <c r="U334" i="1" s="1"/>
  <c r="P333" i="1"/>
  <c r="U333" i="1" s="1"/>
  <c r="P332" i="1"/>
  <c r="U332" i="1" s="1"/>
  <c r="P331" i="1"/>
  <c r="U331" i="1" s="1"/>
  <c r="P330" i="1"/>
  <c r="U330" i="1" s="1"/>
  <c r="P329" i="1"/>
  <c r="U329" i="1" s="1"/>
  <c r="P328" i="1"/>
  <c r="U328" i="1" s="1"/>
  <c r="P327" i="1"/>
  <c r="U327" i="1" s="1"/>
  <c r="P326" i="1"/>
  <c r="U326" i="1" s="1"/>
  <c r="P325" i="1"/>
  <c r="U325" i="1" s="1"/>
  <c r="P324" i="1"/>
  <c r="U324" i="1" s="1"/>
  <c r="P323" i="1"/>
  <c r="U323" i="1" s="1"/>
  <c r="P322" i="1"/>
  <c r="U322" i="1" s="1"/>
  <c r="P321" i="1"/>
  <c r="U321" i="1" s="1"/>
  <c r="P320" i="1"/>
  <c r="U320" i="1" s="1"/>
  <c r="P319" i="1"/>
  <c r="U319" i="1" s="1"/>
  <c r="P318" i="1"/>
  <c r="U318" i="1" s="1"/>
  <c r="P317" i="1"/>
  <c r="U317" i="1" s="1"/>
  <c r="P316" i="1"/>
  <c r="U316" i="1" s="1"/>
  <c r="P315" i="1"/>
  <c r="U315" i="1" s="1"/>
  <c r="P314" i="1"/>
  <c r="U314" i="1" s="1"/>
  <c r="P313" i="1"/>
  <c r="U313" i="1" s="1"/>
  <c r="O313" i="1"/>
  <c r="U312" i="1"/>
  <c r="P312" i="1"/>
  <c r="P311" i="1"/>
  <c r="U311" i="1" s="1"/>
  <c r="U310" i="1"/>
  <c r="P310" i="1"/>
  <c r="U309" i="1"/>
  <c r="P309" i="1"/>
  <c r="U308" i="1"/>
  <c r="P308" i="1"/>
  <c r="P307" i="1"/>
  <c r="U307" i="1" s="1"/>
  <c r="U306" i="1"/>
  <c r="P306" i="1"/>
  <c r="U305" i="1"/>
  <c r="P305" i="1"/>
  <c r="U304" i="1"/>
  <c r="P304" i="1"/>
  <c r="P303" i="1"/>
  <c r="U303" i="1" s="1"/>
  <c r="U302" i="1"/>
  <c r="P302" i="1"/>
  <c r="U301" i="1"/>
  <c r="P301" i="1"/>
  <c r="U300" i="1"/>
  <c r="P300" i="1"/>
  <c r="U299" i="1"/>
  <c r="P299" i="1"/>
  <c r="U298" i="1"/>
  <c r="P298" i="1"/>
  <c r="U297" i="1"/>
  <c r="P297" i="1"/>
  <c r="U296" i="1"/>
  <c r="P296" i="1"/>
  <c r="P295" i="1"/>
  <c r="U295" i="1" s="1"/>
  <c r="U294" i="1"/>
  <c r="P294" i="1"/>
  <c r="O294" i="1"/>
  <c r="P293" i="1"/>
  <c r="U293" i="1" s="1"/>
  <c r="O293" i="1"/>
  <c r="O292" i="1"/>
  <c r="P292" i="1" s="1"/>
  <c r="U292" i="1" s="1"/>
  <c r="U291" i="1"/>
  <c r="P291" i="1"/>
  <c r="O291" i="1"/>
  <c r="O290" i="1"/>
  <c r="P290" i="1" s="1"/>
  <c r="U290" i="1" s="1"/>
  <c r="P289" i="1"/>
  <c r="U289" i="1" s="1"/>
  <c r="O289" i="1"/>
  <c r="O288" i="1"/>
  <c r="P288" i="1" s="1"/>
  <c r="U288" i="1" s="1"/>
  <c r="O287" i="1"/>
  <c r="P287" i="1" s="1"/>
  <c r="U287" i="1" s="1"/>
  <c r="O286" i="1"/>
  <c r="P286" i="1" s="1"/>
  <c r="U286" i="1" s="1"/>
  <c r="P285" i="1"/>
  <c r="U285" i="1" s="1"/>
  <c r="O285" i="1"/>
  <c r="O284" i="1"/>
  <c r="P284" i="1" s="1"/>
  <c r="U284" i="1" s="1"/>
  <c r="P283" i="1"/>
  <c r="U283" i="1" s="1"/>
  <c r="O283" i="1"/>
  <c r="O282" i="1"/>
  <c r="P282" i="1" s="1"/>
  <c r="U282" i="1" s="1"/>
  <c r="P281" i="1"/>
  <c r="U281" i="1" s="1"/>
  <c r="O281" i="1"/>
  <c r="O280" i="1"/>
  <c r="P280" i="1" s="1"/>
  <c r="U280" i="1" s="1"/>
  <c r="O279" i="1"/>
  <c r="P279" i="1" s="1"/>
  <c r="U279" i="1" s="1"/>
  <c r="O278" i="1"/>
  <c r="P278" i="1" s="1"/>
  <c r="U278" i="1" s="1"/>
  <c r="P277" i="1"/>
  <c r="U277" i="1" s="1"/>
  <c r="O277" i="1"/>
  <c r="P276" i="1"/>
  <c r="U276" i="1" s="1"/>
  <c r="U275" i="1"/>
  <c r="P275" i="1"/>
  <c r="O274" i="1"/>
  <c r="P274" i="1" s="1"/>
  <c r="U274" i="1" s="1"/>
  <c r="O273" i="1"/>
  <c r="P273" i="1" s="1"/>
  <c r="U273" i="1" s="1"/>
  <c r="O272" i="1"/>
  <c r="P272" i="1" s="1"/>
  <c r="U272" i="1" s="1"/>
  <c r="P271" i="1"/>
  <c r="U271" i="1" s="1"/>
  <c r="O271" i="1"/>
  <c r="O270" i="1"/>
  <c r="P270" i="1" s="1"/>
  <c r="U270" i="1" s="1"/>
  <c r="P269" i="1"/>
  <c r="U269" i="1" s="1"/>
  <c r="O269" i="1"/>
  <c r="O268" i="1"/>
  <c r="P268" i="1" s="1"/>
  <c r="U268" i="1" s="1"/>
  <c r="P267" i="1"/>
  <c r="U267" i="1" s="1"/>
  <c r="O267" i="1"/>
  <c r="U266" i="1"/>
  <c r="P266" i="1"/>
  <c r="O266" i="1"/>
  <c r="O265" i="1"/>
  <c r="P265" i="1" s="1"/>
  <c r="U265" i="1" s="1"/>
  <c r="O264" i="1"/>
  <c r="P264" i="1" s="1"/>
  <c r="U264" i="1" s="1"/>
  <c r="U263" i="1"/>
  <c r="P263" i="1"/>
  <c r="O263" i="1"/>
  <c r="O262" i="1"/>
  <c r="P262" i="1" s="1"/>
  <c r="U262" i="1" s="1"/>
  <c r="P261" i="1"/>
  <c r="U261" i="1" s="1"/>
  <c r="O261" i="1"/>
  <c r="O260" i="1"/>
  <c r="P260" i="1" s="1"/>
  <c r="U260" i="1" s="1"/>
  <c r="P259" i="1"/>
  <c r="U259" i="1" s="1"/>
  <c r="O259" i="1"/>
  <c r="U258" i="1"/>
  <c r="P258" i="1"/>
  <c r="O258" i="1"/>
  <c r="O257" i="1"/>
  <c r="P257" i="1" s="1"/>
  <c r="U257" i="1" s="1"/>
  <c r="O256" i="1"/>
  <c r="P256" i="1" s="1"/>
  <c r="U256" i="1" s="1"/>
  <c r="U255" i="1"/>
  <c r="P255" i="1"/>
  <c r="O255" i="1"/>
  <c r="O254" i="1"/>
  <c r="P254" i="1" s="1"/>
  <c r="U254" i="1" s="1"/>
  <c r="U253" i="1"/>
  <c r="P253" i="1"/>
  <c r="O253" i="1"/>
  <c r="O252" i="1"/>
  <c r="P252" i="1" s="1"/>
  <c r="U252" i="1" s="1"/>
  <c r="P251" i="1"/>
  <c r="U251" i="1" s="1"/>
  <c r="P250" i="1"/>
  <c r="U250" i="1" s="1"/>
  <c r="U249" i="1"/>
  <c r="P249" i="1"/>
  <c r="O249" i="1"/>
  <c r="P248" i="1"/>
  <c r="U248" i="1" s="1"/>
  <c r="U247" i="1"/>
  <c r="P247" i="1"/>
  <c r="U246" i="1"/>
  <c r="P246" i="1"/>
  <c r="P245" i="1"/>
  <c r="U245" i="1" s="1"/>
  <c r="P244" i="1"/>
  <c r="U244" i="1" s="1"/>
  <c r="U243" i="1"/>
  <c r="P243" i="1"/>
  <c r="U242" i="1"/>
  <c r="P242" i="1"/>
  <c r="O242" i="1"/>
  <c r="O241" i="1"/>
  <c r="P241" i="1" s="1"/>
  <c r="U241" i="1" s="1"/>
  <c r="U240" i="1"/>
  <c r="P240" i="1"/>
  <c r="O240" i="1"/>
  <c r="O239" i="1"/>
  <c r="P239" i="1" s="1"/>
  <c r="U239" i="1" s="1"/>
  <c r="O238" i="1"/>
  <c r="P238" i="1" s="1"/>
  <c r="U238" i="1" s="1"/>
  <c r="U237" i="1"/>
  <c r="P237" i="1"/>
  <c r="O237" i="1"/>
  <c r="O236" i="1"/>
  <c r="P236" i="1" s="1"/>
  <c r="U236" i="1" s="1"/>
  <c r="P235" i="1"/>
  <c r="U235" i="1" s="1"/>
  <c r="O235" i="1"/>
  <c r="U234" i="1"/>
  <c r="P234" i="1"/>
  <c r="O234" i="1"/>
  <c r="O233" i="1"/>
  <c r="P233" i="1" s="1"/>
  <c r="U233" i="1" s="1"/>
  <c r="O232" i="1"/>
  <c r="P232" i="1" s="1"/>
  <c r="U232" i="1" s="1"/>
  <c r="O231" i="1"/>
  <c r="P231" i="1" s="1"/>
  <c r="U231" i="1" s="1"/>
  <c r="O230" i="1"/>
  <c r="P230" i="1" s="1"/>
  <c r="U230" i="1" s="1"/>
  <c r="P229" i="1"/>
  <c r="U229" i="1" s="1"/>
  <c r="O229" i="1"/>
  <c r="O228" i="1"/>
  <c r="P228" i="1" s="1"/>
  <c r="U228" i="1" s="1"/>
  <c r="P227" i="1"/>
  <c r="U227" i="1" s="1"/>
  <c r="O227" i="1"/>
  <c r="U226" i="1"/>
  <c r="P226" i="1"/>
  <c r="O226" i="1"/>
  <c r="P225" i="1"/>
  <c r="U225" i="1" s="1"/>
  <c r="P224" i="1"/>
  <c r="U224" i="1" s="1"/>
  <c r="P223" i="1"/>
  <c r="U223" i="1" s="1"/>
  <c r="U222" i="1"/>
  <c r="P222" i="1"/>
  <c r="O221" i="1"/>
  <c r="P221" i="1" s="1"/>
  <c r="U221" i="1" s="1"/>
  <c r="U220" i="1"/>
  <c r="P220" i="1"/>
  <c r="O220" i="1"/>
  <c r="U219" i="1"/>
  <c r="P219" i="1"/>
  <c r="O219" i="1"/>
  <c r="O218" i="1"/>
  <c r="P218" i="1" s="1"/>
  <c r="U218" i="1" s="1"/>
  <c r="U217" i="1"/>
  <c r="P217" i="1"/>
  <c r="O217" i="1"/>
  <c r="O216" i="1"/>
  <c r="P216" i="1" s="1"/>
  <c r="U216" i="1" s="1"/>
  <c r="P215" i="1"/>
  <c r="U215" i="1" s="1"/>
  <c r="O215" i="1"/>
  <c r="U214" i="1"/>
  <c r="P214" i="1"/>
  <c r="O214" i="1"/>
  <c r="O213" i="1"/>
  <c r="P213" i="1" s="1"/>
  <c r="U213" i="1" s="1"/>
  <c r="U212" i="1"/>
  <c r="P212" i="1"/>
  <c r="O212" i="1"/>
  <c r="O211" i="1"/>
  <c r="P211" i="1" s="1"/>
  <c r="U211" i="1" s="1"/>
  <c r="O210" i="1"/>
  <c r="P210" i="1" s="1"/>
  <c r="U210" i="1" s="1"/>
  <c r="U209" i="1"/>
  <c r="P209" i="1"/>
  <c r="O209" i="1"/>
  <c r="O208" i="1"/>
  <c r="P208" i="1" s="1"/>
  <c r="U208" i="1" s="1"/>
  <c r="P207" i="1"/>
  <c r="U207" i="1" s="1"/>
  <c r="O207" i="1"/>
  <c r="U206" i="1"/>
  <c r="P206" i="1"/>
  <c r="O206" i="1"/>
  <c r="O205" i="1"/>
  <c r="P205" i="1" s="1"/>
  <c r="U205" i="1" s="1"/>
  <c r="O204" i="1"/>
  <c r="P204" i="1" s="1"/>
  <c r="U204" i="1" s="1"/>
  <c r="O203" i="1"/>
  <c r="P203" i="1" s="1"/>
  <c r="U203" i="1" s="1"/>
  <c r="O202" i="1"/>
  <c r="P202" i="1" s="1"/>
  <c r="U202" i="1" s="1"/>
  <c r="U201" i="1"/>
  <c r="P201" i="1"/>
  <c r="O201" i="1"/>
  <c r="O200" i="1"/>
  <c r="P200" i="1" s="1"/>
  <c r="U200" i="1" s="1"/>
  <c r="P199" i="1"/>
  <c r="U199" i="1" s="1"/>
  <c r="O199" i="1"/>
  <c r="O198" i="1"/>
  <c r="P198" i="1" s="1"/>
  <c r="U198" i="1" s="1"/>
  <c r="O197" i="1"/>
  <c r="P197" i="1" s="1"/>
  <c r="U197" i="1" s="1"/>
  <c r="U196" i="1"/>
  <c r="P196" i="1"/>
  <c r="O196" i="1"/>
  <c r="O195" i="1"/>
  <c r="P195" i="1" s="1"/>
  <c r="U195" i="1" s="1"/>
  <c r="O194" i="1"/>
  <c r="P194" i="1" s="1"/>
  <c r="U194" i="1" s="1"/>
  <c r="U193" i="1"/>
  <c r="P193" i="1"/>
  <c r="O193" i="1"/>
  <c r="O192" i="1"/>
  <c r="P192" i="1" s="1"/>
  <c r="U192" i="1" s="1"/>
  <c r="P191" i="1"/>
  <c r="U191" i="1" s="1"/>
  <c r="O191" i="1"/>
  <c r="U190" i="1"/>
  <c r="P190" i="1"/>
  <c r="P189" i="1"/>
  <c r="U189" i="1" s="1"/>
  <c r="P188" i="1"/>
  <c r="U188" i="1" s="1"/>
  <c r="U187" i="1"/>
  <c r="P187" i="1"/>
  <c r="U186" i="1"/>
  <c r="P186" i="1"/>
  <c r="P185" i="1"/>
  <c r="U185" i="1" s="1"/>
  <c r="O184" i="1"/>
  <c r="P184" i="1" s="1"/>
  <c r="U184" i="1" s="1"/>
  <c r="U183" i="1"/>
  <c r="P183" i="1"/>
  <c r="O183" i="1"/>
  <c r="O182" i="1"/>
  <c r="P182" i="1" s="1"/>
  <c r="U182" i="1" s="1"/>
  <c r="P181" i="1"/>
  <c r="U181" i="1" s="1"/>
  <c r="O181" i="1"/>
  <c r="O180" i="1"/>
  <c r="P180" i="1" s="1"/>
  <c r="U180" i="1" s="1"/>
  <c r="O179" i="1"/>
  <c r="P179" i="1" s="1"/>
  <c r="U179" i="1" s="1"/>
  <c r="U178" i="1"/>
  <c r="P178" i="1"/>
  <c r="O178" i="1"/>
  <c r="O177" i="1"/>
  <c r="P177" i="1" s="1"/>
  <c r="U177" i="1" s="1"/>
  <c r="P176" i="1"/>
  <c r="U176" i="1" s="1"/>
  <c r="U175" i="1"/>
  <c r="P175" i="1"/>
  <c r="U174" i="1"/>
  <c r="P174" i="1"/>
  <c r="P173" i="1"/>
  <c r="U173" i="1" s="1"/>
  <c r="P172" i="1"/>
  <c r="U172" i="1" s="1"/>
  <c r="U171" i="1"/>
  <c r="P171" i="1"/>
  <c r="U170" i="1"/>
  <c r="P170" i="1"/>
  <c r="P169" i="1"/>
  <c r="U169" i="1" s="1"/>
  <c r="O168" i="1"/>
  <c r="P168" i="1" s="1"/>
  <c r="U168" i="1" s="1"/>
  <c r="P167" i="1"/>
  <c r="U167" i="1" s="1"/>
  <c r="O167" i="1"/>
  <c r="P166" i="1"/>
  <c r="U166" i="1" s="1"/>
  <c r="P165" i="1"/>
  <c r="U165" i="1" s="1"/>
  <c r="U164" i="1"/>
  <c r="T164" i="1"/>
  <c r="P164" i="1"/>
  <c r="O164" i="1"/>
  <c r="O163" i="1"/>
  <c r="P163" i="1" s="1"/>
  <c r="U163" i="1" s="1"/>
  <c r="P162" i="1"/>
  <c r="U162" i="1" s="1"/>
  <c r="O162" i="1"/>
  <c r="O161" i="1"/>
  <c r="P161" i="1" s="1"/>
  <c r="U161" i="1" s="1"/>
  <c r="O160" i="1"/>
  <c r="P160" i="1" s="1"/>
  <c r="U160" i="1" s="1"/>
  <c r="O159" i="1"/>
  <c r="P159" i="1" s="1"/>
  <c r="U159" i="1" s="1"/>
  <c r="O158" i="1"/>
  <c r="P158" i="1" s="1"/>
  <c r="U158" i="1" s="1"/>
  <c r="O157" i="1"/>
  <c r="P157" i="1" s="1"/>
  <c r="U157" i="1" s="1"/>
  <c r="U156" i="1"/>
  <c r="P156" i="1"/>
  <c r="O156" i="1"/>
  <c r="O155" i="1"/>
  <c r="P155" i="1" s="1"/>
  <c r="U155" i="1" s="1"/>
  <c r="P154" i="1"/>
  <c r="U154" i="1" s="1"/>
  <c r="O154" i="1"/>
  <c r="O153" i="1"/>
  <c r="P153" i="1" s="1"/>
  <c r="U153" i="1" s="1"/>
  <c r="O152" i="1"/>
  <c r="P152" i="1" s="1"/>
  <c r="U152" i="1" s="1"/>
  <c r="U151" i="1"/>
  <c r="P151" i="1"/>
  <c r="O151" i="1"/>
  <c r="O150" i="1"/>
  <c r="P150" i="1" s="1"/>
  <c r="U150" i="1" s="1"/>
  <c r="O149" i="1"/>
  <c r="P149" i="1" s="1"/>
  <c r="U149" i="1" s="1"/>
  <c r="U148" i="1"/>
  <c r="P148" i="1"/>
  <c r="O148" i="1"/>
  <c r="O147" i="1"/>
  <c r="P147" i="1" s="1"/>
  <c r="U147" i="1" s="1"/>
  <c r="P146" i="1"/>
  <c r="U146" i="1" s="1"/>
  <c r="O146" i="1"/>
  <c r="U145" i="1"/>
  <c r="P145" i="1"/>
  <c r="O145" i="1"/>
  <c r="O144" i="1"/>
  <c r="P144" i="1" s="1"/>
  <c r="U144" i="1" s="1"/>
  <c r="O143" i="1"/>
  <c r="P143" i="1" s="1"/>
  <c r="U143" i="1" s="1"/>
  <c r="O142" i="1"/>
  <c r="P142" i="1" s="1"/>
  <c r="U142" i="1" s="1"/>
  <c r="O141" i="1"/>
  <c r="P141" i="1" s="1"/>
  <c r="U141" i="1" s="1"/>
  <c r="U140" i="1"/>
  <c r="P140" i="1"/>
  <c r="O140" i="1"/>
  <c r="O139" i="1"/>
  <c r="P139" i="1" s="1"/>
  <c r="U139" i="1" s="1"/>
  <c r="P138" i="1"/>
  <c r="U138" i="1" s="1"/>
  <c r="O138" i="1"/>
  <c r="U137" i="1"/>
  <c r="P137" i="1"/>
  <c r="O137" i="1"/>
  <c r="O136" i="1"/>
  <c r="P136" i="1" s="1"/>
  <c r="U136" i="1" s="1"/>
  <c r="O135" i="1"/>
  <c r="P135" i="1" s="1"/>
  <c r="U135" i="1" s="1"/>
  <c r="O134" i="1"/>
  <c r="P134" i="1" s="1"/>
  <c r="U134" i="1" s="1"/>
  <c r="O133" i="1"/>
  <c r="P133" i="1" s="1"/>
  <c r="U133" i="1" s="1"/>
  <c r="P132" i="1"/>
  <c r="U132" i="1" s="1"/>
  <c r="O131" i="1"/>
  <c r="P131" i="1" s="1"/>
  <c r="U131" i="1" s="1"/>
  <c r="P130" i="1"/>
  <c r="U130" i="1" s="1"/>
  <c r="U129" i="1"/>
  <c r="P129" i="1"/>
  <c r="U128" i="1"/>
  <c r="P128" i="1"/>
  <c r="P127" i="1"/>
  <c r="U127" i="1" s="1"/>
  <c r="P126" i="1"/>
  <c r="U126" i="1" s="1"/>
  <c r="U125" i="1"/>
  <c r="P125" i="1"/>
  <c r="U124" i="1"/>
  <c r="P124" i="1"/>
  <c r="P123" i="1"/>
  <c r="U123" i="1" s="1"/>
  <c r="P122" i="1"/>
  <c r="U122" i="1" s="1"/>
  <c r="U121" i="1"/>
  <c r="P121" i="1"/>
  <c r="U120" i="1"/>
  <c r="P120" i="1"/>
  <c r="P119" i="1"/>
  <c r="U119" i="1" s="1"/>
  <c r="P118" i="1"/>
  <c r="U118" i="1" s="1"/>
  <c r="U117" i="1"/>
  <c r="P117" i="1"/>
  <c r="U116" i="1"/>
  <c r="P116" i="1"/>
  <c r="P115" i="1"/>
  <c r="U115" i="1" s="1"/>
  <c r="P114" i="1"/>
  <c r="U114" i="1" s="1"/>
  <c r="U113" i="1"/>
  <c r="P113" i="1"/>
  <c r="U112" i="1"/>
  <c r="P112" i="1"/>
  <c r="P111" i="1"/>
  <c r="U111" i="1" s="1"/>
  <c r="P110" i="1"/>
  <c r="U110" i="1" s="1"/>
  <c r="U109" i="1"/>
  <c r="P109" i="1"/>
  <c r="U108" i="1"/>
  <c r="P108" i="1"/>
  <c r="U107" i="1"/>
  <c r="P107" i="1"/>
  <c r="O106" i="1"/>
  <c r="P106" i="1" s="1"/>
  <c r="U106" i="1" s="1"/>
  <c r="P105" i="1"/>
  <c r="U105" i="1" s="1"/>
  <c r="P104" i="1"/>
  <c r="U104" i="1" s="1"/>
  <c r="P103" i="1"/>
  <c r="U103" i="1" s="1"/>
  <c r="P102" i="1"/>
  <c r="U102" i="1" s="1"/>
  <c r="P101" i="1"/>
  <c r="U101" i="1" s="1"/>
  <c r="P100" i="1"/>
  <c r="U100" i="1" s="1"/>
  <c r="P99" i="1"/>
  <c r="U99" i="1" s="1"/>
  <c r="P98" i="1"/>
  <c r="U98" i="1" s="1"/>
  <c r="P97" i="1"/>
  <c r="U97" i="1" s="1"/>
  <c r="O97" i="1"/>
  <c r="O96" i="1"/>
  <c r="P96" i="1" s="1"/>
  <c r="U96" i="1" s="1"/>
  <c r="P95" i="1"/>
  <c r="U95" i="1" s="1"/>
  <c r="O95" i="1"/>
  <c r="O94" i="1"/>
  <c r="P94" i="1" s="1"/>
  <c r="U94" i="1" s="1"/>
  <c r="O93" i="1"/>
  <c r="P93" i="1" s="1"/>
  <c r="U93" i="1" s="1"/>
  <c r="U92" i="1"/>
  <c r="P92" i="1"/>
  <c r="O92" i="1"/>
  <c r="O91" i="1"/>
  <c r="P91" i="1" s="1"/>
  <c r="U91" i="1" s="1"/>
  <c r="O90" i="1"/>
  <c r="P90" i="1" s="1"/>
  <c r="U90" i="1" s="1"/>
  <c r="U89" i="1"/>
  <c r="P89" i="1"/>
  <c r="O89" i="1"/>
  <c r="O88" i="1"/>
  <c r="P88" i="1" s="1"/>
  <c r="U88" i="1" s="1"/>
  <c r="P87" i="1"/>
  <c r="U87" i="1" s="1"/>
  <c r="O87" i="1"/>
  <c r="O86" i="1"/>
  <c r="P86" i="1" s="1"/>
  <c r="U86" i="1" s="1"/>
  <c r="O85" i="1"/>
  <c r="P85" i="1" s="1"/>
  <c r="U85" i="1" s="1"/>
  <c r="O84" i="1"/>
  <c r="P84" i="1" s="1"/>
  <c r="U84" i="1" s="1"/>
  <c r="O83" i="1"/>
  <c r="P83" i="1" s="1"/>
  <c r="U83" i="1" s="1"/>
  <c r="O82" i="1"/>
  <c r="P82" i="1" s="1"/>
  <c r="U82" i="1" s="1"/>
  <c r="U81" i="1"/>
  <c r="P81" i="1"/>
  <c r="O81" i="1"/>
  <c r="O80" i="1"/>
  <c r="P80" i="1" s="1"/>
  <c r="U80" i="1" s="1"/>
  <c r="P79" i="1"/>
  <c r="U79" i="1" s="1"/>
  <c r="O79" i="1"/>
  <c r="O78" i="1"/>
  <c r="P78" i="1" s="1"/>
  <c r="U78" i="1" s="1"/>
  <c r="O77" i="1"/>
  <c r="P77" i="1" s="1"/>
  <c r="U77" i="1" s="1"/>
  <c r="O76" i="1"/>
  <c r="P76" i="1" s="1"/>
  <c r="U76" i="1" s="1"/>
  <c r="O75" i="1"/>
  <c r="P75" i="1" s="1"/>
  <c r="U75" i="1" s="1"/>
  <c r="O74" i="1"/>
  <c r="P74" i="1" s="1"/>
  <c r="U74" i="1" s="1"/>
  <c r="U73" i="1"/>
  <c r="P73" i="1"/>
  <c r="O73" i="1"/>
  <c r="O72" i="1"/>
  <c r="P72" i="1" s="1"/>
  <c r="U72" i="1" s="1"/>
  <c r="P71" i="1"/>
  <c r="U71" i="1" s="1"/>
  <c r="O71" i="1"/>
  <c r="O70" i="1"/>
  <c r="P70" i="1" s="1"/>
  <c r="U70" i="1" s="1"/>
  <c r="U69" i="1"/>
  <c r="P69" i="1"/>
  <c r="P68" i="1"/>
  <c r="U68" i="1" s="1"/>
  <c r="U67" i="1"/>
  <c r="P67" i="1"/>
  <c r="P66" i="1"/>
  <c r="U66" i="1" s="1"/>
  <c r="U65" i="1"/>
  <c r="P65" i="1"/>
  <c r="P64" i="1"/>
  <c r="U64" i="1" s="1"/>
  <c r="P63" i="1"/>
  <c r="U63" i="1" s="1"/>
  <c r="P62" i="1"/>
  <c r="U62" i="1" s="1"/>
  <c r="U61" i="1"/>
  <c r="P61" i="1"/>
  <c r="P60" i="1"/>
  <c r="U60" i="1" s="1"/>
  <c r="U59" i="1"/>
  <c r="P59" i="1"/>
  <c r="P58" i="1"/>
  <c r="U58" i="1" s="1"/>
  <c r="P57" i="1"/>
  <c r="U57" i="1" s="1"/>
  <c r="P56" i="1"/>
  <c r="U56" i="1" s="1"/>
  <c r="P55" i="1"/>
  <c r="U55" i="1" s="1"/>
  <c r="P54" i="1"/>
  <c r="U54" i="1" s="1"/>
  <c r="U53" i="1"/>
  <c r="P53" i="1"/>
  <c r="P52" i="1"/>
  <c r="U52" i="1" s="1"/>
  <c r="P51" i="1"/>
  <c r="U51" i="1" s="1"/>
  <c r="U50" i="1"/>
  <c r="P50" i="1"/>
  <c r="U49" i="1"/>
  <c r="P49" i="1"/>
  <c r="P48" i="1"/>
  <c r="U48" i="1" s="1"/>
  <c r="P47" i="1"/>
  <c r="U47" i="1" s="1"/>
  <c r="P46" i="1"/>
  <c r="U46" i="1" s="1"/>
  <c r="P45" i="1"/>
  <c r="U45" i="1" s="1"/>
  <c r="P44" i="1"/>
  <c r="U44" i="1" s="1"/>
  <c r="U43" i="1"/>
  <c r="P43" i="1"/>
  <c r="O43" i="1"/>
  <c r="O42" i="1"/>
  <c r="P42" i="1" s="1"/>
  <c r="U42" i="1" s="1"/>
  <c r="P41" i="1"/>
  <c r="U41" i="1" s="1"/>
  <c r="O41" i="1"/>
  <c r="O40" i="1"/>
  <c r="P40" i="1" s="1"/>
  <c r="U40" i="1" s="1"/>
  <c r="O39" i="1"/>
  <c r="P39" i="1" s="1"/>
  <c r="U39" i="1" s="1"/>
  <c r="O38" i="1"/>
  <c r="P38" i="1" s="1"/>
  <c r="U38" i="1" s="1"/>
  <c r="O37" i="1"/>
  <c r="P37" i="1" s="1"/>
  <c r="U37" i="1" s="1"/>
  <c r="O36" i="1"/>
  <c r="P36" i="1" s="1"/>
  <c r="U36" i="1" s="1"/>
  <c r="U35" i="1"/>
  <c r="P35" i="1"/>
  <c r="O35" i="1"/>
  <c r="P34" i="1"/>
  <c r="U34" i="1" s="1"/>
  <c r="O34" i="1"/>
  <c r="P33" i="1"/>
  <c r="U33" i="1" s="1"/>
  <c r="O33" i="1"/>
  <c r="O32" i="1"/>
  <c r="P32" i="1" s="1"/>
  <c r="U32" i="1" s="1"/>
  <c r="O31" i="1"/>
  <c r="P31" i="1" s="1"/>
  <c r="U31" i="1" s="1"/>
  <c r="O30" i="1"/>
  <c r="P30" i="1" s="1"/>
  <c r="U30" i="1" s="1"/>
  <c r="O29" i="1"/>
  <c r="P29" i="1" s="1"/>
  <c r="U29" i="1" s="1"/>
  <c r="O28" i="1"/>
  <c r="P28" i="1" s="1"/>
  <c r="U28" i="1" s="1"/>
  <c r="U27" i="1"/>
  <c r="P27" i="1"/>
  <c r="O27" i="1"/>
  <c r="O26" i="1"/>
  <c r="P26" i="1" s="1"/>
  <c r="U26" i="1" s="1"/>
  <c r="P25" i="1"/>
  <c r="U25" i="1" s="1"/>
  <c r="O25" i="1"/>
  <c r="O24" i="1"/>
  <c r="P24" i="1" s="1"/>
  <c r="U24" i="1" s="1"/>
  <c r="O23" i="1"/>
  <c r="P23" i="1" s="1"/>
  <c r="U23" i="1" s="1"/>
  <c r="O22" i="1"/>
  <c r="P22" i="1" s="1"/>
  <c r="U22" i="1" s="1"/>
  <c r="O21" i="1"/>
  <c r="P21" i="1" s="1"/>
  <c r="U21" i="1" s="1"/>
  <c r="O20" i="1"/>
  <c r="P20" i="1" s="1"/>
  <c r="U20" i="1" s="1"/>
  <c r="P19" i="1"/>
  <c r="U19" i="1" s="1"/>
  <c r="O19" i="1"/>
  <c r="O18" i="1"/>
  <c r="P18" i="1" s="1"/>
  <c r="U18" i="1" s="1"/>
  <c r="P17" i="1"/>
  <c r="U17" i="1" s="1"/>
  <c r="O17" i="1"/>
  <c r="O16" i="1"/>
  <c r="P16" i="1" s="1"/>
  <c r="U16" i="1" s="1"/>
  <c r="U15" i="1"/>
  <c r="P15" i="1"/>
  <c r="O15" i="1"/>
  <c r="O14" i="1"/>
  <c r="P14" i="1" s="1"/>
  <c r="U14" i="1" s="1"/>
  <c r="O13" i="1"/>
  <c r="P13" i="1" s="1"/>
  <c r="U13" i="1" s="1"/>
  <c r="O12" i="1"/>
  <c r="P12" i="1" s="1"/>
  <c r="U12" i="1" s="1"/>
  <c r="P11" i="1"/>
  <c r="U11" i="1" s="1"/>
  <c r="O11" i="1"/>
  <c r="O10" i="1"/>
  <c r="P10" i="1" s="1"/>
  <c r="U10" i="1" s="1"/>
  <c r="P9" i="1"/>
  <c r="U9" i="1" s="1"/>
  <c r="O9" i="1"/>
  <c r="O8" i="1"/>
  <c r="P8" i="1" s="1"/>
  <c r="U8" i="1" s="1"/>
  <c r="O7" i="1"/>
  <c r="P7" i="1" s="1"/>
  <c r="U7" i="1" s="1"/>
  <c r="O6" i="1"/>
  <c r="P6" i="1" s="1"/>
  <c r="U6" i="1" s="1"/>
  <c r="O5" i="1"/>
  <c r="P5" i="1" s="1"/>
  <c r="U5" i="1" s="1"/>
  <c r="O4" i="1"/>
  <c r="P4" i="1" s="1"/>
  <c r="U4" i="1" s="1"/>
  <c r="P3" i="1"/>
  <c r="U3" i="1" s="1"/>
  <c r="O3" i="1"/>
  <c r="U2" i="1"/>
  <c r="O2" i="1"/>
  <c r="P2" i="1" s="1"/>
</calcChain>
</file>

<file path=xl/sharedStrings.xml><?xml version="1.0" encoding="utf-8"?>
<sst xmlns="http://schemas.openxmlformats.org/spreadsheetml/2006/main" count="9405" uniqueCount="2132">
  <si>
    <t>DOCUMENT NO.</t>
  </si>
  <si>
    <t>DOC. DATE</t>
  </si>
  <si>
    <t>UNIT</t>
  </si>
  <si>
    <t>UNIT DESCRIPTION</t>
  </si>
  <si>
    <t>REF. UNIT</t>
  </si>
  <si>
    <t>REF. UNIT DESCRIPTION</t>
  </si>
  <si>
    <t>CUSTOMER</t>
  </si>
  <si>
    <t>CUSTOMER DESC.</t>
  </si>
  <si>
    <t>ITEM</t>
  </si>
  <si>
    <t>REV.</t>
  </si>
  <si>
    <t>ITEM DESCRIPTION</t>
  </si>
  <si>
    <t>SALES UOM</t>
  </si>
  <si>
    <t>SALES PRICE</t>
  </si>
  <si>
    <t>CURRENCY</t>
  </si>
  <si>
    <t>USD/EUR value</t>
  </si>
  <si>
    <t>Total price</t>
  </si>
  <si>
    <t>TAX SET DESCRIPTION</t>
  </si>
  <si>
    <t>EFF. FROM</t>
  </si>
  <si>
    <t>EFF. TO</t>
  </si>
  <si>
    <t>Sales Plan Qty</t>
  </si>
  <si>
    <t>Sale Plan Value</t>
  </si>
  <si>
    <t>970</t>
  </si>
  <si>
    <t>DCD</t>
  </si>
  <si>
    <t>DIE CASTING DIVISION</t>
  </si>
  <si>
    <t>C00001</t>
  </si>
  <si>
    <t>AMPHENOL OMNICONNECT INDIA PVT. LTD</t>
  </si>
  <si>
    <t>A01D03720000</t>
  </si>
  <si>
    <t>LOW BAND METALLIC DIPOLE IM01014 REV B</t>
  </si>
  <si>
    <t>NOS</t>
  </si>
  <si>
    <t>INR</t>
  </si>
  <si>
    <t/>
  </si>
  <si>
    <t>4162</t>
  </si>
  <si>
    <t>C00459</t>
  </si>
  <si>
    <t>APTIV CONNECTION SYSTEMS INDIA PVT LTD</t>
  </si>
  <si>
    <t>C00459TM0372526PM2074</t>
  </si>
  <si>
    <t>TWO CAVITY INJECTION MOULD FOR INLET EMERGENCY CABLE HOLDER</t>
  </si>
  <si>
    <t>SET</t>
  </si>
  <si>
    <t>840</t>
  </si>
  <si>
    <t>C00013</t>
  </si>
  <si>
    <t>ARGO-HYTOS PVT LTD</t>
  </si>
  <si>
    <t>A13D01340000</t>
  </si>
  <si>
    <t>FILTER HEAD (E103.0001)</t>
  </si>
  <si>
    <t>983</t>
  </si>
  <si>
    <t>A13D01400000</t>
  </si>
  <si>
    <t>FILTER HEAD (ES.053),17017300</t>
  </si>
  <si>
    <t>667</t>
  </si>
  <si>
    <t>A13D01530000</t>
  </si>
  <si>
    <t>FILTER HEAD (E103.0002) DRAWING  NO# 44413000</t>
  </si>
  <si>
    <t>972</t>
  </si>
  <si>
    <t>A13D03750000</t>
  </si>
  <si>
    <t>FILTER HEAD E103.0184 (40677300 REV.0)</t>
  </si>
  <si>
    <t>3002</t>
  </si>
  <si>
    <t>A13D03880000</t>
  </si>
  <si>
    <t xml:space="preserve">FILTER HEAD . 2118 ( E103.2118 )	</t>
  </si>
  <si>
    <t>350</t>
  </si>
  <si>
    <t>A13D134B0000</t>
  </si>
  <si>
    <t>FILTER HEAD-E2118 (E103.0179) [28794200]</t>
  </si>
  <si>
    <t>2965</t>
  </si>
  <si>
    <t>A13D153A0000</t>
  </si>
  <si>
    <t>FILTER HEAD E103 (40134500 / DPR-W-152-049)</t>
  </si>
  <si>
    <t>3100</t>
  </si>
  <si>
    <t>A13D01540000</t>
  </si>
  <si>
    <t>FILTER HEAD (40134400)</t>
  </si>
  <si>
    <t>3110</t>
  </si>
  <si>
    <t>C000130D03970000</t>
  </si>
  <si>
    <t>FILTER HEAD E103.0169-(40002900)</t>
  </si>
  <si>
    <t>3128</t>
  </si>
  <si>
    <t>C00013SUPPL02122</t>
  </si>
  <si>
    <t>SUPPLEMENTARY INVOICE FOR PRICE DIFFERENCE FROM THE PERIOD OF 1ST JUL-22 TO 15TH SEP 2022</t>
  </si>
  <si>
    <t>3172</t>
  </si>
  <si>
    <t>C00013D416002122</t>
  </si>
  <si>
    <t>JCB FILTER COVER (34380400)</t>
  </si>
  <si>
    <t>3173</t>
  </si>
  <si>
    <t>C00013D417002122</t>
  </si>
  <si>
    <t>JCB FILTER HEAD (34381900)</t>
  </si>
  <si>
    <t>3176</t>
  </si>
  <si>
    <t>C000130D42102223</t>
  </si>
  <si>
    <t>FILTER HEAD (44413100)_E103.0004</t>
  </si>
  <si>
    <t>3175</t>
  </si>
  <si>
    <t>C000130D42202223</t>
  </si>
  <si>
    <t>FILTER HEAD (44413400)_E103.0156</t>
  </si>
  <si>
    <t>3177</t>
  </si>
  <si>
    <t>C000130D41802223</t>
  </si>
  <si>
    <t>FILTER HEAD (44411200)_E103.0151</t>
  </si>
  <si>
    <t>3178</t>
  </si>
  <si>
    <t>C000130D41902223</t>
  </si>
  <si>
    <t>FILTER HEAD (44411300)_E103.0165</t>
  </si>
  <si>
    <t>3179</t>
  </si>
  <si>
    <t>C000130D42002223</t>
  </si>
  <si>
    <t>FILTER HEAD (44413300)_E103.0010</t>
  </si>
  <si>
    <t>3181</t>
  </si>
  <si>
    <t>C000130D42302223</t>
  </si>
  <si>
    <t>FILTER HEAD (44418500)_E103.0009</t>
  </si>
  <si>
    <t>3182</t>
  </si>
  <si>
    <t>C000130D42402223</t>
  </si>
  <si>
    <t>FILTER HEAD (44418700)_E103.0161</t>
  </si>
  <si>
    <t>3183</t>
  </si>
  <si>
    <t>C000130D42502223</t>
  </si>
  <si>
    <t>FILTER HEAD (44418900)_E103.0166</t>
  </si>
  <si>
    <t>3184</t>
  </si>
  <si>
    <t>C000130D42602223</t>
  </si>
  <si>
    <t> FILTER HEAD (44413200)_E103.0006</t>
  </si>
  <si>
    <t>3226</t>
  </si>
  <si>
    <t>C000130D04620000</t>
  </si>
  <si>
    <t>FILTER HEAD RST 308.0201 (44248000)</t>
  </si>
  <si>
    <t>3227</t>
  </si>
  <si>
    <t>C000130D04630000</t>
  </si>
  <si>
    <t>FILTER HEAD (CASTING) RST 308.2201 (44247800)</t>
  </si>
  <si>
    <t>3236</t>
  </si>
  <si>
    <t>C000130D04600000</t>
  </si>
  <si>
    <t>COVER WITH ANODIZING (45851800)</t>
  </si>
  <si>
    <t>3235</t>
  </si>
  <si>
    <t>C000130D04610000</t>
  </si>
  <si>
    <t>SLEEVE WITH ANODIZING (45852600)</t>
  </si>
  <si>
    <t>4006</t>
  </si>
  <si>
    <t>C000130D04830000</t>
  </si>
  <si>
    <t>FILTER HEAD (44411000) CASTING _E103.2116 REV 2</t>
  </si>
  <si>
    <t>4029</t>
  </si>
  <si>
    <t>C00013D443002223</t>
  </si>
  <si>
    <t>FILTER HEAD (42465200)</t>
  </si>
  <si>
    <t>4035</t>
  </si>
  <si>
    <t>C00013D05030000</t>
  </si>
  <si>
    <t>JCB-COVER (45852500) WITHOUT ANODIZING</t>
  </si>
  <si>
    <t>4036</t>
  </si>
  <si>
    <t>C00013D05040000</t>
  </si>
  <si>
    <t>JCB-SLEEVE (45852100) WITHOUT ANODIZING</t>
  </si>
  <si>
    <t>4039</t>
  </si>
  <si>
    <t>C00013D05000000</t>
  </si>
  <si>
    <t>FILTER HEAD (E 103.0154) 45928000</t>
  </si>
  <si>
    <t>4037</t>
  </si>
  <si>
    <t>C00013D05010000</t>
  </si>
  <si>
    <t>FILTER HEAD (E 103.0153) 45928200</t>
  </si>
  <si>
    <t>4038</t>
  </si>
  <si>
    <t>C00013D05020000</t>
  </si>
  <si>
    <t>FILTER HEAD (E 103.0013) 45928300</t>
  </si>
  <si>
    <t>4043</t>
  </si>
  <si>
    <t>4044</t>
  </si>
  <si>
    <t>4041</t>
  </si>
  <si>
    <t>4042</t>
  </si>
  <si>
    <t>4045</t>
  </si>
  <si>
    <t>4049</t>
  </si>
  <si>
    <t>4160</t>
  </si>
  <si>
    <t>A13DT55000000</t>
  </si>
  <si>
    <t>FILTER HEAD - 47007237 - REV-00</t>
  </si>
  <si>
    <t>4180</t>
  </si>
  <si>
    <t>C00013D0549002122</t>
  </si>
  <si>
    <t>897</t>
  </si>
  <si>
    <t>C00015</t>
  </si>
  <si>
    <t>AVL SCHRICK GMBH</t>
  </si>
  <si>
    <t>A15D01940000</t>
  </si>
  <si>
    <t>COVER ROCKER ARM MACHINED (0644-21535-001-AB)</t>
  </si>
  <si>
    <t>EUR</t>
  </si>
  <si>
    <t>347</t>
  </si>
  <si>
    <t>A15D01950000</t>
  </si>
  <si>
    <t>OIL FILTER ADAPTOR (0644-23010-001AA)</t>
  </si>
  <si>
    <t>3079</t>
  </si>
  <si>
    <t>C00151</t>
  </si>
  <si>
    <t>BAKER HUGHES SENSING &amp; INSPECTION (CHANGZHOU) CO., LTD</t>
  </si>
  <si>
    <t>G16D01310000</t>
  </si>
  <si>
    <t>HOUSING, REAR ALUMINIUM REV D (421-1809)</t>
  </si>
  <si>
    <t>USD</t>
  </si>
  <si>
    <t>3078</t>
  </si>
  <si>
    <t>G16D01320000</t>
  </si>
  <si>
    <t>HOUSING, FRONT ALUMINIUM REV D (421-1810)</t>
  </si>
  <si>
    <t>178</t>
  </si>
  <si>
    <t>C00038</t>
  </si>
  <si>
    <t>BING POWER SYSTEMS GMBH</t>
  </si>
  <si>
    <t>B09D01880000</t>
  </si>
  <si>
    <t>GEHAUSE (114-397-45-010-04)</t>
  </si>
  <si>
    <t>180</t>
  </si>
  <si>
    <t>B09D01890000</t>
  </si>
  <si>
    <t>GEHAUSE (114-397-45-030-04)</t>
  </si>
  <si>
    <t>179</t>
  </si>
  <si>
    <t>B09D01900000</t>
  </si>
  <si>
    <t>GEHAUSE (114-398-45-010-04)</t>
  </si>
  <si>
    <t>181</t>
  </si>
  <si>
    <t>B09D01920000</t>
  </si>
  <si>
    <t>GEHAUSE (114-398-45-030-04)</t>
  </si>
  <si>
    <t>764</t>
  </si>
  <si>
    <t>B09D01930000</t>
  </si>
  <si>
    <t>GEHAUSE (114-220-26-010-07)</t>
  </si>
  <si>
    <t>176</t>
  </si>
  <si>
    <t>B09D01990000</t>
  </si>
  <si>
    <t>VALVE HOLDER (127 – 093)</t>
  </si>
  <si>
    <t>328</t>
  </si>
  <si>
    <t>B09D02460000</t>
  </si>
  <si>
    <t>VENTIL HALTER (127-096-00)</t>
  </si>
  <si>
    <t>183</t>
  </si>
  <si>
    <t>B09D02540000</t>
  </si>
  <si>
    <t>GEHAUSE (144-366-34-02)</t>
  </si>
  <si>
    <t>445</t>
  </si>
  <si>
    <t>B09D02550000</t>
  </si>
  <si>
    <t>GEHAUSE (144-367-34-02)</t>
  </si>
  <si>
    <t>444</t>
  </si>
  <si>
    <t>B09D02750000</t>
  </si>
  <si>
    <t>PUMPEN DECKEL-CASTING (127-063-09)</t>
  </si>
  <si>
    <t>551</t>
  </si>
  <si>
    <t>B09D03000000</t>
  </si>
  <si>
    <t>GEHAUSE-HOUSING (114-806-05)</t>
  </si>
  <si>
    <t>883</t>
  </si>
  <si>
    <t>B09D199B0000</t>
  </si>
  <si>
    <t>VALVE HOLDER (127 – 095)</t>
  </si>
  <si>
    <t>443</t>
  </si>
  <si>
    <t>B09D275A0000</t>
  </si>
  <si>
    <t>PUMPEN DECKEL-MACHINED (127-065-05)</t>
  </si>
  <si>
    <t>552</t>
  </si>
  <si>
    <t>B09D300A0000</t>
  </si>
  <si>
    <t>GEHAUSE-HOUSING (114-807-05)</t>
  </si>
  <si>
    <t>4061</t>
  </si>
  <si>
    <t>C00038D050900000</t>
  </si>
  <si>
    <t>xxxxxxx</t>
  </si>
  <si>
    <t>4062</t>
  </si>
  <si>
    <t>C00038D051000000</t>
  </si>
  <si>
    <t>4076</t>
  </si>
  <si>
    <t>C00038D051400000</t>
  </si>
  <si>
    <t>CARBURETOR HOUSING RAW CASTING (113-306-32-30) VERGASERGEHAUSE ROHTEIL</t>
  </si>
  <si>
    <t>4075</t>
  </si>
  <si>
    <t>C00038D051500000</t>
  </si>
  <si>
    <t>HALTERING (126-790-09)</t>
  </si>
  <si>
    <t>4074</t>
  </si>
  <si>
    <t>C00038D051600000</t>
  </si>
  <si>
    <t>START HOUSING (127-210-14)</t>
  </si>
  <si>
    <t>4091</t>
  </si>
  <si>
    <t>C00038D05230000</t>
  </si>
  <si>
    <t>CARBURETOR HOUSING PRE MACHINING R (22259-00-00)</t>
  </si>
  <si>
    <t>4092</t>
  </si>
  <si>
    <t>C00038D05240000</t>
  </si>
  <si>
    <t>CARBURETOR HOUSING PRE MACHINING L (22260-00-00)</t>
  </si>
  <si>
    <t>4119</t>
  </si>
  <si>
    <t>C00038D05300000</t>
  </si>
  <si>
    <t>ADAPTER PLATE MACHINED (22547-00-00)</t>
  </si>
  <si>
    <t>3999</t>
  </si>
  <si>
    <t>C00478</t>
  </si>
  <si>
    <t>BOSCH AUTOMOTIVE ELECTRONICS INIDA PVT LTD</t>
  </si>
  <si>
    <t>B02D03140000</t>
  </si>
  <si>
    <t>ARM HEAD RHD B562 (019804M293)</t>
  </si>
  <si>
    <t>4073</t>
  </si>
  <si>
    <t>C00492DT49400000</t>
  </si>
  <si>
    <t>FASTENING PART (33921250GC) REV 01</t>
  </si>
  <si>
    <t>4115</t>
  </si>
  <si>
    <t>C00492D04950000</t>
  </si>
  <si>
    <t>ARM HEAD FASTENING PART (33921250GA)</t>
  </si>
  <si>
    <t>4116</t>
  </si>
  <si>
    <t>C00492D04990000</t>
  </si>
  <si>
    <t>ARM HEAD FASTENING PART (33921250K1)</t>
  </si>
  <si>
    <t>3060</t>
  </si>
  <si>
    <t>C00031</t>
  </si>
  <si>
    <t>BOSCH ELECTRICAL DRIVES INDIA P LTD</t>
  </si>
  <si>
    <t>B02D02140000</t>
  </si>
  <si>
    <t>HOUSING–BIG DS H79 (019804L091)</t>
  </si>
  <si>
    <t>3061</t>
  </si>
  <si>
    <t>B02D02150000</t>
  </si>
  <si>
    <t>HOUSING-SMALL PS H79 (019804L097)</t>
  </si>
  <si>
    <t>3055</t>
  </si>
  <si>
    <t>B02D02570000</t>
  </si>
  <si>
    <t>GEAR HOUSING  (1395 107 265)</t>
  </si>
  <si>
    <t>3056</t>
  </si>
  <si>
    <t>B02D02670000</t>
  </si>
  <si>
    <t>GEAR HOUSING-B515  (1395 107 262)</t>
  </si>
  <si>
    <t>3057</t>
  </si>
  <si>
    <t>B02D02680000</t>
  </si>
  <si>
    <t>GEAR HOUSING-B517(1395 107 266)</t>
  </si>
  <si>
    <t>3059</t>
  </si>
  <si>
    <t>B02D02690000</t>
  </si>
  <si>
    <t>GEAR HOUSING-BA RH (0399.401.539)</t>
  </si>
  <si>
    <t>3058</t>
  </si>
  <si>
    <t>B02D02700000</t>
  </si>
  <si>
    <t>GEAR HOUSING-BA LH (0399 401 538)</t>
  </si>
  <si>
    <t>3062</t>
  </si>
  <si>
    <t>B02D02870000</t>
  </si>
  <si>
    <t>PIVOT HOUSING MSIL (019804L245)</t>
  </si>
  <si>
    <t>3069</t>
  </si>
  <si>
    <t>B02D02980000</t>
  </si>
  <si>
    <t>GEAR HOUSING J92 (0198 04C 074)</t>
  </si>
  <si>
    <t>3054</t>
  </si>
  <si>
    <t>B02D02990000</t>
  </si>
  <si>
    <t>GEAR HOUSING B562 (019804C075)</t>
  </si>
  <si>
    <t>3065</t>
  </si>
  <si>
    <t>3063</t>
  </si>
  <si>
    <t>B02D03210000</t>
  </si>
  <si>
    <t>B515 ARM HEAD (019804M078)</t>
  </si>
  <si>
    <t>3068</t>
  </si>
  <si>
    <t>B02D03260000</t>
  </si>
  <si>
    <t>MOTOR BRACKET ASSEMBLY B515 (3391.095.678)</t>
  </si>
  <si>
    <t>3066</t>
  </si>
  <si>
    <t>B02D03450000</t>
  </si>
  <si>
    <t>PIVOT HOUSING DS B515 (3390793611)</t>
  </si>
  <si>
    <t>3067</t>
  </si>
  <si>
    <t>B02D03460000</t>
  </si>
  <si>
    <t>PIVOT HOUSING PS B515 (3390793615)</t>
  </si>
  <si>
    <t>3070</t>
  </si>
  <si>
    <t>B02D03770000</t>
  </si>
  <si>
    <t>ARM HEAD TATA Q501 (3 392 127 031)</t>
  </si>
  <si>
    <t>3003</t>
  </si>
  <si>
    <t>B02D03890000</t>
  </si>
  <si>
    <t>GEAR HOUSING WSM - I ( 399401533 )</t>
  </si>
  <si>
    <t>3071</t>
  </si>
  <si>
    <t>B02D03910000</t>
  </si>
  <si>
    <t>YNC GEAR HOUSING -MSIL ( 019804C135 REV 1 )</t>
  </si>
  <si>
    <t>3064</t>
  </si>
  <si>
    <t>B02D314A0000</t>
  </si>
  <si>
    <t>ARM HEAD LHD B562 (019804M301)</t>
  </si>
  <si>
    <t>3103</t>
  </si>
  <si>
    <t>B02TD0291920</t>
  </si>
  <si>
    <t>DIE MOTOR BRACKET B515 (3RD CAV )-(3391095678)</t>
  </si>
  <si>
    <t>3104</t>
  </si>
  <si>
    <t>B02TD0301920</t>
  </si>
  <si>
    <t>DIE PIVOT HOUSING DS (3RD CAV)-(3390793611)</t>
  </si>
  <si>
    <t>3105</t>
  </si>
  <si>
    <t>B02TD0311920</t>
  </si>
  <si>
    <t>DIE PIVOT HOUSING PS (3RD CAV) (3390793615)</t>
  </si>
  <si>
    <t>3120</t>
  </si>
  <si>
    <t>C00031DSUPP2021</t>
  </si>
  <si>
    <t>SPECIAL COSTS FOR 0198.04M.301 ARM HEAD LHD B562</t>
  </si>
  <si>
    <t>3216</t>
  </si>
  <si>
    <t>C00438SUPP02223</t>
  </si>
  <si>
    <t>ENGINEERING MAINT. LC</t>
  </si>
  <si>
    <t>4040</t>
  </si>
  <si>
    <t>C00503</t>
  </si>
  <si>
    <t>COMPA</t>
  </si>
  <si>
    <t>C00492D49000000</t>
  </si>
  <si>
    <t>FASTENING PART (3 392 125 0GM) REV 1</t>
  </si>
  <si>
    <t>4053</t>
  </si>
  <si>
    <t>C00492DT49600000</t>
  </si>
  <si>
    <t>ARM HEAD FASTENING PART (33921250GP) REV 01</t>
  </si>
  <si>
    <t>4054</t>
  </si>
  <si>
    <t>C00492DT49800000</t>
  </si>
  <si>
    <t>ARM HEAD FASTENING PART (33921250GX) REV 01</t>
  </si>
  <si>
    <t>4107</t>
  </si>
  <si>
    <t>C00492D04960000</t>
  </si>
  <si>
    <t>ARM HEAD FASTENING PART (33921250GP)</t>
  </si>
  <si>
    <t>4108</t>
  </si>
  <si>
    <t>ROL</t>
  </si>
  <si>
    <t>4109</t>
  </si>
  <si>
    <t>4110</t>
  </si>
  <si>
    <t>4178</t>
  </si>
  <si>
    <t>C00492D04970000</t>
  </si>
  <si>
    <t>ARM HEAD FASTENING PART (33921250GN)</t>
  </si>
  <si>
    <t>3162</t>
  </si>
  <si>
    <t>C00067</t>
  </si>
  <si>
    <t>DOITER CASTINGS</t>
  </si>
  <si>
    <t>D14D03900000</t>
  </si>
  <si>
    <t>SOLENOID VALVE BODY IMPREGNATION</t>
  </si>
  <si>
    <t>990</t>
  </si>
  <si>
    <t>C00057</t>
  </si>
  <si>
    <t>DOVER FUELING SOLUTIONS UK LTD</t>
  </si>
  <si>
    <t>D09D291C0000</t>
  </si>
  <si>
    <t>COVER DOME COVER, LOW, IMPREGNATED (WM011644-0003)</t>
  </si>
  <si>
    <t>991</t>
  </si>
  <si>
    <t>W02D03130000</t>
  </si>
  <si>
    <t>RAW CASTING, COUPLING FOR DOME COVER, LOW (WM018102 / REV 06)</t>
  </si>
  <si>
    <t>992</t>
  </si>
  <si>
    <t>W03D03200000</t>
  </si>
  <si>
    <t>COUPLING STRAIGHT BUMP IMPREGNATED (WM058510-0002)</t>
  </si>
  <si>
    <t>993</t>
  </si>
  <si>
    <t>W03D03360000</t>
  </si>
  <si>
    <t>T- COUPLING (WM059756-0002 Rev.05)</t>
  </si>
  <si>
    <t>2964</t>
  </si>
  <si>
    <t>W03D323B0000</t>
  </si>
  <si>
    <t>COVER FOR IMETER DUO (	WM056446-0003)</t>
  </si>
  <si>
    <t>1036</t>
  </si>
  <si>
    <t>W03D343A0000</t>
  </si>
  <si>
    <t>COVER, DOME DUO,IMPREGNATED REV:10 (WM063426-0004)</t>
  </si>
  <si>
    <t>994</t>
  </si>
  <si>
    <t>W03D349A0000</t>
  </si>
  <si>
    <t>COVER, DOME DUO WITH COVER, ATC REV:2 (WM066093-0004)</t>
  </si>
  <si>
    <t>987</t>
  </si>
  <si>
    <t>W06D03120000</t>
  </si>
  <si>
    <t>FILTER POT ASSEMBLY (WM049971-0005) INLET SUCTION</t>
  </si>
  <si>
    <t>3092</t>
  </si>
  <si>
    <t>W06D03400000</t>
  </si>
  <si>
    <t>COVER, DOME, NO ATC REV:10 (WM063432-0007)</t>
  </si>
  <si>
    <t>2992</t>
  </si>
  <si>
    <t>W06D03410000</t>
  </si>
  <si>
    <t>COVER, DOME SINGLE REV:07 (WM063430-0001)</t>
  </si>
  <si>
    <t>2990</t>
  </si>
  <si>
    <t>W06D03420000</t>
  </si>
  <si>
    <t>COUPLING, TUBE ADAPTER REV.1 IMPRE (WU008279-0002)</t>
  </si>
  <si>
    <t>3030</t>
  </si>
  <si>
    <t>W06D03500000</t>
  </si>
  <si>
    <t>INLET, SUCTION, CHECK VALVE, REV:0 (WM066689-0007)</t>
  </si>
  <si>
    <t>986</t>
  </si>
  <si>
    <t>W06D03510000</t>
  </si>
  <si>
    <t>INLET, SUCTION, CHECK VALVE, REV:0 (WM066689-0005)</t>
  </si>
  <si>
    <t>2986</t>
  </si>
  <si>
    <t>W06D03840000</t>
  </si>
  <si>
    <t>CHECK VALVE (WM059241  -  '1')</t>
  </si>
  <si>
    <t>2991</t>
  </si>
  <si>
    <t>W06D03850000</t>
  </si>
  <si>
    <t>INLET,SUCTION,DUAL CHECK VALVE REV :1(WM066689-0006)</t>
  </si>
  <si>
    <t>985</t>
  </si>
  <si>
    <t>W06D312C0000</t>
  </si>
  <si>
    <t>INLET SUCTION,CHECK VALVE,NPT(WM049971-0006 REV04)</t>
  </si>
  <si>
    <t>3091</t>
  </si>
  <si>
    <t>W06D340A0000</t>
  </si>
  <si>
    <t>COVER,DOME, WITH ATC REV:11 (WM063432-0004)</t>
  </si>
  <si>
    <t>2989</t>
  </si>
  <si>
    <t>W06D341A0000</t>
  </si>
  <si>
    <t>COVER, DOME SINGLE,WITH ATC REV.07 (WM063430-0003)</t>
  </si>
  <si>
    <t>3099</t>
  </si>
  <si>
    <t>W06D03390000</t>
  </si>
  <si>
    <t>COVER, DOME DUO WITH COVER (WM066093-0007)</t>
  </si>
  <si>
    <t>3123</t>
  </si>
  <si>
    <t>C00057TD0022021</t>
  </si>
  <si>
    <t xml:space="preserve">COUPLING TUBE ADAPTOR ECN	</t>
  </si>
  <si>
    <t>3217</t>
  </si>
  <si>
    <t>C00057D456002223</t>
  </si>
  <si>
    <t>RAW CASTING, COUPLING, FOR DOME (WM018102-0001)</t>
  </si>
  <si>
    <t>4131</t>
  </si>
  <si>
    <t>W06D03430000</t>
  </si>
  <si>
    <t>COVER, DOME DUO, REV.10 IMPREGNATE (WM063426-0007)</t>
  </si>
  <si>
    <t>4163</t>
  </si>
  <si>
    <t>C00057D05590000</t>
  </si>
  <si>
    <t>Cover Dome DUO Impregnated ATC REV - 13 - WM063426-0004</t>
  </si>
  <si>
    <t>4164</t>
  </si>
  <si>
    <t>C00057D05600000</t>
  </si>
  <si>
    <t>COVER DOME DUO IMPREGNATED NO ATC REV - 13 - WM063426-0007</t>
  </si>
  <si>
    <t>3207</t>
  </si>
  <si>
    <t>C00455</t>
  </si>
  <si>
    <t>DOVER INDIA PVT. LTD</t>
  </si>
  <si>
    <t>C00455D004412223</t>
  </si>
  <si>
    <t>ASSY,NV4000 NORMAL VENT (PV VENT ASSY,3PSIG PRESSURE,1PSIG VAC, 1-5/8-12 UN THREADS (NV4000(1 NV4000- L-IN)</t>
  </si>
  <si>
    <t>504</t>
  </si>
  <si>
    <t>C00055</t>
  </si>
  <si>
    <t>DRESSER WAYNE INC. (USA)</t>
  </si>
  <si>
    <t>D02D02910000</t>
  </si>
  <si>
    <t>X FLOW DOME MACHININED (WM011644)-REV 12</t>
  </si>
  <si>
    <t>3131</t>
  </si>
  <si>
    <t>C00066</t>
  </si>
  <si>
    <t>DY AUTO INDIA PVT. LTD.</t>
  </si>
  <si>
    <t>C00066D406212200</t>
  </si>
  <si>
    <t>SLEEVE (QX LD, xALDC 12) 111020701</t>
  </si>
  <si>
    <t>3132</t>
  </si>
  <si>
    <t>C00066D407212200</t>
  </si>
  <si>
    <t>SLEEVE (QX LP, xALDC 12) 111020801</t>
  </si>
  <si>
    <t>3142</t>
  </si>
  <si>
    <t>C00066D402002122</t>
  </si>
  <si>
    <t>FRAME (IG, xALDC 12, ) 10A026202</t>
  </si>
  <si>
    <t>3170</t>
  </si>
  <si>
    <t>C00066D408212200</t>
  </si>
  <si>
    <t>FRAME LHD (AE, xALDC 12, ) 10A025501B</t>
  </si>
  <si>
    <t>3171</t>
  </si>
  <si>
    <t>C00066TD00162122</t>
  </si>
  <si>
    <t>1+1 CAV FAMILY DIE FOR QXI LHD SLEEVE DR+PS (111020701+111020801) + TRIMMING TOOL</t>
  </si>
  <si>
    <t>3215</t>
  </si>
  <si>
    <t>3221</t>
  </si>
  <si>
    <t>C00066D445002223</t>
  </si>
  <si>
    <t>FRAME RHD (AE, xALDC 12, ) 10A025801</t>
  </si>
  <si>
    <t>3232</t>
  </si>
  <si>
    <t>C00066D468002324</t>
  </si>
  <si>
    <t>SLEEVE (SU2i RD, xALDC 12) 111023100A</t>
  </si>
  <si>
    <t>3233</t>
  </si>
  <si>
    <t>C00066D469002324</t>
  </si>
  <si>
    <t>SLEEVE (SU2i RP, xALDC 12 ) 111023200A</t>
  </si>
  <si>
    <t>3231</t>
  </si>
  <si>
    <t>C00066D470002324</t>
  </si>
  <si>
    <t>SLEEVE DR (SU2i LD,xALDC 12) 111023500</t>
  </si>
  <si>
    <t>3230</t>
  </si>
  <si>
    <t>C00066D471002324</t>
  </si>
  <si>
    <t>SLEEVE (SU2i LP,xALDC 12) 111023600</t>
  </si>
  <si>
    <t>3240</t>
  </si>
  <si>
    <t>C00066D464002324</t>
  </si>
  <si>
    <t>SLEEVE (QX RD, xALDC 12) 111021401A</t>
  </si>
  <si>
    <t>3241</t>
  </si>
  <si>
    <t>C00066D465002324</t>
  </si>
  <si>
    <t>SLEEVE (QX RP, xALDC 12) 111021501A</t>
  </si>
  <si>
    <t>3242</t>
  </si>
  <si>
    <t>C00066D466002324</t>
  </si>
  <si>
    <t>SLEEVE RD (AI3 xALDC 12) 111021000</t>
  </si>
  <si>
    <t>3243</t>
  </si>
  <si>
    <t>C00066D467002324</t>
  </si>
  <si>
    <t>SLEEVE RP (AI3 xALDC 12) 111021100</t>
  </si>
  <si>
    <t>3244</t>
  </si>
  <si>
    <t>C00066D476002324</t>
  </si>
  <si>
    <t>MOTOR HEAT SINK COVER (GE844-AY0-00) REV1</t>
  </si>
  <si>
    <t>4002</t>
  </si>
  <si>
    <t>C00066DT479002324</t>
  </si>
  <si>
    <t>BI3 P3 RHD (10A030800)</t>
  </si>
  <si>
    <t>4003</t>
  </si>
  <si>
    <t>C00066DT480002324</t>
  </si>
  <si>
    <t>BI3 P3 LHD (10A030900)</t>
  </si>
  <si>
    <t>4022</t>
  </si>
  <si>
    <t>C00066DT48900000</t>
  </si>
  <si>
    <t>COVER (107012501) REV 1</t>
  </si>
  <si>
    <t>4026</t>
  </si>
  <si>
    <t>C00066D480002324</t>
  </si>
  <si>
    <t>FRAME (BI3 PE LHD, xALDC 12, ) 10A030900</t>
  </si>
  <si>
    <t>4027</t>
  </si>
  <si>
    <t>C00066D479002324</t>
  </si>
  <si>
    <t>FRAME (BI3 PE RHD, xALDC 12) 10A030800)</t>
  </si>
  <si>
    <t>4030</t>
  </si>
  <si>
    <t>C00066D489000000</t>
  </si>
  <si>
    <t>COVER (107012503) REV A</t>
  </si>
  <si>
    <t>4046</t>
  </si>
  <si>
    <t>C00066D005050000</t>
  </si>
  <si>
    <t>SLEEVE (SP3i RD,XALDC 12) 111049500</t>
  </si>
  <si>
    <t>4047</t>
  </si>
  <si>
    <t>C00066D005060000</t>
  </si>
  <si>
    <t>SLEEVE (SP3i RP,XALDC 12) 111049600</t>
  </si>
  <si>
    <t>4069</t>
  </si>
  <si>
    <t>C00066D005120000</t>
  </si>
  <si>
    <t>SLEEVE LD-SP3i (111049700)</t>
  </si>
  <si>
    <t>4071</t>
  </si>
  <si>
    <t>C00066D005130000</t>
  </si>
  <si>
    <t>SLEEVE LP-SP3i (111049800)</t>
  </si>
  <si>
    <t>4068</t>
  </si>
  <si>
    <t>C00066DT005120000</t>
  </si>
  <si>
    <t>4070</t>
  </si>
  <si>
    <t>C00066DT005130000</t>
  </si>
  <si>
    <t>4093</t>
  </si>
  <si>
    <t>C00066D05250000</t>
  </si>
  <si>
    <t>AI3 SLEEVE LD(111021200A)</t>
  </si>
  <si>
    <t>4094</t>
  </si>
  <si>
    <t>C00066D05260000</t>
  </si>
  <si>
    <t>AI3 SLEEVE LP(111021300A)</t>
  </si>
  <si>
    <t>4106</t>
  </si>
  <si>
    <t>C00066D05280000</t>
  </si>
  <si>
    <t>COVER - AS CAST(107012504)</t>
  </si>
  <si>
    <t>4151</t>
  </si>
  <si>
    <t>C00066D05550000</t>
  </si>
  <si>
    <t>COVER (107012504) REV B</t>
  </si>
  <si>
    <t>843</t>
  </si>
  <si>
    <t>C00238</t>
  </si>
  <si>
    <t>EATON ELECTRIC LTD.</t>
  </si>
  <si>
    <t>M23D01440000</t>
  </si>
  <si>
    <t>HOUSING-HEAT SINK MOUNTING (ML011-038)_7616999099</t>
  </si>
  <si>
    <t>844</t>
  </si>
  <si>
    <t>M23D01450000</t>
  </si>
  <si>
    <t>HOUSING HEAT SINK LEDS-INTERCONNECTS (ML011-039)_7616999099</t>
  </si>
  <si>
    <t>926</t>
  </si>
  <si>
    <t>C00084</t>
  </si>
  <si>
    <t>EBM-PAPST INDIA PVT. LTD. UNIT-II</t>
  </si>
  <si>
    <t>E15D02930000</t>
  </si>
  <si>
    <t>HOUSING FOR FAN (6289010000)</t>
  </si>
  <si>
    <t>801</t>
  </si>
  <si>
    <t>E15D03240000</t>
  </si>
  <si>
    <t>STATOR SLEEVE (05341-2-2512)</t>
  </si>
  <si>
    <t>187</t>
  </si>
  <si>
    <t>C00075</t>
  </si>
  <si>
    <t>ELERO GMBH</t>
  </si>
  <si>
    <t>E05D00050000</t>
  </si>
  <si>
    <t>MITNEHMER (131089001)</t>
  </si>
  <si>
    <t>2994</t>
  </si>
  <si>
    <t>E05D01040000</t>
  </si>
  <si>
    <t>GEAR HOUSING (161013401)</t>
  </si>
  <si>
    <t>186</t>
  </si>
  <si>
    <t>E05D01420000</t>
  </si>
  <si>
    <t>ENDSTUCK (131159801)</t>
  </si>
  <si>
    <t>3028</t>
  </si>
  <si>
    <t>E05D03680000</t>
  </si>
  <si>
    <t>END STUCK-101 (131237101 REV 1)</t>
  </si>
  <si>
    <t>1041</t>
  </si>
  <si>
    <t>E05D03690000</t>
  </si>
  <si>
    <t>ADAPTER SH (233750901)</t>
  </si>
  <si>
    <t>1042</t>
  </si>
  <si>
    <t>E05D03700000</t>
  </si>
  <si>
    <t>END STUCK-001 (131238001 REV.1)</t>
  </si>
  <si>
    <t>927</t>
  </si>
  <si>
    <t>E05D104A0000</t>
  </si>
  <si>
    <t>GEAR HOUSING, SHOT BLASTED (16.101.3401S)</t>
  </si>
  <si>
    <t>2966</t>
  </si>
  <si>
    <t>E05T00381819</t>
  </si>
  <si>
    <t>REPAIR CHARGES GEAR HOUSING DIE (161013401)</t>
  </si>
  <si>
    <t>514</t>
  </si>
  <si>
    <t>C00082</t>
  </si>
  <si>
    <t>ENDRESS+HAUSER WETZER (INDIA) PVT. LTD.</t>
  </si>
  <si>
    <t>E12D01630000</t>
  </si>
  <si>
    <t>HOUSING METRIC (71096649)</t>
  </si>
  <si>
    <t>515</t>
  </si>
  <si>
    <t>E12D01640000</t>
  </si>
  <si>
    <t>COVER (71079253-0) housing WO8 alu/dispala I</t>
  </si>
  <si>
    <t>518</t>
  </si>
  <si>
    <t>E12D01650000</t>
  </si>
  <si>
    <t>COVER HOUSING W08 ALU / DISPLAY II (71079288)</t>
  </si>
  <si>
    <t>516</t>
  </si>
  <si>
    <t>E12D163A0000</t>
  </si>
  <si>
    <t>HOUSING NPT (71080146-B)</t>
  </si>
  <si>
    <t>748</t>
  </si>
  <si>
    <t>E12T00270809</t>
  </si>
  <si>
    <t>SINGLE CAV PDC DIE FOR COVER Al (022402011)</t>
  </si>
  <si>
    <t>749</t>
  </si>
  <si>
    <t>E12T00280809</t>
  </si>
  <si>
    <t>SINGLE CAV PDC DIE FOR COVER Al (022402021)</t>
  </si>
  <si>
    <t>750</t>
  </si>
  <si>
    <t>E12T00290809</t>
  </si>
  <si>
    <t>SINGLE CAV PDC DIE FOR FIELD HOUSING (022402051)</t>
  </si>
  <si>
    <t>751</t>
  </si>
  <si>
    <t>E12T00630910</t>
  </si>
  <si>
    <t>INSERT CHANGING FOR DIE</t>
  </si>
  <si>
    <t>375</t>
  </si>
  <si>
    <t>C00081</t>
  </si>
  <si>
    <t>ENDRESS+HAUSER WETZER GMBH</t>
  </si>
  <si>
    <t>499</t>
  </si>
  <si>
    <t>431</t>
  </si>
  <si>
    <t>461</t>
  </si>
  <si>
    <t>511</t>
  </si>
  <si>
    <t>E12D164A0000</t>
  </si>
  <si>
    <t>COVER (71079253-0) HOUSING WO8 LOGO CHARGES</t>
  </si>
  <si>
    <t>512</t>
  </si>
  <si>
    <t>E12D165A0000</t>
  </si>
  <si>
    <t>COVER HOUSING W08 (71079288) LOGO CHARGES</t>
  </si>
  <si>
    <t>297</t>
  </si>
  <si>
    <t>C00093</t>
  </si>
  <si>
    <t>FESTO INDIA PRIVATE LIMITED</t>
  </si>
  <si>
    <t>F06D01670000</t>
  </si>
  <si>
    <t>Housing MFH 5 1/4 (659853)</t>
  </si>
  <si>
    <t>632</t>
  </si>
  <si>
    <t>F06D01680000</t>
  </si>
  <si>
    <t>Housing SEU-1/4 (214361)</t>
  </si>
  <si>
    <t>630</t>
  </si>
  <si>
    <t>F06D01770000</t>
  </si>
  <si>
    <t>Swivel Joint / Schwenkanschl - 1/4 (238663)</t>
  </si>
  <si>
    <t>631</t>
  </si>
  <si>
    <t>F06D01780000</t>
  </si>
  <si>
    <t>SWIVELl JOINT / SCHWENKANSCHL - 1/8 (238662)</t>
  </si>
  <si>
    <t>298</t>
  </si>
  <si>
    <t>F06D02520000</t>
  </si>
  <si>
    <t>Housing MFH 5 1/8 (659850)</t>
  </si>
  <si>
    <t>3157</t>
  </si>
  <si>
    <t>C00093D411212200</t>
  </si>
  <si>
    <t>END CAP 10D (8168295)_17098269  REV D</t>
  </si>
  <si>
    <t>3158</t>
  </si>
  <si>
    <t>C00093D412212200</t>
  </si>
  <si>
    <t>END CAP 20D (8168452) 17098269 REV D</t>
  </si>
  <si>
    <t>3159</t>
  </si>
  <si>
    <t>C00093D413212200</t>
  </si>
  <si>
    <t>END CAP 20S S (8168298)_17098269  REV D</t>
  </si>
  <si>
    <t>3160</t>
  </si>
  <si>
    <t>C00093D414212200</t>
  </si>
  <si>
    <t>END CAP 160D (8168478)_17098269  REV D</t>
  </si>
  <si>
    <t>3185</t>
  </si>
  <si>
    <t>C00093D427002223</t>
  </si>
  <si>
    <t>END CAP 10D (DFPD-10-D-C)_ 8168297</t>
  </si>
  <si>
    <t>3186</t>
  </si>
  <si>
    <t>C00093D428002223</t>
  </si>
  <si>
    <t>END CAP 20D (DFPD-20-D-C_ 8168454</t>
  </si>
  <si>
    <t>3187</t>
  </si>
  <si>
    <t>C00093D429002223</t>
  </si>
  <si>
    <t>END CAP 20S (DFPD-20-S-C)_8168300</t>
  </si>
  <si>
    <t>3188</t>
  </si>
  <si>
    <t>C00093D430002223</t>
  </si>
  <si>
    <t xml:space="preserve"> END CAP 160D (DFPD-160-D-C)_ 8168481</t>
  </si>
  <si>
    <t>3209</t>
  </si>
  <si>
    <t>C00093D446002223</t>
  </si>
  <si>
    <t>END CAP DFPD-10-D-EP(8168296)_17098269 REV D</t>
  </si>
  <si>
    <t>3211</t>
  </si>
  <si>
    <t>C00093D452002223</t>
  </si>
  <si>
    <t>END CAP DFPD-20-D (23520827)_E05854619</t>
  </si>
  <si>
    <t>3223</t>
  </si>
  <si>
    <t>C00093D451002223</t>
  </si>
  <si>
    <t>END CAP DFPD-10-D (23520825)_E05854619</t>
  </si>
  <si>
    <t>3224</t>
  </si>
  <si>
    <t>C00093D447002223</t>
  </si>
  <si>
    <t>END CAP DFPD-20-D-EP(8168453)_17098269 REV D</t>
  </si>
  <si>
    <t>3225</t>
  </si>
  <si>
    <t>C00093D448002223</t>
  </si>
  <si>
    <t>END CAP DFPD-20-S-EP(8168299)_17098269 REV D</t>
  </si>
  <si>
    <t>3245</t>
  </si>
  <si>
    <t>C00093D450002223</t>
  </si>
  <si>
    <t>END CAP DFPD-160-D-EP (8168480)_17098269 REV D</t>
  </si>
  <si>
    <t>3996</t>
  </si>
  <si>
    <t>C00093DT427002223</t>
  </si>
  <si>
    <t>3995</t>
  </si>
  <si>
    <t>C00093DT428002223</t>
  </si>
  <si>
    <t>4004</t>
  </si>
  <si>
    <t>C00093DT047702324</t>
  </si>
  <si>
    <t>HOUSING HGL-M5-B (662981) REV F</t>
  </si>
  <si>
    <t>4005</t>
  </si>
  <si>
    <t>C00093DT047802324</t>
  </si>
  <si>
    <t>HOUSING HGL-M5-QS-4 (662982) REV E</t>
  </si>
  <si>
    <t>4012</t>
  </si>
  <si>
    <t>C00093DT429002223</t>
  </si>
  <si>
    <t>4013</t>
  </si>
  <si>
    <t>C00093DT430002223</t>
  </si>
  <si>
    <t>END CAP 160D (DFPD-160-D-C)_ 8168481</t>
  </si>
  <si>
    <t>191</t>
  </si>
  <si>
    <t>C00110</t>
  </si>
  <si>
    <t>G PLAST PVT LTD UNIT I</t>
  </si>
  <si>
    <t>G13D00090000</t>
  </si>
  <si>
    <t>HEAT SINK DM - 102</t>
  </si>
  <si>
    <t>192</t>
  </si>
  <si>
    <t>G13D00100000</t>
  </si>
  <si>
    <t>HEAT SINK DM - 104</t>
  </si>
  <si>
    <t>368</t>
  </si>
  <si>
    <t>G13D00110000</t>
  </si>
  <si>
    <t>HEAT SINK DM - 113 (M3 TAP)</t>
  </si>
  <si>
    <t>367</t>
  </si>
  <si>
    <t>G13D00120000</t>
  </si>
  <si>
    <t>HEAT SINK DM - 76</t>
  </si>
  <si>
    <t>3111</t>
  </si>
  <si>
    <t>G06D03710000</t>
  </si>
  <si>
    <t>MOUNTING PLATE (5791432DDW REV.1)</t>
  </si>
  <si>
    <t>4129</t>
  </si>
  <si>
    <t>C00106D457002223</t>
  </si>
  <si>
    <t>INS291 MACHINING, UPPER STEERING (5928184DDW) REV7</t>
  </si>
  <si>
    <t>4146</t>
  </si>
  <si>
    <t>C00530</t>
  </si>
  <si>
    <t>GATES ENDUSTRIYEL TIC AS</t>
  </si>
  <si>
    <t>C00530DT5460000</t>
  </si>
  <si>
    <t>ARM - T39107A125400 REV-A0(7722-87214)</t>
  </si>
  <si>
    <t>4147</t>
  </si>
  <si>
    <t>C00530DT5470000</t>
  </si>
  <si>
    <t>BASE - T39107A114810 REV-A0(7720-83152)</t>
  </si>
  <si>
    <t>4152</t>
  </si>
  <si>
    <t>C00530DT5560000</t>
  </si>
  <si>
    <t>ARM RAW MATERIAL T39107A125401 A REV-A0</t>
  </si>
  <si>
    <t>4177</t>
  </si>
  <si>
    <t>C00530DT4580000</t>
  </si>
  <si>
    <t>ARM - T43234A222241 - A1</t>
  </si>
  <si>
    <t>3118</t>
  </si>
  <si>
    <t>C00109</t>
  </si>
  <si>
    <t>GATES UNITTA INDIA COMPANY PVT LTD</t>
  </si>
  <si>
    <t>C00109D400202122</t>
  </si>
  <si>
    <t>K15 TENSIONER ARM (I83554A1347- A)</t>
  </si>
  <si>
    <t>3119</t>
  </si>
  <si>
    <t>C00109D401202122</t>
  </si>
  <si>
    <t>K15 TENSIONER BASE (I83554A1348 -A)</t>
  </si>
  <si>
    <t>3121</t>
  </si>
  <si>
    <t>C00109D039702122</t>
  </si>
  <si>
    <t>K10 TENSIONER ARM (I83539A1004 - B)</t>
  </si>
  <si>
    <t>3122</t>
  </si>
  <si>
    <t>C00109D039802122</t>
  </si>
  <si>
    <t>K10 TENSIONER BASE  (I83539A1005-C)</t>
  </si>
  <si>
    <t>3174</t>
  </si>
  <si>
    <t>C00393DSUPP2021</t>
  </si>
  <si>
    <t>XXXXX</t>
  </si>
  <si>
    <t>3203</t>
  </si>
  <si>
    <t>3234</t>
  </si>
  <si>
    <t>C00109D401302122</t>
  </si>
  <si>
    <t>K15 TENSIONER BASE (I83554A1348 -A)_MRP TEST</t>
  </si>
  <si>
    <t>4034</t>
  </si>
  <si>
    <t>C00109D03970SUPPLE2122</t>
  </si>
  <si>
    <t>SUPPLEMENTARY INVOICE K10 TENSIONER ARM (I83539A1004-B)</t>
  </si>
  <si>
    <t>4118</t>
  </si>
  <si>
    <t>C00109D05290000</t>
  </si>
  <si>
    <t>K15C LTR ARM MODIFIED SAMPLE  ECN (DEVSAMPLE-03)</t>
  </si>
  <si>
    <t>4165</t>
  </si>
  <si>
    <t>C00109D0397021SUPPL</t>
  </si>
  <si>
    <t>K10 ARM (I83539A1004 - B) PRICE DIFFERENCE FROM THE PERIOD OF 5TH JAN-26 TO 21 ST JAN 26</t>
  </si>
  <si>
    <t>4169</t>
  </si>
  <si>
    <t>C00109D0397026SUPPL</t>
  </si>
  <si>
    <t>4166</t>
  </si>
  <si>
    <t>C00109D0398021SUPPL</t>
  </si>
  <si>
    <t>K10 BASE  (I83539A1005-C)PRICE DIFFERENCE FROM THE PERIOD OF 5TH JAN-26 TO 21 ST JAN 26</t>
  </si>
  <si>
    <t>4170</t>
  </si>
  <si>
    <t>C00109D0398026SUPPL</t>
  </si>
  <si>
    <t>4167</t>
  </si>
  <si>
    <t>C00109D4002021SUPPL</t>
  </si>
  <si>
    <t>K15 ARM (I83554A1347- A) PRICE DIFFERENCE FROM THE PERIOD OF 5TH JAN-26 TO 21 ST JAN 26</t>
  </si>
  <si>
    <t>4171</t>
  </si>
  <si>
    <t>C00109D4002026SUPPL</t>
  </si>
  <si>
    <t>4168</t>
  </si>
  <si>
    <t>C00109D4012021SUPPL</t>
  </si>
  <si>
    <t>K15 BASE (I83554A1348 -A) PRICE DIFFERENCE FROM THE PERIOD OF 5TH JAN-26 TO 21 ST JAN 26</t>
  </si>
  <si>
    <t>4172</t>
  </si>
  <si>
    <t>C00109D4012026SUPPL</t>
  </si>
  <si>
    <t>194</t>
  </si>
  <si>
    <t>C00101</t>
  </si>
  <si>
    <t>GE DRIVES  AND  CONTROLS INC</t>
  </si>
  <si>
    <t>G04D006C0000</t>
  </si>
  <si>
    <t>I-O-PACK HOUSING ASSY</t>
  </si>
  <si>
    <t>195</t>
  </si>
  <si>
    <t>G04D01380000</t>
  </si>
  <si>
    <t>END CAP, BAPA/BCLA HOUSING (GE151X1202YV04MG02)</t>
  </si>
  <si>
    <t>197</t>
  </si>
  <si>
    <t>C00113</t>
  </si>
  <si>
    <t>GE INFRA INFRASTRUCTURE SENSING INC</t>
  </si>
  <si>
    <t>198</t>
  </si>
  <si>
    <t>689</t>
  </si>
  <si>
    <t>C00132</t>
  </si>
  <si>
    <t>GE SENSING EMEA (GE INFRA IRELAND)</t>
  </si>
  <si>
    <t>690</t>
  </si>
  <si>
    <t>634</t>
  </si>
  <si>
    <t>C00126</t>
  </si>
  <si>
    <t>GEDEE WEILER PVT. LTD.</t>
  </si>
  <si>
    <t>G29D03170000</t>
  </si>
  <si>
    <t>HAND KNOB CASTING</t>
  </si>
  <si>
    <t>4007</t>
  </si>
  <si>
    <t>C00133</t>
  </si>
  <si>
    <t>GILBARCO INC.</t>
  </si>
  <si>
    <t>C00133D484000000</t>
  </si>
  <si>
    <t>METER CHECK VALVE ASSEMBLY,PHASE1 GSO SUPPLIED COMPONENTS (N23619) REV T</t>
  </si>
  <si>
    <t>4008</t>
  </si>
  <si>
    <t>805</t>
  </si>
  <si>
    <t>C00137</t>
  </si>
  <si>
    <t>GILBARCO VEEDER ROOT INDIA PVT LTD (SPARES)</t>
  </si>
  <si>
    <t>G17D03160000</t>
  </si>
  <si>
    <t>CAP BYPASS VALVE (M09508 B010 / C)</t>
  </si>
  <si>
    <t>2978</t>
  </si>
  <si>
    <t>G17D03290000</t>
  </si>
  <si>
    <t>SPOUT HOUSING (39C) - PN80023</t>
  </si>
  <si>
    <t>3085</t>
  </si>
  <si>
    <t>G17D03310000</t>
  </si>
  <si>
    <t>VACUUM TIP (43R-J) - PN80024</t>
  </si>
  <si>
    <t>3141</t>
  </si>
  <si>
    <t>G17D03470000</t>
  </si>
  <si>
    <t>BAR CONNECTING (R18019)</t>
  </si>
  <si>
    <t>657</t>
  </si>
  <si>
    <t>C00131</t>
  </si>
  <si>
    <t>GILBARCO VEEDER ROOT INDIA PVT. LTD. (DTA)</t>
  </si>
  <si>
    <t>G17D03150000</t>
  </si>
  <si>
    <t>COVER CONTROL VALVE (M09544 B010 / D)</t>
  </si>
  <si>
    <t>658</t>
  </si>
  <si>
    <t>3086</t>
  </si>
  <si>
    <t>G17D03270000</t>
  </si>
  <si>
    <t>BODY CAP (1C) - PN80025 REV L</t>
  </si>
  <si>
    <t>3089</t>
  </si>
  <si>
    <t>G17D03280000</t>
  </si>
  <si>
    <t>BODY CAP (1M) - PN80026 REV E</t>
  </si>
  <si>
    <t>3088</t>
  </si>
  <si>
    <t>3090</t>
  </si>
  <si>
    <t>G17D03300000</t>
  </si>
  <si>
    <t>SPOUT HOUISNG (44M) - PN80029</t>
  </si>
  <si>
    <t>3084</t>
  </si>
  <si>
    <t>2971</t>
  </si>
  <si>
    <t>G17D03740000</t>
  </si>
  <si>
    <t>SPOUT HOUSING 39-PC (PN 800 34 REV.A)</t>
  </si>
  <si>
    <t>2970</t>
  </si>
  <si>
    <t>G34D03740000</t>
  </si>
  <si>
    <t>39PC - SPOUT HSG, 15/16 LEADED (PN 800 34 REV.A)</t>
  </si>
  <si>
    <t>3201</t>
  </si>
  <si>
    <t>4011</t>
  </si>
  <si>
    <t>995</t>
  </si>
  <si>
    <t>C00114</t>
  </si>
  <si>
    <t>GILBARCO VEEDER ROOT INDIA PVT. LTD.(100% EOU)</t>
  </si>
  <si>
    <t>656</t>
  </si>
  <si>
    <t>3076</t>
  </si>
  <si>
    <t>1047</t>
  </si>
  <si>
    <t>G17D03480000</t>
  </si>
  <si>
    <t>PISTON (N22630)</t>
  </si>
  <si>
    <t>2969</t>
  </si>
  <si>
    <t>713</t>
  </si>
  <si>
    <t>G17D315A0000</t>
  </si>
  <si>
    <t>CONTROL VALVE COVER ASSEMBLY (M09543A001 REV A)</t>
  </si>
  <si>
    <t>4009</t>
  </si>
  <si>
    <t>4010</t>
  </si>
  <si>
    <t>3101</t>
  </si>
  <si>
    <t>C00145</t>
  </si>
  <si>
    <t>GILBARCO VEEDER-ROOT</t>
  </si>
  <si>
    <t>G17TD0511920</t>
  </si>
  <si>
    <t>DIE  POPPET METER CHECK VALVE</t>
  </si>
  <si>
    <t>3102</t>
  </si>
  <si>
    <t>G17TD0521920</t>
  </si>
  <si>
    <t>DIE METER CHECK VALVE BODY</t>
  </si>
  <si>
    <t>435</t>
  </si>
  <si>
    <t>C00115</t>
  </si>
  <si>
    <t>GOODRICH AEROSPACE SERVICES PVT LTD</t>
  </si>
  <si>
    <t>G18D01410000</t>
  </si>
  <si>
    <t>HOUSING (9BG410927-00)</t>
  </si>
  <si>
    <t>202</t>
  </si>
  <si>
    <t>G18D01490000</t>
  </si>
  <si>
    <t>HEATSINK (9XB414572-01)</t>
  </si>
  <si>
    <t>436</t>
  </si>
  <si>
    <t>G18D02010000</t>
  </si>
  <si>
    <t>BRACKET (9AB425025-03)</t>
  </si>
  <si>
    <t>437</t>
  </si>
  <si>
    <t>G18D02030000</t>
  </si>
  <si>
    <t>HOUSING (9BG412371-06)</t>
  </si>
  <si>
    <t>438</t>
  </si>
  <si>
    <t>G18D02040000</t>
  </si>
  <si>
    <t>HOUSING COVER (9BG412373-11)</t>
  </si>
  <si>
    <t>439</t>
  </si>
  <si>
    <t>G18D02050000</t>
  </si>
  <si>
    <t>SOCKET (9FF404453-00)</t>
  </si>
  <si>
    <t>851</t>
  </si>
  <si>
    <t>G18D02500000</t>
  </si>
  <si>
    <t>LED HOLDER ASSY. LH (9FF416609-02)</t>
  </si>
  <si>
    <t>633</t>
  </si>
  <si>
    <t>G18D02560000</t>
  </si>
  <si>
    <t>HOUSING TAXILIGHT-BIG (9BG425079-03)</t>
  </si>
  <si>
    <t>262</t>
  </si>
  <si>
    <t>G18D02580000</t>
  </si>
  <si>
    <t>HOUSING (MAP LIGHT - 9BG200259-03)</t>
  </si>
  <si>
    <t>578</t>
  </si>
  <si>
    <t>G18D141a0000</t>
  </si>
  <si>
    <t>HOUSING RAW PART (9BG410927-10)</t>
  </si>
  <si>
    <t>440</t>
  </si>
  <si>
    <t>G18D203A0000</t>
  </si>
  <si>
    <t>HOUSING (9BG412371-16)</t>
  </si>
  <si>
    <t>441</t>
  </si>
  <si>
    <t>G18D203B0000</t>
  </si>
  <si>
    <t>HOUSING (9BG412371-26)</t>
  </si>
  <si>
    <t>400</t>
  </si>
  <si>
    <t>G18D205A0000</t>
  </si>
  <si>
    <t>GR SOCKET (9FF404453-02)</t>
  </si>
  <si>
    <t>3145</t>
  </si>
  <si>
    <t>G18D02510000</t>
  </si>
  <si>
    <t>LED HOLDER ASSY. RH (9FF416610-02)</t>
  </si>
  <si>
    <t>3180</t>
  </si>
  <si>
    <t>G18D247A0000</t>
  </si>
  <si>
    <t>COVER GALVANIZED (9XB416631-12)</t>
  </si>
  <si>
    <t>4090</t>
  </si>
  <si>
    <t>G18D02470000</t>
  </si>
  <si>
    <t>COVER GALVANISED (9XB416631-01)</t>
  </si>
  <si>
    <t>4089</t>
  </si>
  <si>
    <t>G18D02480000</t>
  </si>
  <si>
    <t>HOUSING ASSY (9BG416630-02)</t>
  </si>
  <si>
    <t>4088</t>
  </si>
  <si>
    <t>G18D248A0000</t>
  </si>
  <si>
    <t>HOUSING ASSY (9BG416630-12)</t>
  </si>
  <si>
    <t>481</t>
  </si>
  <si>
    <t>C00117</t>
  </si>
  <si>
    <t>GOODRICH LIGHTING SYSTEMS</t>
  </si>
  <si>
    <t>550</t>
  </si>
  <si>
    <t>472</t>
  </si>
  <si>
    <t>G18D01730000</t>
  </si>
  <si>
    <t>CLAMP BLOCK &amp; CLAMP SUPPORT ASSEY (9XX625015-00)</t>
  </si>
  <si>
    <t>553</t>
  </si>
  <si>
    <t>343</t>
  </si>
  <si>
    <t>409</t>
  </si>
  <si>
    <t>G18D02490000</t>
  </si>
  <si>
    <t>HOUSING ASSY (9BG416611-02)</t>
  </si>
  <si>
    <t>369</t>
  </si>
  <si>
    <t>370</t>
  </si>
  <si>
    <t>635</t>
  </si>
  <si>
    <t>G18D02540000</t>
  </si>
  <si>
    <t>HOUSING (9BG416772-03)</t>
  </si>
  <si>
    <t>625</t>
  </si>
  <si>
    <t>G18D02610000</t>
  </si>
  <si>
    <t>HOUSING (9BG416750-04)</t>
  </si>
  <si>
    <t>534</t>
  </si>
  <si>
    <t>G18D02970000</t>
  </si>
  <si>
    <t>INVENTORY HOLDING CHARGES</t>
  </si>
  <si>
    <t>560</t>
  </si>
  <si>
    <t>G18D141A0000</t>
  </si>
  <si>
    <t>645</t>
  </si>
  <si>
    <t>G18D205B0000</t>
  </si>
  <si>
    <t>SOCKET ASSY (9FF404453-01)</t>
  </si>
  <si>
    <t>959</t>
  </si>
  <si>
    <t>720</t>
  </si>
  <si>
    <t>532</t>
  </si>
  <si>
    <t>G18DINV11415</t>
  </si>
  <si>
    <t>1043</t>
  </si>
  <si>
    <t>G18T00841718</t>
  </si>
  <si>
    <t>FOUR CAVITY DIE FOR CLAMP SUPPORT</t>
  </si>
  <si>
    <t>3229</t>
  </si>
  <si>
    <t>C00467</t>
  </si>
  <si>
    <t>HEINZMANN GMBH &amp; CO.KG</t>
  </si>
  <si>
    <t>C00467D047202324</t>
  </si>
  <si>
    <t>LAGERRING B-SEITE GUSSTEIL(880-61-041-00) REV_C</t>
  </si>
  <si>
    <t>473</t>
  </si>
  <si>
    <t>C00390</t>
  </si>
  <si>
    <t>HELVOET RUBBER &amp; PLASTIC TECHNOLOGIES (I) PVT LTD</t>
  </si>
  <si>
    <t>H10D00110000</t>
  </si>
  <si>
    <t>HEAT SINK 113</t>
  </si>
  <si>
    <t>304</t>
  </si>
  <si>
    <t>C00156</t>
  </si>
  <si>
    <t>HEWLETT-PACKARD ASIA PACIFIC PTE LTD</t>
  </si>
  <si>
    <t>DCP013</t>
  </si>
  <si>
    <t>LATCH RELEASE, PART # 501129</t>
  </si>
  <si>
    <t>303</t>
  </si>
  <si>
    <t>DCP015</t>
  </si>
  <si>
    <t>GEAR SECTOR OUTPUT, PART # 501128-001</t>
  </si>
  <si>
    <t>212</t>
  </si>
  <si>
    <t>H05D01260000</t>
  </si>
  <si>
    <t>ASSY HS VOLTAGE REGULATOR-KOMI</t>
  </si>
  <si>
    <t>209</t>
  </si>
  <si>
    <t>H05D01690000</t>
  </si>
  <si>
    <t>HANDLE, LEVER, GEARED (501126-003)</t>
  </si>
  <si>
    <t>210</t>
  </si>
  <si>
    <t>H05D01700000</t>
  </si>
  <si>
    <t>GEAR, COMPOUND 501127-001</t>
  </si>
  <si>
    <t>211</t>
  </si>
  <si>
    <t>H05D01750000</t>
  </si>
  <si>
    <t>EJECTOR HANDLE</t>
  </si>
  <si>
    <t>513</t>
  </si>
  <si>
    <t>C00157</t>
  </si>
  <si>
    <t>HUSCO HYDRAULICS (SHANGHAI)LTD</t>
  </si>
  <si>
    <t>H09D01500000</t>
  </si>
  <si>
    <t>CAP SPOOL (3324-14) C04</t>
  </si>
  <si>
    <t>265</t>
  </si>
  <si>
    <t>H09D01510000</t>
  </si>
  <si>
    <t>CAP SPOOL (5028) F00</t>
  </si>
  <si>
    <t>525</t>
  </si>
  <si>
    <t>H09D01520000</t>
  </si>
  <si>
    <t>CAP SPOOL (5034) K1-4</t>
  </si>
  <si>
    <t>3004</t>
  </si>
  <si>
    <t>H09D01610000</t>
  </si>
  <si>
    <t>CAP SPOOL (60715) D02</t>
  </si>
  <si>
    <t>3041</t>
  </si>
  <si>
    <t>H09D02220000</t>
  </si>
  <si>
    <t>END CAP (K61860) D04</t>
  </si>
  <si>
    <t>286</t>
  </si>
  <si>
    <t>H09D02300000</t>
  </si>
  <si>
    <t>END CAP (K61859-1) B01</t>
  </si>
  <si>
    <t>287</t>
  </si>
  <si>
    <t>H09D02330000</t>
  </si>
  <si>
    <t>END CAP (61859-A2) B01</t>
  </si>
  <si>
    <t>289</t>
  </si>
  <si>
    <t>H09D02340000</t>
  </si>
  <si>
    <t>CAP SPOOL (61860-1)</t>
  </si>
  <si>
    <t>453</t>
  </si>
  <si>
    <t>H09D02350000</t>
  </si>
  <si>
    <t>CAP SPOOL 2IMP (61864-11) B03</t>
  </si>
  <si>
    <t>717</t>
  </si>
  <si>
    <t>H09D02380000</t>
  </si>
  <si>
    <t>CAP SPOOL (61864-21)</t>
  </si>
  <si>
    <t>451</t>
  </si>
  <si>
    <t>H09D02390000</t>
  </si>
  <si>
    <t>CAP SPOOL 2IMP (61864-22)</t>
  </si>
  <si>
    <t>452</t>
  </si>
  <si>
    <t>H09D02410000</t>
  </si>
  <si>
    <t>CAP SPOOL 2IMP (61864-24)</t>
  </si>
  <si>
    <t>341</t>
  </si>
  <si>
    <t>H09D02720000</t>
  </si>
  <si>
    <t>END CAP 61859-4</t>
  </si>
  <si>
    <t>3115</t>
  </si>
  <si>
    <t>H09D150B0000</t>
  </si>
  <si>
    <t>CAP SPOOL (3324) K03</t>
  </si>
  <si>
    <t>3193</t>
  </si>
  <si>
    <t>H09D03110000</t>
  </si>
  <si>
    <t>CAP SPOOL (5028-A) A00</t>
  </si>
  <si>
    <t>3210</t>
  </si>
  <si>
    <t>H09D02190000</t>
  </si>
  <si>
    <t>CAP SPOOL (K59936-3) F01</t>
  </si>
  <si>
    <t>4080</t>
  </si>
  <si>
    <t>4117</t>
  </si>
  <si>
    <t>C00152D049102324</t>
  </si>
  <si>
    <t>CAP-SPOOL (64205) B03</t>
  </si>
  <si>
    <t>4121</t>
  </si>
  <si>
    <t>C00157D05320000</t>
  </si>
  <si>
    <t>CAPSPOOL 64206-2 (A03)</t>
  </si>
  <si>
    <t>4149</t>
  </si>
  <si>
    <t>C00157TD0272526DM296JOB</t>
  </si>
  <si>
    <t xml:space="preserve">TOOL MODIFICATION CAP SPOOL  (60715)			</t>
  </si>
  <si>
    <t>4175</t>
  </si>
  <si>
    <t>C00160D05610000</t>
  </si>
  <si>
    <t>CAP SPOOL -64206 - 4 REV  XA00</t>
  </si>
  <si>
    <t>4181</t>
  </si>
  <si>
    <t>C00160D05570000</t>
  </si>
  <si>
    <t>CAP-SPOOL ,P.O64206-1 (C03)</t>
  </si>
  <si>
    <t>3040</t>
  </si>
  <si>
    <t>C00160</t>
  </si>
  <si>
    <t>HUSCO HYDRAULICS PVT LTD (PUNE)</t>
  </si>
  <si>
    <t>H01D03840000</t>
  </si>
  <si>
    <t>CAPSPOOL ( 63437 ) REV (C03)</t>
  </si>
  <si>
    <t>275</t>
  </si>
  <si>
    <t>277</t>
  </si>
  <si>
    <t>276</t>
  </si>
  <si>
    <t>H09D0151A0000</t>
  </si>
  <si>
    <t>CAP SPOOL (5028-6) B00</t>
  </si>
  <si>
    <t>731</t>
  </si>
  <si>
    <t>3046</t>
  </si>
  <si>
    <t>H09D02170000</t>
  </si>
  <si>
    <t>CAP SPOOL (K59934-4) E01</t>
  </si>
  <si>
    <t>984</t>
  </si>
  <si>
    <t>H09D02180000</t>
  </si>
  <si>
    <t>TRIPLE END CAP SPOOL (62251-4) A00</t>
  </si>
  <si>
    <t>2814</t>
  </si>
  <si>
    <t>3047</t>
  </si>
  <si>
    <t>H09D02200000</t>
  </si>
  <si>
    <t>CAP SPOOL (K59936-4) E01</t>
  </si>
  <si>
    <t>3042</t>
  </si>
  <si>
    <t>345</t>
  </si>
  <si>
    <t>H09D02730000</t>
  </si>
  <si>
    <t>CAP SPOOL (56148)</t>
  </si>
  <si>
    <t>677</t>
  </si>
  <si>
    <t>H09D150A0000</t>
  </si>
  <si>
    <t>CAP SPOOL (3324-A)</t>
  </si>
  <si>
    <t>591</t>
  </si>
  <si>
    <t>HO9D311A0000</t>
  </si>
  <si>
    <t>CAP SPOOL (5028-A1) A00</t>
  </si>
  <si>
    <t>3126</t>
  </si>
  <si>
    <t>H09D02160000</t>
  </si>
  <si>
    <t>CAP SPOOL (K59934-3) F01</t>
  </si>
  <si>
    <t>4130</t>
  </si>
  <si>
    <t>4138</t>
  </si>
  <si>
    <t>C00506DT5190000</t>
  </si>
  <si>
    <t>CAP - SPOOL (64395-A3)</t>
  </si>
  <si>
    <t>4137</t>
  </si>
  <si>
    <t>C00506DT5200000</t>
  </si>
  <si>
    <t>CAP - SPOOL (64395-A2)</t>
  </si>
  <si>
    <t>4136</t>
  </si>
  <si>
    <t>C00506DT5210000</t>
  </si>
  <si>
    <t>CAP - SPOOL(64395-A1)</t>
  </si>
  <si>
    <t>4145</t>
  </si>
  <si>
    <t>4153</t>
  </si>
  <si>
    <t>4159</t>
  </si>
  <si>
    <t>C00160DT5580000</t>
  </si>
  <si>
    <t>CAP-SPOOL  63437-1 (A00)</t>
  </si>
  <si>
    <t>556</t>
  </si>
  <si>
    <t>C00152</t>
  </si>
  <si>
    <t>HUSCO INTERNATIONAL - (USA)</t>
  </si>
  <si>
    <t>H01D03010000</t>
  </si>
  <si>
    <t>CAP SPOOL (K59934-17) A00</t>
  </si>
  <si>
    <t>559</t>
  </si>
  <si>
    <t>H01D03030000</t>
  </si>
  <si>
    <t>Cap Spool (K59936-10) C01</t>
  </si>
  <si>
    <t>938</t>
  </si>
  <si>
    <t>H01D03670000</t>
  </si>
  <si>
    <t>CAP SPOOL - 3324-16 (A00)</t>
  </si>
  <si>
    <t>2998</t>
  </si>
  <si>
    <t>2999</t>
  </si>
  <si>
    <t>H01D03850000</t>
  </si>
  <si>
    <t>CAPSPOOL ( 63440 -A ) REV A00</t>
  </si>
  <si>
    <t>3000</t>
  </si>
  <si>
    <t>H01D03860000</t>
  </si>
  <si>
    <t>CAPSPOOL ( 63440-A1 )</t>
  </si>
  <si>
    <t>3001</t>
  </si>
  <si>
    <t>H01D03870000</t>
  </si>
  <si>
    <t>CAPSPOOL ( 63440-A2 )</t>
  </si>
  <si>
    <t>557</t>
  </si>
  <si>
    <t>H01D302B0000</t>
  </si>
  <si>
    <t>xxxx</t>
  </si>
  <si>
    <t>270</t>
  </si>
  <si>
    <t>271</t>
  </si>
  <si>
    <t>272</t>
  </si>
  <si>
    <t>320</t>
  </si>
  <si>
    <t>332</t>
  </si>
  <si>
    <t>273</t>
  </si>
  <si>
    <t>3045</t>
  </si>
  <si>
    <t>955</t>
  </si>
  <si>
    <t>274</t>
  </si>
  <si>
    <t>337</t>
  </si>
  <si>
    <t>324</t>
  </si>
  <si>
    <t>269</t>
  </si>
  <si>
    <t>H09D02280000</t>
  </si>
  <si>
    <t>CAP SPOOL (3324-5) B00</t>
  </si>
  <si>
    <t>354</t>
  </si>
  <si>
    <t>H09D02290000</t>
  </si>
  <si>
    <t>CAP SPOOL (3324-8) E01</t>
  </si>
  <si>
    <t>326</t>
  </si>
  <si>
    <t>398</t>
  </si>
  <si>
    <t>H09D02310000</t>
  </si>
  <si>
    <t>END CAP (61859-2) B01</t>
  </si>
  <si>
    <t>327</t>
  </si>
  <si>
    <t>H09D02320000</t>
  </si>
  <si>
    <t>END CAP (K61859-A1) B01</t>
  </si>
  <si>
    <t>325</t>
  </si>
  <si>
    <t>356</t>
  </si>
  <si>
    <t>H09D02370000</t>
  </si>
  <si>
    <t>CAP SPOOL (61864-13) D03</t>
  </si>
  <si>
    <t>364</t>
  </si>
  <si>
    <t>H09D02450000</t>
  </si>
  <si>
    <t>CAP SPOOL (61864-34) B03</t>
  </si>
  <si>
    <t>412</t>
  </si>
  <si>
    <t>H09D02790000</t>
  </si>
  <si>
    <t>CAP SPOOL (59934-14)</t>
  </si>
  <si>
    <t>421</t>
  </si>
  <si>
    <t>H09D02800000</t>
  </si>
  <si>
    <t>CAP SPOOL 5028-2</t>
  </si>
  <si>
    <t>422</t>
  </si>
  <si>
    <t>H09D02810000</t>
  </si>
  <si>
    <t>CAP SPOOL (59934-16)</t>
  </si>
  <si>
    <t>401</t>
  </si>
  <si>
    <t>H09D02820000</t>
  </si>
  <si>
    <t>CAPSPOOL (62371-1)</t>
  </si>
  <si>
    <t>358</t>
  </si>
  <si>
    <t>H09D02830000</t>
  </si>
  <si>
    <t>END CAP (62372-1)</t>
  </si>
  <si>
    <t>510</t>
  </si>
  <si>
    <t>H09D02900000</t>
  </si>
  <si>
    <t>CAP SPOOL (4937) D01</t>
  </si>
  <si>
    <t>344</t>
  </si>
  <si>
    <t>608</t>
  </si>
  <si>
    <t>H09D151B0000</t>
  </si>
  <si>
    <t>CAP SPOOL (5028-5)</t>
  </si>
  <si>
    <t>465</t>
  </si>
  <si>
    <t>H09D152A0000</t>
  </si>
  <si>
    <t>CAP SPOOL (5034-2)</t>
  </si>
  <si>
    <t>823</t>
  </si>
  <si>
    <t>H09D230A0000</t>
  </si>
  <si>
    <t>END CAP (61859) -B01</t>
  </si>
  <si>
    <t>4031</t>
  </si>
  <si>
    <t>4032</t>
  </si>
  <si>
    <t>C00161D049202324</t>
  </si>
  <si>
    <t>CAP-SPOOL,P.O.(64206) A01</t>
  </si>
  <si>
    <t>4158</t>
  </si>
  <si>
    <t>284</t>
  </si>
  <si>
    <t>C00161</t>
  </si>
  <si>
    <t>HUSCO INTERNATIONAL PARTNERS LLP</t>
  </si>
  <si>
    <t>282</t>
  </si>
  <si>
    <t>283</t>
  </si>
  <si>
    <t>285</t>
  </si>
  <si>
    <t>869</t>
  </si>
  <si>
    <t>1001</t>
  </si>
  <si>
    <t>596</t>
  </si>
  <si>
    <t>519</t>
  </si>
  <si>
    <t>H09D02890000</t>
  </si>
  <si>
    <t>MOUNTING BRACKET (91521-1) C02</t>
  </si>
  <si>
    <t>787</t>
  </si>
  <si>
    <t>3025</t>
  </si>
  <si>
    <t>2968</t>
  </si>
  <si>
    <t>H09D150C0000</t>
  </si>
  <si>
    <t>CAPS POOL (3324-17  REV B01)</t>
  </si>
  <si>
    <t>4059</t>
  </si>
  <si>
    <t>4060</t>
  </si>
  <si>
    <t>4120</t>
  </si>
  <si>
    <t>4134</t>
  </si>
  <si>
    <t>C00161DT5330000</t>
  </si>
  <si>
    <t>CAPSPOOL 64206-3 (XA00)DT</t>
  </si>
  <si>
    <t>4148</t>
  </si>
  <si>
    <t>C00157D05310000</t>
  </si>
  <si>
    <t>CAPSPOOL 64206-1 (B05)</t>
  </si>
  <si>
    <t>4174</t>
  </si>
  <si>
    <t>4077</t>
  </si>
  <si>
    <t>C00506</t>
  </si>
  <si>
    <t>HUSCO INTERNATIONAL WAUKESHA - USA</t>
  </si>
  <si>
    <t>C00506D05170000</t>
  </si>
  <si>
    <t>CAP SPOOL (CX31846-2260B)</t>
  </si>
  <si>
    <t>4086</t>
  </si>
  <si>
    <t>C00506D005190000</t>
  </si>
  <si>
    <t>CAPSPOOL CX31846-2265(64395-A3 REV-A00)</t>
  </si>
  <si>
    <t>4083</t>
  </si>
  <si>
    <t>C00506D05190000</t>
  </si>
  <si>
    <t>4132</t>
  </si>
  <si>
    <t>C00506DT5310000</t>
  </si>
  <si>
    <t>CAPSPOOL 64206-1 (B05) DT</t>
  </si>
  <si>
    <t>4133</t>
  </si>
  <si>
    <t>C00506DT5320000</t>
  </si>
  <si>
    <t>CAPSPOOL 64206-2 (XB05)DT</t>
  </si>
  <si>
    <t>4150</t>
  </si>
  <si>
    <t>3051</t>
  </si>
  <si>
    <t>C00163</t>
  </si>
  <si>
    <t>HUSCO INTERNATIONAL-USA</t>
  </si>
  <si>
    <t>3052</t>
  </si>
  <si>
    <t>3072</t>
  </si>
  <si>
    <t>3098</t>
  </si>
  <si>
    <t>3112</t>
  </si>
  <si>
    <t>3114</t>
  </si>
  <si>
    <t>3117</t>
  </si>
  <si>
    <t>3156</t>
  </si>
  <si>
    <t>3212</t>
  </si>
  <si>
    <t>3116</t>
  </si>
  <si>
    <t>C00419</t>
  </si>
  <si>
    <t>HYDAC (INDIA) PRIVATE LIMITED</t>
  </si>
  <si>
    <t>C00419D003992122</t>
  </si>
  <si>
    <t>SPRING HOUSING-DETENT-899129</t>
  </si>
  <si>
    <t>3163</t>
  </si>
  <si>
    <t>C00419D399A21220</t>
  </si>
  <si>
    <t xml:space="preserve"> SPRING HOUSING-DETENT-HIGH FORCE 2 (2904730)</t>
  </si>
  <si>
    <t>4105</t>
  </si>
  <si>
    <t>C00525</t>
  </si>
  <si>
    <t>HYDAC (INDIA) PVT. LTD.(COIMBATORE)</t>
  </si>
  <si>
    <t>C00159P010590000</t>
  </si>
  <si>
    <t>BDE PROTECTIVE CAP , YELLOW -03529838 (2212197)</t>
  </si>
  <si>
    <t>4087</t>
  </si>
  <si>
    <t>C00481</t>
  </si>
  <si>
    <t>HYDERABAD PRECISION MFG. CO. PVT. LTD</t>
  </si>
  <si>
    <t>C00481D05220000</t>
  </si>
  <si>
    <t>BODY CASTING(C-1946G)</t>
  </si>
  <si>
    <t>404</t>
  </si>
  <si>
    <t>C00241</t>
  </si>
  <si>
    <t>INDUSTRIAL CONNECTIONS  AND  SOLUTIONS LLC</t>
  </si>
  <si>
    <t>M26D00350000</t>
  </si>
  <si>
    <t>B 07 (P1)</t>
  </si>
  <si>
    <t>459</t>
  </si>
  <si>
    <t>M26D00360000</t>
  </si>
  <si>
    <t>B 10 (P2)</t>
  </si>
  <si>
    <t>791</t>
  </si>
  <si>
    <t>M26D00370000</t>
  </si>
  <si>
    <t>B 12 (P3)</t>
  </si>
  <si>
    <t>663</t>
  </si>
  <si>
    <t>M26D00380000</t>
  </si>
  <si>
    <t>B 15 (P4)</t>
  </si>
  <si>
    <t>662</t>
  </si>
  <si>
    <t>M26D00390000</t>
  </si>
  <si>
    <t>B 20 (P5)</t>
  </si>
  <si>
    <t>790</t>
  </si>
  <si>
    <t>M26D00400000</t>
  </si>
  <si>
    <t>B 25 (P6)</t>
  </si>
  <si>
    <t>661</t>
  </si>
  <si>
    <t>M26D00410000</t>
  </si>
  <si>
    <t>TC 75 (P1)</t>
  </si>
  <si>
    <t>454</t>
  </si>
  <si>
    <t>M26D00420000</t>
  </si>
  <si>
    <t>TC 100 (P2)</t>
  </si>
  <si>
    <t>555</t>
  </si>
  <si>
    <t>M26D00430000</t>
  </si>
  <si>
    <t>TC 125 (P3)</t>
  </si>
  <si>
    <t>467</t>
  </si>
  <si>
    <t>M26D00440000</t>
  </si>
  <si>
    <t>TC 150 (P4)</t>
  </si>
  <si>
    <t>664</t>
  </si>
  <si>
    <t>M26D00450000</t>
  </si>
  <si>
    <t>TC 200 (P5)</t>
  </si>
  <si>
    <t>654</t>
  </si>
  <si>
    <t>M26D00460000</t>
  </si>
  <si>
    <t>TC 250 (P6)</t>
  </si>
  <si>
    <t>225</t>
  </si>
  <si>
    <t>M26D00470000</t>
  </si>
  <si>
    <t>TC 75 P (P1)</t>
  </si>
  <si>
    <t>652</t>
  </si>
  <si>
    <t>M26D00480000</t>
  </si>
  <si>
    <t>TC 100 P (P2)</t>
  </si>
  <si>
    <t>653</t>
  </si>
  <si>
    <t>M26D00490000</t>
  </si>
  <si>
    <t>TC 125 P (P3)</t>
  </si>
  <si>
    <t>697</t>
  </si>
  <si>
    <t>M26D00500000</t>
  </si>
  <si>
    <t>TC 150 P (P4)</t>
  </si>
  <si>
    <t>670</t>
  </si>
  <si>
    <t>M26D00510000</t>
  </si>
  <si>
    <t>TC 200 P (P5)</t>
  </si>
  <si>
    <t>965</t>
  </si>
  <si>
    <t>M26D00520000</t>
  </si>
  <si>
    <t>TC 250 P (P6)</t>
  </si>
  <si>
    <t>231</t>
  </si>
  <si>
    <t>M26D00530000</t>
  </si>
  <si>
    <t>U 07 (P7)</t>
  </si>
  <si>
    <t>3035</t>
  </si>
  <si>
    <t>M26D00540000</t>
  </si>
  <si>
    <t>U 10 (P8)</t>
  </si>
  <si>
    <t>460</t>
  </si>
  <si>
    <t>M26D00550000</t>
  </si>
  <si>
    <t>U 12 (P9)</t>
  </si>
  <si>
    <t>3027</t>
  </si>
  <si>
    <t>M26D00560000</t>
  </si>
  <si>
    <t>U 15 (P10)</t>
  </si>
  <si>
    <t>3024</t>
  </si>
  <si>
    <t>M26D00570000</t>
  </si>
  <si>
    <t>U 20 (P11)</t>
  </si>
  <si>
    <t>3023</t>
  </si>
  <si>
    <t>M26D00580000</t>
  </si>
  <si>
    <t>U 25 (P12)</t>
  </si>
  <si>
    <t>237</t>
  </si>
  <si>
    <t>M26D00590000</t>
  </si>
  <si>
    <t>U 07  P (P7)</t>
  </si>
  <si>
    <t>238</t>
  </si>
  <si>
    <t>M26D00600000</t>
  </si>
  <si>
    <t>U 10 P (P8)</t>
  </si>
  <si>
    <t>239</t>
  </si>
  <si>
    <t>M26D00610000</t>
  </si>
  <si>
    <t>U 12 P (P9)</t>
  </si>
  <si>
    <t>240</t>
  </si>
  <si>
    <t>M26D00620000</t>
  </si>
  <si>
    <t>U 15 P (P10)</t>
  </si>
  <si>
    <t>241</t>
  </si>
  <si>
    <t>M26D00630000</t>
  </si>
  <si>
    <t>U 20 P (P11)</t>
  </si>
  <si>
    <t>242</t>
  </si>
  <si>
    <t>M26D00640000</t>
  </si>
  <si>
    <t>U 25 P (P12)</t>
  </si>
  <si>
    <t>3048</t>
  </si>
  <si>
    <t>M26DPK087000</t>
  </si>
  <si>
    <t>PACKING STICKER TC125P</t>
  </si>
  <si>
    <t>3049</t>
  </si>
  <si>
    <t>M26DPK088000</t>
  </si>
  <si>
    <t>PACKING STICKER TC150P</t>
  </si>
  <si>
    <t>3050</t>
  </si>
  <si>
    <t>M26DPK089000</t>
  </si>
  <si>
    <t>PACKING STICKER TC200P</t>
  </si>
  <si>
    <t>3096</t>
  </si>
  <si>
    <t>4122</t>
  </si>
  <si>
    <t>C00241D05340000</t>
  </si>
  <si>
    <t>TC100A-164C3512 A</t>
  </si>
  <si>
    <t>4123</t>
  </si>
  <si>
    <t>C00241D05350000</t>
  </si>
  <si>
    <t>TC125B-164C3512 B</t>
  </si>
  <si>
    <t>4124</t>
  </si>
  <si>
    <t>C00241D05360000</t>
  </si>
  <si>
    <t>TC150A-164C3512 A</t>
  </si>
  <si>
    <t>4125</t>
  </si>
  <si>
    <t>C00241D05370000</t>
  </si>
  <si>
    <t>TC200A-164C3512 A</t>
  </si>
  <si>
    <t>4126</t>
  </si>
  <si>
    <t>C00241D05380000</t>
  </si>
  <si>
    <t>TC250A-164C3512 A</t>
  </si>
  <si>
    <t>4127</t>
  </si>
  <si>
    <t>C00241D05390000</t>
  </si>
  <si>
    <t>TC75A-164C3512 A</t>
  </si>
  <si>
    <t>3073</t>
  </si>
  <si>
    <t>C00179</t>
  </si>
  <si>
    <t>INTELLIGENT PLATFORMS,LLC</t>
  </si>
  <si>
    <t>874</t>
  </si>
  <si>
    <t>C00178</t>
  </si>
  <si>
    <t>ITW INDIA PRIVATE LIMITED</t>
  </si>
  <si>
    <t>I17D02940000</t>
  </si>
  <si>
    <t>COUNTER WEIGHT RH (52526 / 27-3-05-000)</t>
  </si>
  <si>
    <t>875</t>
  </si>
  <si>
    <t>I17D294A0000</t>
  </si>
  <si>
    <t>COUNTER WEIGHT LH (52527 / 27-3-05-000)</t>
  </si>
  <si>
    <t>4017</t>
  </si>
  <si>
    <t>C00178D488000000</t>
  </si>
  <si>
    <t>WEIGHT BALANCE (BA0000681200) REV 04</t>
  </si>
  <si>
    <t>299</t>
  </si>
  <si>
    <t>C00184</t>
  </si>
  <si>
    <t>J.P. SAUER  AND  SOHN</t>
  </si>
  <si>
    <t>J04D02620000</t>
  </si>
  <si>
    <t>DECKEL (040535C / b)</t>
  </si>
  <si>
    <t>302</t>
  </si>
  <si>
    <t>J04D02630000</t>
  </si>
  <si>
    <t>KORPER(040536B/A)</t>
  </si>
  <si>
    <t>300</t>
  </si>
  <si>
    <t>J04D02640000</t>
  </si>
  <si>
    <t>DECKEL (040545D / a)</t>
  </si>
  <si>
    <t>301</t>
  </si>
  <si>
    <t>J04D02650000</t>
  </si>
  <si>
    <t>KORPER (040546D / a)</t>
  </si>
  <si>
    <t>3043</t>
  </si>
  <si>
    <t>C00185</t>
  </si>
  <si>
    <t>JABIL CIRCUIT (GUANGZHOU) LTD</t>
  </si>
  <si>
    <t>471</t>
  </si>
  <si>
    <t>G04D01460000</t>
  </si>
  <si>
    <t>UCSA HOUSING ASSY (GE259B2452AEG01A)</t>
  </si>
  <si>
    <t>351</t>
  </si>
  <si>
    <t>J05D01460000</t>
  </si>
  <si>
    <t>UCSA ASSY  (GE259B2452AEG01)</t>
  </si>
  <si>
    <t>905</t>
  </si>
  <si>
    <t>C00183</t>
  </si>
  <si>
    <t>JAIN IRRIGATION SYSTEMS LTD</t>
  </si>
  <si>
    <t>J02D01970000</t>
  </si>
  <si>
    <t>BODY 423 –WITH SHAFT (WITHOUT PAINTING)</t>
  </si>
  <si>
    <t>916</t>
  </si>
  <si>
    <t>J02D0197B0000</t>
  </si>
  <si>
    <t>918</t>
  </si>
  <si>
    <t>J02D0197C0000</t>
  </si>
  <si>
    <t>BODY 423 WITH SHAFT (10758)</t>
  </si>
  <si>
    <t>979</t>
  </si>
  <si>
    <t>J02D01980000</t>
  </si>
  <si>
    <t>HAMMER 423 SPRINKLER WITHOUT PAINT</t>
  </si>
  <si>
    <t>1049</t>
  </si>
  <si>
    <t>J02D0198A0000</t>
  </si>
  <si>
    <t>HAMMER 423 WITHOUT MACHINING &amp; PAINTING (10759)</t>
  </si>
  <si>
    <t>884</t>
  </si>
  <si>
    <t>J02D02080000</t>
  </si>
  <si>
    <t>BODY 233-B (WITH PAINTING)</t>
  </si>
  <si>
    <t>915</t>
  </si>
  <si>
    <t>J02D0208A0000</t>
  </si>
  <si>
    <t>1034</t>
  </si>
  <si>
    <t>J02D02600000</t>
  </si>
  <si>
    <t>BODY 233-PC AS CAST</t>
  </si>
  <si>
    <t>1031</t>
  </si>
  <si>
    <t>J02D02620000</t>
  </si>
  <si>
    <t>BODY 234 SPRINKLER AS COST</t>
  </si>
  <si>
    <t>922</t>
  </si>
  <si>
    <t>J02D0262A0000</t>
  </si>
  <si>
    <t>491</t>
  </si>
  <si>
    <t>J02D0EMC1314</t>
  </si>
  <si>
    <t>END MILL CUTTER 7.6 MM FOR 423 HAMMER (DDR001)</t>
  </si>
  <si>
    <t>487</t>
  </si>
  <si>
    <t>J02D0FIX0000</t>
  </si>
  <si>
    <t>MACHINING FIXTURE FOR 423 HAMMER</t>
  </si>
  <si>
    <t>486</t>
  </si>
  <si>
    <t>J02D197A0000</t>
  </si>
  <si>
    <t>BODY 423 –WITHOUT SHAFT</t>
  </si>
  <si>
    <t>1048</t>
  </si>
  <si>
    <t>J02D197B0000</t>
  </si>
  <si>
    <t>BODY 423 AS CAST</t>
  </si>
  <si>
    <t>920</t>
  </si>
  <si>
    <t>J02D197C0000</t>
  </si>
  <si>
    <t>BODY 423–WITH SHAFT &amp; MACHINING (WITHOUT PAINT)</t>
  </si>
  <si>
    <t>880</t>
  </si>
  <si>
    <t>J02D198A0000</t>
  </si>
  <si>
    <t>HAMMER 423 SPRINKLR WITH PAINT &amp; MACHINING (10758)</t>
  </si>
  <si>
    <t>919</t>
  </si>
  <si>
    <t>J02D198B0000</t>
  </si>
  <si>
    <t>HAMMER423 SPRINKLR (WITHOUT PAINT &amp; MACHINING)</t>
  </si>
  <si>
    <t>1032</t>
  </si>
  <si>
    <t>J02D208A0000</t>
  </si>
  <si>
    <t>BODY 233-B AS CAST</t>
  </si>
  <si>
    <t>817</t>
  </si>
  <si>
    <t>J02D208B0000</t>
  </si>
  <si>
    <t>BODY 233-B (GOLDEN PAINT)</t>
  </si>
  <si>
    <t>971</t>
  </si>
  <si>
    <t>J02D208C0000</t>
  </si>
  <si>
    <t>BODY (RED PAINT) 233-B</t>
  </si>
  <si>
    <t>980</t>
  </si>
  <si>
    <t>J02D262A0000</t>
  </si>
  <si>
    <t>BODY 234 - PC (0201049013)</t>
  </si>
  <si>
    <t>589</t>
  </si>
  <si>
    <t>J02D309A0000</t>
  </si>
  <si>
    <t>(LABOUR CHARGE) HAMMER 423 SRINKLER WITH PAINTING</t>
  </si>
  <si>
    <t>492</t>
  </si>
  <si>
    <t>J02DEMCA1314</t>
  </si>
  <si>
    <t>END MILL CUTTER 10MM (DEM001)</t>
  </si>
  <si>
    <t>3083</t>
  </si>
  <si>
    <t>C00357</t>
  </si>
  <si>
    <t>JOYSON ANAND ABHISHEK SAFETY SYSTEMS PRIVATE LIMITED</t>
  </si>
  <si>
    <t>T18D01790000</t>
  </si>
  <si>
    <t>PT COVER NISSAN (1078218-AA)</t>
  </si>
  <si>
    <t>3082</t>
  </si>
  <si>
    <t>T18D01800000</t>
  </si>
  <si>
    <t>LOCKING BASE 1078241-AA</t>
  </si>
  <si>
    <t>3080</t>
  </si>
  <si>
    <t>T18D01810000</t>
  </si>
  <si>
    <t>GUIDE BLOCK 1078217-AA</t>
  </si>
  <si>
    <t>1000</t>
  </si>
  <si>
    <t>T18D02130000</t>
  </si>
  <si>
    <t>PT COVER XENON (1091664-AA)</t>
  </si>
  <si>
    <t>3204</t>
  </si>
  <si>
    <t>4023</t>
  </si>
  <si>
    <t>C00357D001TF2324</t>
  </si>
  <si>
    <t>PACKING COST FOR 4 SETS OF DIES &amp; FIXTURES</t>
  </si>
  <si>
    <t>4024</t>
  </si>
  <si>
    <t>C00357D002TF2324</t>
  </si>
  <si>
    <t>FREIGHT CHARGES FOR 4 SETS OF DIES &amp; FIXTURES</t>
  </si>
  <si>
    <t>935</t>
  </si>
  <si>
    <t>C00192</t>
  </si>
  <si>
    <t>KNAPPCO LLC</t>
  </si>
  <si>
    <t>K03D03640000</t>
  </si>
  <si>
    <t>PUCK, NV4000 SHUT OFF (13189) B</t>
  </si>
  <si>
    <t>936</t>
  </si>
  <si>
    <t>K03D03650000</t>
  </si>
  <si>
    <t>BODY, NV4000 (13154) C</t>
  </si>
  <si>
    <t>937</t>
  </si>
  <si>
    <t>K03D03660000</t>
  </si>
  <si>
    <t>HOUSING, ROLLOVER PUCK (13159) D</t>
  </si>
  <si>
    <t>2981</t>
  </si>
  <si>
    <t>K03D365A0000</t>
  </si>
  <si>
    <t>BODY, NV4000E (13154E) C</t>
  </si>
  <si>
    <t>643</t>
  </si>
  <si>
    <t>C00214</t>
  </si>
  <si>
    <t>LUCAS-TVS LTD. PONDY</t>
  </si>
  <si>
    <t>L11D028A0000</t>
  </si>
  <si>
    <t>BODY HOUSING DM4 CASTING (26412091)</t>
  </si>
  <si>
    <t>493</t>
  </si>
  <si>
    <t>L11D030A0000</t>
  </si>
  <si>
    <t>YE2 HOUSING CASTING (26412422)</t>
  </si>
  <si>
    <t>3106</t>
  </si>
  <si>
    <t>C00235</t>
  </si>
  <si>
    <t>MAHLE ELECTRIC DRIVES INDIA PVT LTD.,</t>
  </si>
  <si>
    <t>C00235D394000000</t>
  </si>
  <si>
    <t>REAR END BRACKET (15125396) REV 9 (COMP WG 0.412*7 =RS.2.8)</t>
  </si>
  <si>
    <t>3143</t>
  </si>
  <si>
    <t>C00235D405212200</t>
  </si>
  <si>
    <t>PROTECTIVE COVER_D15422567</t>
  </si>
  <si>
    <t>3150</t>
  </si>
  <si>
    <t>C00235D409212200</t>
  </si>
  <si>
    <t>REAR END BRACKET (P-045072_15126653)</t>
  </si>
  <si>
    <t>3151</t>
  </si>
  <si>
    <t>C00235D410212200</t>
  </si>
  <si>
    <t>HOUSING (P-057452)</t>
  </si>
  <si>
    <t>3161</t>
  </si>
  <si>
    <t>C00235D415212200</t>
  </si>
  <si>
    <t>RING (15422596)</t>
  </si>
  <si>
    <t>3194</t>
  </si>
  <si>
    <t>C00235D435002223</t>
  </si>
  <si>
    <t>REAR END BRACKET (15125602)</t>
  </si>
  <si>
    <t>3196</t>
  </si>
  <si>
    <t>C00235D437002223</t>
  </si>
  <si>
    <t>STATOR HOUSING (31000040)</t>
  </si>
  <si>
    <t>3197</t>
  </si>
  <si>
    <t>C00235D438002223</t>
  </si>
  <si>
    <t>REAR HOUSING (31000041)</t>
  </si>
  <si>
    <t>3218</t>
  </si>
  <si>
    <t>C00235D455002223</t>
  </si>
  <si>
    <t>PROTECTIVE COVER (15125656)</t>
  </si>
  <si>
    <t>3228</t>
  </si>
  <si>
    <t>C00235D045802223</t>
  </si>
  <si>
    <t>HOUSING_15422348 REV-03</t>
  </si>
  <si>
    <t>3237</t>
  </si>
  <si>
    <t>C00235D474002324</t>
  </si>
  <si>
    <t>PRESSURE PLATE (154,5 x 68,5 x 10,1)_(15210319)_REV1</t>
  </si>
  <si>
    <t>3238</t>
  </si>
  <si>
    <t>C00235D475002324</t>
  </si>
  <si>
    <t>TERMINAL (50,3 X 43 X 13)_(15552465)_REV11</t>
  </si>
  <si>
    <t>3239</t>
  </si>
  <si>
    <t>C00235D476002324</t>
  </si>
  <si>
    <t>TERMINAL( 56,7 X 19,5 X 38,7)_(15552466)_REV10</t>
  </si>
  <si>
    <t>4016</t>
  </si>
  <si>
    <t>C00235D485000000</t>
  </si>
  <si>
    <t>PUSH PLATE 154.25X68.5X13.5(ASSEMBLY)_15210320 REV 4</t>
  </si>
  <si>
    <t>4015</t>
  </si>
  <si>
    <t>C00235D486000000</t>
  </si>
  <si>
    <t>HOUSING (15422662) REV 6</t>
  </si>
  <si>
    <t>4014</t>
  </si>
  <si>
    <t>C00235D487000000</t>
  </si>
  <si>
    <t>GROUND PLATE SUZUKI P-087289 (D15200486) REV 9</t>
  </si>
  <si>
    <t>4064</t>
  </si>
  <si>
    <t>C00235DT48600000</t>
  </si>
  <si>
    <t>4063</t>
  </si>
  <si>
    <t>C00235DT51000000</t>
  </si>
  <si>
    <t>GROUND PLATE (15120737)</t>
  </si>
  <si>
    <t>4072</t>
  </si>
  <si>
    <t>C00235D051000000</t>
  </si>
  <si>
    <t>xxxxx</t>
  </si>
  <si>
    <t>4081</t>
  </si>
  <si>
    <t>C00235D005080000</t>
  </si>
  <si>
    <t>GROUND PLATE RIVER P-123783 (D15120737)</t>
  </si>
  <si>
    <t>4096</t>
  </si>
  <si>
    <t>C00235D05270000</t>
  </si>
  <si>
    <t>BRISK GROUND PLATE(15210324)</t>
  </si>
  <si>
    <t>4128</t>
  </si>
  <si>
    <t>C00235D05410000</t>
  </si>
  <si>
    <t>GROUND PLATE ( AL )- HEAT SINK (15120766)</t>
  </si>
  <si>
    <t>4135</t>
  </si>
  <si>
    <t>C00235DAC4580000</t>
  </si>
  <si>
    <t>ATHER HOUSING (15422348 ) FULL SHOT CASTING</t>
  </si>
  <si>
    <t>4161</t>
  </si>
  <si>
    <t>C00530DT5540000</t>
  </si>
  <si>
    <t>GROUND PLATE HEAT SINK -P-123308-00/01 (15120736)</t>
  </si>
  <si>
    <t>4176</t>
  </si>
  <si>
    <t>C00530DT5520000</t>
  </si>
  <si>
    <t>REAR END BRACKET - 15127080 ( RIVER )</t>
  </si>
  <si>
    <t>4099</t>
  </si>
  <si>
    <t>C00515</t>
  </si>
  <si>
    <t>MECH COMPONENTS PVT. LTD.</t>
  </si>
  <si>
    <t>2960</t>
  </si>
  <si>
    <t>C00223</t>
  </si>
  <si>
    <t>MOTORY INTERNATIONAL S.R.O.</t>
  </si>
  <si>
    <t>2959</t>
  </si>
  <si>
    <t>2961</t>
  </si>
  <si>
    <t>3029</t>
  </si>
  <si>
    <t>4048</t>
  </si>
  <si>
    <t>C00500</t>
  </si>
  <si>
    <t>NASH PRODUCTS</t>
  </si>
  <si>
    <t>C00500D0005070000</t>
  </si>
  <si>
    <t>HT/SNK-RADO RECV AMPL (VPSYSF-18B890-AB)</t>
  </si>
  <si>
    <t>3992</t>
  </si>
  <si>
    <t>C00106</t>
  </si>
  <si>
    <t>OEC MEDICAL SYSTEMS INC</t>
  </si>
  <si>
    <t>3108</t>
  </si>
  <si>
    <t>C00402</t>
  </si>
  <si>
    <t>OMNI MATRIX PRIVATE LIMITED</t>
  </si>
  <si>
    <t>C00402D039600000</t>
  </si>
  <si>
    <t>CAP SPOOL(63440-A3) REV A00</t>
  </si>
  <si>
    <t>3109</t>
  </si>
  <si>
    <t>3200</t>
  </si>
  <si>
    <t>4084</t>
  </si>
  <si>
    <t>C00506D05200000</t>
  </si>
  <si>
    <t>CAPSPOOL(64395-A2  REV-A00)</t>
  </si>
  <si>
    <t>4085</t>
  </si>
  <si>
    <t>C00506D05210000</t>
  </si>
  <si>
    <t>CAPSPOOL(64395-A1 REV-A00)</t>
  </si>
  <si>
    <t>4142</t>
  </si>
  <si>
    <t>4141</t>
  </si>
  <si>
    <t>4140</t>
  </si>
  <si>
    <t>468</t>
  </si>
  <si>
    <t>C00268</t>
  </si>
  <si>
    <t>PARKER HANNIFIN INDIA PVT LTD</t>
  </si>
  <si>
    <t>P19D02710000</t>
  </si>
  <si>
    <t>Multiport (THF–S12-00003-01)</t>
  </si>
  <si>
    <t>470</t>
  </si>
  <si>
    <t>P19D271A0000</t>
  </si>
  <si>
    <t>HEAD 600 SERIES MACHINED (I-F-C01-00-S00004)</t>
  </si>
  <si>
    <t>469</t>
  </si>
  <si>
    <t>P19D271B0000</t>
  </si>
  <si>
    <t>HEAD HYUNDAI (KF 130014)</t>
  </si>
  <si>
    <t>484</t>
  </si>
  <si>
    <t>P19D271C0000</t>
  </si>
  <si>
    <t>HEAD KIRLOSKAR (I-FC01-00-S00012 )</t>
  </si>
  <si>
    <t>496</t>
  </si>
  <si>
    <t>P19D271D0000</t>
  </si>
  <si>
    <t>GREAVES HEAD (I-F-C01-00-S00009)</t>
  </si>
  <si>
    <t>610</t>
  </si>
  <si>
    <t>P19D271E0000</t>
  </si>
  <si>
    <t>MULTIPORT (CHARGE FOR LEAK TESTING)</t>
  </si>
  <si>
    <t>3136</t>
  </si>
  <si>
    <t>C00436</t>
  </si>
  <si>
    <t>PREBO AUTOMOTIVE PRIVATE LIMITED</t>
  </si>
  <si>
    <t>3137</t>
  </si>
  <si>
    <t>3135</t>
  </si>
  <si>
    <t>3133</t>
  </si>
  <si>
    <t>3140</t>
  </si>
  <si>
    <t>3138</t>
  </si>
  <si>
    <t>3139</t>
  </si>
  <si>
    <t>3134</t>
  </si>
  <si>
    <t>3149</t>
  </si>
  <si>
    <t>3148</t>
  </si>
  <si>
    <t>3164</t>
  </si>
  <si>
    <t>3165</t>
  </si>
  <si>
    <t>3192</t>
  </si>
  <si>
    <t>3195</t>
  </si>
  <si>
    <t>3202</t>
  </si>
  <si>
    <t>3998</t>
  </si>
  <si>
    <t>C00436PSUPJUL230000</t>
  </si>
  <si>
    <t>SUPPLEMENTARY VALUE JUL'2023</t>
  </si>
  <si>
    <t>3997</t>
  </si>
  <si>
    <t>C00436PSUPJUN230000</t>
  </si>
  <si>
    <t>SUPPLEMENTARY VALUE FROM JAN TO JUN'2023</t>
  </si>
  <si>
    <t>4018</t>
  </si>
  <si>
    <t>C00436D1SCRA2324</t>
  </si>
  <si>
    <t>GEAR HOUSING BARH (0399401539) [660 PCS]</t>
  </si>
  <si>
    <t>4019</t>
  </si>
  <si>
    <t>C00436D2SCRA2324</t>
  </si>
  <si>
    <t>GEAR HOUSING J92 (019804C074) [1,792 PCS)</t>
  </si>
  <si>
    <t>4020</t>
  </si>
  <si>
    <t>C00436D3SCRA2324</t>
  </si>
  <si>
    <t>HOUSING PS-097 (0198 04L.097) [886 PCS]</t>
  </si>
  <si>
    <t>4021</t>
  </si>
  <si>
    <t>C00436D4SCRA2324</t>
  </si>
  <si>
    <t>HOUSING DS-091 (0198 04L.091) [450 PCS]</t>
  </si>
  <si>
    <t>4028</t>
  </si>
  <si>
    <t>C00492DT49000000</t>
  </si>
  <si>
    <t>4055</t>
  </si>
  <si>
    <t>4056</t>
  </si>
  <si>
    <t>4111</t>
  </si>
  <si>
    <t>4113</t>
  </si>
  <si>
    <t>4112</t>
  </si>
  <si>
    <t>4114</t>
  </si>
  <si>
    <t>310</t>
  </si>
  <si>
    <t>C00281</t>
  </si>
  <si>
    <t>RANE 2-TRW STEERING SYS PVT LTD - GPL UNIT 2</t>
  </si>
  <si>
    <t>R09D01580000</t>
  </si>
  <si>
    <t>LOCKING PAWL (020400100)</t>
  </si>
  <si>
    <t>416</t>
  </si>
  <si>
    <t>R09D02110000</t>
  </si>
  <si>
    <t>SPOOL - RP2IS (TIP)-024 4001 00</t>
  </si>
  <si>
    <t>577</t>
  </si>
  <si>
    <t>R09D02120000</t>
  </si>
  <si>
    <t>DISC GEAR (024 4004 12)</t>
  </si>
  <si>
    <t>479</t>
  </si>
  <si>
    <t>R09D02250000</t>
  </si>
  <si>
    <t>SPOOL MODEL 3.5 -018 4002 00</t>
  </si>
  <si>
    <t>480</t>
  </si>
  <si>
    <t>R09D02260000</t>
  </si>
  <si>
    <t>LOCK PAWL MODEL 3.5- 018 4001 15</t>
  </si>
  <si>
    <t>419</t>
  </si>
  <si>
    <t>R09D02760000</t>
  </si>
  <si>
    <t>SPOOL MODEL 3.5MS (014 4001 00)</t>
  </si>
  <si>
    <t>420</t>
  </si>
  <si>
    <t>R09D02770000</t>
  </si>
  <si>
    <t>LOCK PAWL MODEL 3.5MS (014 4002 00 )</t>
  </si>
  <si>
    <t>806</t>
  </si>
  <si>
    <t>R09D02880000</t>
  </si>
  <si>
    <t>SPOOL FS1 (34138931/B02)</t>
  </si>
  <si>
    <t>644</t>
  </si>
  <si>
    <t>R09D03190000</t>
  </si>
  <si>
    <t>LOCKING DISC-ACR8 (CV 34185550)</t>
  </si>
  <si>
    <t>309</t>
  </si>
  <si>
    <t>R09D159A0000</t>
  </si>
  <si>
    <t>SPOOL (Al) DIA REDUCED - 3.0 SPS LEFT-020 4007 00</t>
  </si>
  <si>
    <t>254</t>
  </si>
  <si>
    <t>R09D159B0000</t>
  </si>
  <si>
    <t>SPOOL (Al) DIA REDUCED - 3.0 SPS RIGHT-020 4006 00</t>
  </si>
  <si>
    <t>558</t>
  </si>
  <si>
    <t>C00282</t>
  </si>
  <si>
    <t>REVERE PLASTICS SYSTEMS</t>
  </si>
  <si>
    <t>R10D02230000</t>
  </si>
  <si>
    <t>INSERT BASKET BOTTOM VIPER REFRESH</t>
  </si>
  <si>
    <t>4157</t>
  </si>
  <si>
    <t>C00538</t>
  </si>
  <si>
    <t>RIETER (CHINA) TEXTILE INSTRUMENTS CO., LTD.</t>
  </si>
  <si>
    <t>C00448D444002223</t>
  </si>
  <si>
    <t>GEAR HOUSING (149-018.292)</t>
  </si>
  <si>
    <t>4154</t>
  </si>
  <si>
    <t>S30D03320000</t>
  </si>
  <si>
    <t>YARN GUIDE TUBE (171-018.419/A)</t>
  </si>
  <si>
    <t>4155</t>
  </si>
  <si>
    <t>S30D03340000</t>
  </si>
  <si>
    <t>SUPPORTING ARM DV (159-004.093)</t>
  </si>
  <si>
    <t>4156</t>
  </si>
  <si>
    <t>S30D03350000</t>
  </si>
  <si>
    <t>GUIDE TUBE (159-003.474)</t>
  </si>
  <si>
    <t>4183</t>
  </si>
  <si>
    <t>C00448D05180000</t>
  </si>
  <si>
    <t>CENTERING DEVICE (171-025.803)</t>
  </si>
  <si>
    <t>3166</t>
  </si>
  <si>
    <t>C00448</t>
  </si>
  <si>
    <t>RIETER AUTOMATIC WINDER GMBH</t>
  </si>
  <si>
    <t>3167</t>
  </si>
  <si>
    <t>S30D03330000</t>
  </si>
  <si>
    <t>YARN GUIDE HOPPER DV (159-003.487)</t>
  </si>
  <si>
    <t>3168</t>
  </si>
  <si>
    <t>3169</t>
  </si>
  <si>
    <t>3205</t>
  </si>
  <si>
    <t>C00448D439002223</t>
  </si>
  <si>
    <t>GUIDE TUBE (171-021.778)</t>
  </si>
  <si>
    <t>3206</t>
  </si>
  <si>
    <t>C00448D004402223</t>
  </si>
  <si>
    <t>END PLATE (171-018.758)</t>
  </si>
  <si>
    <t>3208</t>
  </si>
  <si>
    <t>C00448D442002223</t>
  </si>
  <si>
    <t>YARN GUIDE FUNNEL DV-SP (171-009.901)</t>
  </si>
  <si>
    <t>3213</t>
  </si>
  <si>
    <t>3214</t>
  </si>
  <si>
    <t>3220</t>
  </si>
  <si>
    <t>C00448D431002223</t>
  </si>
  <si>
    <t>MAGNETIC HOLDER(171-020.481)</t>
  </si>
  <si>
    <t>3222</t>
  </si>
  <si>
    <t>C00448D459222300</t>
  </si>
  <si>
    <t>SUPPORTING ARM (171-013.359)</t>
  </si>
  <si>
    <t>4065</t>
  </si>
  <si>
    <t>C00448D510000000</t>
  </si>
  <si>
    <t>YARN GUIDE TUBE (171-027.271/A)</t>
  </si>
  <si>
    <t>4066</t>
  </si>
  <si>
    <t>C00448D511000000</t>
  </si>
  <si>
    <t>GUIDE TUBE (171-027.388)</t>
  </si>
  <si>
    <t>4078</t>
  </si>
  <si>
    <t>4182</t>
  </si>
  <si>
    <t>C00448D5110000000</t>
  </si>
  <si>
    <t>YARN GUIDE TUBE  (171-027.295) REV-B</t>
  </si>
  <si>
    <t>4025</t>
  </si>
  <si>
    <t>C00492</t>
  </si>
  <si>
    <t>ROBERT BOSCH D.O.O</t>
  </si>
  <si>
    <t>4033</t>
  </si>
  <si>
    <t>4051</t>
  </si>
  <si>
    <t>4052</t>
  </si>
  <si>
    <t>4067</t>
  </si>
  <si>
    <t>4097</t>
  </si>
  <si>
    <t>4098</t>
  </si>
  <si>
    <t>C00492D04980000</t>
  </si>
  <si>
    <t>ARM HEAD FASTENING PART (33921250GX)</t>
  </si>
  <si>
    <t>4101</t>
  </si>
  <si>
    <t>C00492D04930000</t>
  </si>
  <si>
    <t>ARM HEAD FASTENING PART (33921250GL)</t>
  </si>
  <si>
    <t>4100</t>
  </si>
  <si>
    <t>4102</t>
  </si>
  <si>
    <t>4103</t>
  </si>
  <si>
    <t>4104</t>
  </si>
  <si>
    <t>C00492D494000000</t>
  </si>
  <si>
    <t>4139</t>
  </si>
  <si>
    <t>C00492TD00262324DM699</t>
  </si>
  <si>
    <t xml:space="preserve">ARM HEAD FASTENING PART (33921250GC) SINGLE CAVITY PDC DIE			</t>
  </si>
  <si>
    <t>3107</t>
  </si>
  <si>
    <t>C00393</t>
  </si>
  <si>
    <t>ROOTS INDUSTRIES INDIA LIMITED</t>
  </si>
  <si>
    <t>C003930395000000</t>
  </si>
  <si>
    <t>HEAT SINK (921001) REV-B</t>
  </si>
  <si>
    <t>3127</t>
  </si>
  <si>
    <t>C00393TM03950000</t>
  </si>
  <si>
    <t xml:space="preserve">ENGINEERING &amp; TRIAL CHARGES	</t>
  </si>
  <si>
    <t>3130</t>
  </si>
  <si>
    <t>954</t>
  </si>
  <si>
    <t>C00326</t>
  </si>
  <si>
    <t>SATHYA AUTO PRIVATE LIMITED</t>
  </si>
  <si>
    <t>3026</t>
  </si>
  <si>
    <t>C00345</t>
  </si>
  <si>
    <t>SAURER (JIANGSU) TEXTILE MACHINERY. CO. LTD.</t>
  </si>
  <si>
    <t>S30D003370000</t>
  </si>
  <si>
    <t>BEARING PIECE (677 480 0100 340 Rev D)</t>
  </si>
  <si>
    <t>899</t>
  </si>
  <si>
    <t>C00319</t>
  </si>
  <si>
    <t>SAURER SPINNING SOLUTIONS GMBH AND CO. KG</t>
  </si>
  <si>
    <t xml:space="preserve">	S31D352B0000</t>
  </si>
  <si>
    <t>3022</t>
  </si>
  <si>
    <t>3038</t>
  </si>
  <si>
    <t>3037</t>
  </si>
  <si>
    <t>3077</t>
  </si>
  <si>
    <t>3039</t>
  </si>
  <si>
    <t>789</t>
  </si>
  <si>
    <t>S30D03390000</t>
  </si>
  <si>
    <t>THREAD GUIDE TUBE 281-630 (159.003.471)</t>
  </si>
  <si>
    <t>898</t>
  </si>
  <si>
    <t>S31D352A0000</t>
  </si>
  <si>
    <t>BEARING BASE ASSY (1315142)</t>
  </si>
  <si>
    <t>3189</t>
  </si>
  <si>
    <t>C00319D432002223</t>
  </si>
  <si>
    <t>DUCT HOLDER 1_161-013.245</t>
  </si>
  <si>
    <t>3190</t>
  </si>
  <si>
    <t>C00319D433002223</t>
  </si>
  <si>
    <t>DUCT HOLDER 2_161-013.246 (COMP WG 0.400*7=RS.2.8)</t>
  </si>
  <si>
    <t>3191</t>
  </si>
  <si>
    <t>C00319D434002223</t>
  </si>
  <si>
    <t>A.DUCT HOLDER _161-013.247</t>
  </si>
  <si>
    <t>2980</t>
  </si>
  <si>
    <t>C00343</t>
  </si>
  <si>
    <t>SAURER TECHNOLOGIES GMBH  AND  CO. KG</t>
  </si>
  <si>
    <t>S30D03250000</t>
  </si>
  <si>
    <t>SUPPORT (1295625)</t>
  </si>
  <si>
    <t>3033</t>
  </si>
  <si>
    <t>2997</t>
  </si>
  <si>
    <t>S31D352B0000</t>
  </si>
  <si>
    <t>BEARING SHELL (1315126)</t>
  </si>
  <si>
    <t>763</t>
  </si>
  <si>
    <t>C00320</t>
  </si>
  <si>
    <t>SAURER TEXTILE SOLUTIONS PRIVATE LIMITED</t>
  </si>
  <si>
    <t>730</t>
  </si>
  <si>
    <t>762</t>
  </si>
  <si>
    <t>S30D03380000</t>
  </si>
  <si>
    <t>SPINDLE POT BOTTOM (678 266 0101 900 REV F)</t>
  </si>
  <si>
    <t>2988</t>
  </si>
  <si>
    <t>S30D03790000</t>
  </si>
  <si>
    <t>BRACKET IPOS 75 (361-002.767/A)</t>
  </si>
  <si>
    <t>2987</t>
  </si>
  <si>
    <t>S30D03800000</t>
  </si>
  <si>
    <t>AUSRUECKHEBEL/DIS ENGAGING LEVER (4-393.60.0003/A)</t>
  </si>
  <si>
    <t>3032</t>
  </si>
  <si>
    <t>S31D03530000</t>
  </si>
  <si>
    <t>INSERT 0 (4 – 234.30.0445) A</t>
  </si>
  <si>
    <t>891</t>
  </si>
  <si>
    <t>S31D03540000</t>
  </si>
  <si>
    <t>ARTICULATION PIECE (4 – 600.85.0070 ) C</t>
  </si>
  <si>
    <t>892</t>
  </si>
  <si>
    <t>S31D03550000</t>
  </si>
  <si>
    <t>INSERT 0 (4 – 234.30.0431) C</t>
  </si>
  <si>
    <t>893</t>
  </si>
  <si>
    <t>S31D03560000</t>
  </si>
  <si>
    <t>BEARING SLIDE / MUW (4 – 263.33.0690) D</t>
  </si>
  <si>
    <t>3031</t>
  </si>
  <si>
    <t>S31D03570000</t>
  </si>
  <si>
    <t>BEARING SLIDE / AUW (4 – 263.33.0780) F</t>
  </si>
  <si>
    <t>895</t>
  </si>
  <si>
    <t>S31D03580000</t>
  </si>
  <si>
    <t>BEARING SLIDE / EUW (4 – 263.33.0810) B</t>
  </si>
  <si>
    <t>3036</t>
  </si>
  <si>
    <t>S31D03590000</t>
  </si>
  <si>
    <t>SUPPORT (3 – 360.30.0002)</t>
  </si>
  <si>
    <t>3034</t>
  </si>
  <si>
    <t>S31D03600000</t>
  </si>
  <si>
    <t>BEARING SLIDE / EUW (4 – 340.37.0005)</t>
  </si>
  <si>
    <t>974</t>
  </si>
  <si>
    <t>S31D03610000</t>
  </si>
  <si>
    <t>BEARING SLIDE / MUW (4 – 340.37.0010)</t>
  </si>
  <si>
    <t>975</t>
  </si>
  <si>
    <t>S31D03620000</t>
  </si>
  <si>
    <t>BEARING SLIDE / MW (4 – 340.37.0011)</t>
  </si>
  <si>
    <t>912</t>
  </si>
  <si>
    <t>S31D03630000</t>
  </si>
  <si>
    <t>BEARING (6-600.85.0110 ) B</t>
  </si>
  <si>
    <t>1015</t>
  </si>
  <si>
    <t>S31D03730000</t>
  </si>
  <si>
    <t>PULLEY 70 (522 0 542 42 353 REV.B)</t>
  </si>
  <si>
    <t>976</t>
  </si>
  <si>
    <t>S31D03760000</t>
  </si>
  <si>
    <t>BEARING SLIDE (4 -660.33.0050)</t>
  </si>
  <si>
    <t>3075</t>
  </si>
  <si>
    <t>C00298</t>
  </si>
  <si>
    <t>SAVIO INDIA LIMITED</t>
  </si>
  <si>
    <t>S09D03040000</t>
  </si>
  <si>
    <t>FLANGE-320 WITH MACHINING (16101.0320.0/3)</t>
  </si>
  <si>
    <t>2984</t>
  </si>
  <si>
    <t>S09D03050000</t>
  </si>
  <si>
    <t>FLANGE-321 WITH MACHINING (16101.0321.0/3)</t>
  </si>
  <si>
    <t>564</t>
  </si>
  <si>
    <t>S09D03060000</t>
  </si>
  <si>
    <t>FLANGE (16101_0291_1_3)</t>
  </si>
  <si>
    <t>2983</t>
  </si>
  <si>
    <t>S09D03380000</t>
  </si>
  <si>
    <t>HUB SPOLA PSR PULSAR-6697 (16121.0163.0/0)</t>
  </si>
  <si>
    <t>807</t>
  </si>
  <si>
    <t>S09D03390000</t>
  </si>
  <si>
    <t>SUPPORTO FERMACADUTE PULSAR (006652.0.0)</t>
  </si>
  <si>
    <t>572</t>
  </si>
  <si>
    <t>S09D304A0000</t>
  </si>
  <si>
    <t>FLANGE-320 AS CAST (L16101.0320.0/5)</t>
  </si>
  <si>
    <t>574</t>
  </si>
  <si>
    <t>S09D305A0000</t>
  </si>
  <si>
    <t>FLANGE-321 AS CAST (L16101.0321.0/5)</t>
  </si>
  <si>
    <t>628</t>
  </si>
  <si>
    <t>S09D306A0000</t>
  </si>
  <si>
    <t>FLANGE AS CAST (16101_0291_1_5)</t>
  </si>
  <si>
    <t>588</t>
  </si>
  <si>
    <t>S09D310A0000</t>
  </si>
  <si>
    <t>FLANGE MACHINING CHARGES ONLY (26101.0166.0/0)</t>
  </si>
  <si>
    <t>3129</t>
  </si>
  <si>
    <t>C00298ECN0262122</t>
  </si>
  <si>
    <t>ECN FOR 16121.0163-IRP9-HUB-PO FOR TOOL CORRECTION</t>
  </si>
  <si>
    <t>3144</t>
  </si>
  <si>
    <t>849</t>
  </si>
  <si>
    <t>C00328</t>
  </si>
  <si>
    <t>SIGMA ELECTRIC MANUFACTURING CORP.PVT LTD. A4</t>
  </si>
  <si>
    <t>W06D03490000</t>
  </si>
  <si>
    <t>REMOTE INLET ADAPTER SUB ASSEMBLY (WM041968-004)00</t>
  </si>
  <si>
    <t>329</t>
  </si>
  <si>
    <t>C00310</t>
  </si>
  <si>
    <t>SRI BALAJI ASSEMBLIES  AND  PLASTICS PVT LTD UNIT-V</t>
  </si>
  <si>
    <t>S21D00110000</t>
  </si>
  <si>
    <t>939</t>
  </si>
  <si>
    <t>C00311</t>
  </si>
  <si>
    <t>SUNDAR ENTERPRISES</t>
  </si>
  <si>
    <t>S22D01230000</t>
  </si>
  <si>
    <t>TOP COVER</t>
  </si>
  <si>
    <t>319</t>
  </si>
  <si>
    <t>S22D02090000</t>
  </si>
  <si>
    <t>GEAR HOUSING (SUNDAR)</t>
  </si>
  <si>
    <t>526</t>
  </si>
  <si>
    <t>S22D02100000</t>
  </si>
  <si>
    <t>MUSICAL TOP COVER (SUNDAR)</t>
  </si>
  <si>
    <t>348</t>
  </si>
  <si>
    <t>S22D02780000</t>
  </si>
  <si>
    <t>COMPRESSOR BODY (120101)</t>
  </si>
  <si>
    <t>728</t>
  </si>
  <si>
    <t>C00309</t>
  </si>
  <si>
    <t>SYRMA TECHNOLOGY PVT. LTD.</t>
  </si>
  <si>
    <t>S20D03220000</t>
  </si>
  <si>
    <t>RING ZINC INERTIA (4235-021-14521 R1)</t>
  </si>
  <si>
    <t>2982</t>
  </si>
  <si>
    <t>C00348</t>
  </si>
  <si>
    <t>TARSONS PRODUCTS PVT LTD</t>
  </si>
  <si>
    <t>T02D00930000</t>
  </si>
  <si>
    <t>TARSONS BOX BIG</t>
  </si>
  <si>
    <t>446</t>
  </si>
  <si>
    <t>T02D00940000</t>
  </si>
  <si>
    <t>TARSONS BOX SMALL</t>
  </si>
  <si>
    <t>4000</t>
  </si>
  <si>
    <t>C00083P5477B0000</t>
  </si>
  <si>
    <t>2 WOODEN BOXES</t>
  </si>
  <si>
    <t>4001</t>
  </si>
  <si>
    <t>3124</t>
  </si>
  <si>
    <t>C00354</t>
  </si>
  <si>
    <t>TOKHEIM INDIA PVT. LTD.</t>
  </si>
  <si>
    <t>3125</t>
  </si>
  <si>
    <t>3155</t>
  </si>
  <si>
    <t>C00354D403002122</t>
  </si>
  <si>
    <t>COVER DOME EX D (WE003301)</t>
  </si>
  <si>
    <t>3154</t>
  </si>
  <si>
    <t>C00354D404002122</t>
  </si>
  <si>
    <t>COVER END DOME EX D (WE003303)</t>
  </si>
  <si>
    <t>4095</t>
  </si>
  <si>
    <t>4143</t>
  </si>
  <si>
    <t>4186</t>
  </si>
  <si>
    <t>C00354D403A002122</t>
  </si>
  <si>
    <t>COVER DOME EX D (WE003301-0003)</t>
  </si>
  <si>
    <t>4185</t>
  </si>
  <si>
    <t>C00354D404A002122</t>
  </si>
  <si>
    <t>COVER END DOME EX D (WE003303-0001)</t>
  </si>
  <si>
    <t>695</t>
  </si>
  <si>
    <t>C00352</t>
  </si>
  <si>
    <t>TREND SINGAPORE WEST PTE LTD.</t>
  </si>
  <si>
    <t>692</t>
  </si>
  <si>
    <t>DCP014</t>
  </si>
  <si>
    <t>TORSON SPRING, PART # 456789-002 R-E</t>
  </si>
  <si>
    <t>694</t>
  </si>
  <si>
    <t>691</t>
  </si>
  <si>
    <t>693</t>
  </si>
  <si>
    <t>593</t>
  </si>
  <si>
    <t>C00347</t>
  </si>
  <si>
    <t>TRIGNO ENGINEERING PVT LTD</t>
  </si>
  <si>
    <t>T01D03080000</t>
  </si>
  <si>
    <t>REAR ARM HEAD B515 (3392123948)</t>
  </si>
  <si>
    <t>399</t>
  </si>
  <si>
    <t>C00362</t>
  </si>
  <si>
    <t>UMS TECHNOLOGIES PRIVATE LTD UNIT III</t>
  </si>
  <si>
    <t>U03D01570000</t>
  </si>
  <si>
    <t>CRANK CASE UMS-46</t>
  </si>
  <si>
    <t>2972</t>
  </si>
  <si>
    <t>U03D02840000</t>
  </si>
  <si>
    <t>CYLINDER HEAD 77CC (UMS ITEM # NFDC01540408)</t>
  </si>
  <si>
    <t>456</t>
  </si>
  <si>
    <t>U03D02860000</t>
  </si>
  <si>
    <t>RADIATOR CYLINDER SE-02 (UMS ITEM # NFDC01000000)</t>
  </si>
  <si>
    <t>799</t>
  </si>
  <si>
    <t>U03D02920000</t>
  </si>
  <si>
    <t>CARP BODY -UMS</t>
  </si>
  <si>
    <t>383</t>
  </si>
  <si>
    <t>U03D155A0000</t>
  </si>
  <si>
    <t>MAIN FRAME 20KG (LGR000900400)</t>
  </si>
  <si>
    <t>4184</t>
  </si>
  <si>
    <t>C00362D05680000</t>
  </si>
  <si>
    <t>ADC12 ROUND ROD (LENGTH-210MM)</t>
  </si>
  <si>
    <t>3146</t>
  </si>
  <si>
    <t>C00438</t>
  </si>
  <si>
    <t>VANDEWIELE-SAVIO INDIA PRIVATE LIMITED.</t>
  </si>
  <si>
    <t>3147</t>
  </si>
  <si>
    <t>3152</t>
  </si>
  <si>
    <t>3153</t>
  </si>
  <si>
    <t>3198</t>
  </si>
  <si>
    <t>3199</t>
  </si>
  <si>
    <t>3219</t>
  </si>
  <si>
    <t>C00371</t>
  </si>
  <si>
    <t>VISTEON ELECTRONICS INDIA PRIVATE LIMITED</t>
  </si>
  <si>
    <t>C00371D436002223</t>
  </si>
  <si>
    <t>DISPLAY FRAME - BOTTOM (VPNWRF-10E948-BB)</t>
  </si>
  <si>
    <t>3246</t>
  </si>
  <si>
    <t>C00371DT47900000</t>
  </si>
  <si>
    <t>HT/SNK-TFT DSPLY ASY (VPPTLF 17C288 AA)</t>
  </si>
  <si>
    <t>3247</t>
  </si>
  <si>
    <t>C00371DT48000000</t>
  </si>
  <si>
    <t>HSG-RADO-RECV (VPPTLF 18K17- AA)</t>
  </si>
  <si>
    <t>3993</t>
  </si>
  <si>
    <t>C00371D47900000</t>
  </si>
  <si>
    <t>X4 METAL CARRIER (VPPTLF 17C288 AC)</t>
  </si>
  <si>
    <t>3994</t>
  </si>
  <si>
    <t>C00371D48000000</t>
  </si>
  <si>
    <t>X4 HSG-RADO-RECV (VPPTLF 18K817- AC)</t>
  </si>
  <si>
    <t>4050</t>
  </si>
  <si>
    <t>C00371D0480A0000</t>
  </si>
  <si>
    <t>RIB REMOVAL WORK TATA X4-TOP HOUSING-392 Nos. (VPPTLF-18K817-AB)</t>
  </si>
  <si>
    <t>4057</t>
  </si>
  <si>
    <t>C00371DT50800000</t>
  </si>
  <si>
    <t>HSG-RADO-RECV VPPTLF-18K817-CA</t>
  </si>
  <si>
    <t>4058</t>
  </si>
  <si>
    <t>C00371DT50900000</t>
  </si>
  <si>
    <t>ASSY BRACKET - SUPPORT VPPTLF-3961-CA</t>
  </si>
  <si>
    <t>4079</t>
  </si>
  <si>
    <t>C00371D050900000</t>
  </si>
  <si>
    <t>X0 ASSY BRACKET - SUPPORT VPPTLF-3961-CA</t>
  </si>
  <si>
    <t>4082</t>
  </si>
  <si>
    <t>C00500DT005070000</t>
  </si>
  <si>
    <t>HT/SNK-RADO RECV AMPL (VPSYSF-18B890-AA)</t>
  </si>
  <si>
    <t>4144</t>
  </si>
  <si>
    <t>C00371D0509A0000</t>
  </si>
  <si>
    <t>X0 ASSY BRACKET - SUPPORT VPPTLF-3961-CB</t>
  </si>
  <si>
    <t>3074</t>
  </si>
  <si>
    <t>C00379</t>
  </si>
  <si>
    <t>WAYNE FUELING SYSTEMS LLC</t>
  </si>
  <si>
    <t>607</t>
  </si>
  <si>
    <t>1009</t>
  </si>
  <si>
    <t>1035</t>
  </si>
  <si>
    <t>3093</t>
  </si>
  <si>
    <t>968</t>
  </si>
  <si>
    <t>2995</t>
  </si>
  <si>
    <t>1038</t>
  </si>
  <si>
    <t>2967</t>
  </si>
  <si>
    <t>4173</t>
  </si>
  <si>
    <t>C00379D05650000</t>
  </si>
  <si>
    <t>COUPLING, TUBE ADAPTER, IMPREGNATED WU008279-0002 REV5</t>
  </si>
  <si>
    <t>832</t>
  </si>
  <si>
    <t>C00380</t>
  </si>
  <si>
    <t>WAYNE FUELING SYSTEMS SWEDEN AB</t>
  </si>
  <si>
    <t>802</t>
  </si>
  <si>
    <t>DCP102</t>
  </si>
  <si>
    <t>WHASER RETAINING OD12.5 WITH EXTRA RIB ( WM000445)</t>
  </si>
  <si>
    <t>814</t>
  </si>
  <si>
    <t>DCP106</t>
  </si>
  <si>
    <t>O-RING ( T=4, ID=120)   ( WU006953-0001 )</t>
  </si>
  <si>
    <t>833</t>
  </si>
  <si>
    <t>646</t>
  </si>
  <si>
    <t>723</t>
  </si>
  <si>
    <t>W03D03230000</t>
  </si>
  <si>
    <t>COVER FOR  IMETER DUO (	WM056446-0001)</t>
  </si>
  <si>
    <t>758</t>
  </si>
  <si>
    <t>724</t>
  </si>
  <si>
    <t>W03D323A0000</t>
  </si>
  <si>
    <t>COVER FOR IMETER DUO (	WM056446-0002)</t>
  </si>
  <si>
    <t>725</t>
  </si>
  <si>
    <t>726</t>
  </si>
  <si>
    <t>W03D323C0000</t>
  </si>
  <si>
    <t>COVER FOR IMETER DUO (	WM056446-0004)</t>
  </si>
  <si>
    <t>908</t>
  </si>
  <si>
    <t>923</t>
  </si>
  <si>
    <t>866</t>
  </si>
  <si>
    <t>773</t>
  </si>
  <si>
    <t>W06D312A0000</t>
  </si>
  <si>
    <t>INLET SUCTION, CHECK VALVE, BSPT, IMPREGNATED</t>
  </si>
  <si>
    <t>678</t>
  </si>
  <si>
    <t>W06D312B0000</t>
  </si>
  <si>
    <t>FILTER POT PROTOTYPES DUAL CHECK VALVES (WM061634)</t>
  </si>
  <si>
    <t>841</t>
  </si>
  <si>
    <t>870</t>
  </si>
  <si>
    <t>863</t>
  </si>
  <si>
    <t>C00383</t>
  </si>
  <si>
    <t>WAYNE INDUSTRIA E COMERCIO LTDA</t>
  </si>
  <si>
    <t>1008</t>
  </si>
  <si>
    <t>900</t>
  </si>
  <si>
    <t>598</t>
  </si>
  <si>
    <t>909</t>
  </si>
  <si>
    <t>3094</t>
  </si>
  <si>
    <t>967</t>
  </si>
  <si>
    <t>3005</t>
  </si>
  <si>
    <t>813</t>
  </si>
  <si>
    <t>864</t>
  </si>
  <si>
    <t>865</t>
  </si>
  <si>
    <t>599</t>
  </si>
  <si>
    <t>W06D295D0000</t>
  </si>
  <si>
    <t>HOUSING, INLET FILTER SUCTION (WM051618-0005)</t>
  </si>
  <si>
    <t>650</t>
  </si>
  <si>
    <t>1039</t>
  </si>
  <si>
    <t>3113</t>
  </si>
  <si>
    <t>4179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</si>
</sst>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;[Red]\-[$$-409]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3"/>
  <sheetViews>
    <sheetView tabSelected="1" topLeftCell="E1" workbookViewId="0">
      <selection activeCell="Q8" sqref="Q8"/>
    </sheetView>
  </sheetViews>
  <sheetFormatPr defaultRowHeight="15" x14ac:dyDescent="0.25"/>
  <cols>
    <col min="15" max="15" width="13.375" bestFit="1" customWidth="1"/>
    <col min="16" max="16" width="9.87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 t="s">
        <v>21</v>
      </c>
      <c r="B2">
        <v>43959</v>
      </c>
      <c r="C2" t="s">
        <v>22</v>
      </c>
      <c r="D2" t="s">
        <v>23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 t="s">
        <v>27</v>
      </c>
      <c r="L2" t="s">
        <v>28</v>
      </c>
      <c r="M2">
        <v>60.25</v>
      </c>
      <c r="N2" t="s">
        <v>29</v>
      </c>
      <c r="O2">
        <f t="shared" ref="O2:O43" si="0">M2</f>
        <v>60.25</v>
      </c>
      <c r="P2">
        <f t="shared" ref="P2:P43" si="1">O2</f>
        <v>60.25</v>
      </c>
      <c r="Q2" t="s">
        <v>30</v>
      </c>
      <c r="R2">
        <v>45019</v>
      </c>
      <c r="S2">
        <v>401768</v>
      </c>
      <c r="U2" s="1" t="str">
        <f>IF(AND(T2&lt;&gt;"",M2&lt;&gt;""),T2*M2/100000,"")</f>
        <v/>
      </c>
    </row>
    <row r="3" spans="1:21" ht="15.75" x14ac:dyDescent="0.25">
      <c r="A3" t="s">
        <v>31</v>
      </c>
      <c r="B3">
        <v>46049</v>
      </c>
      <c r="C3" t="s">
        <v>22</v>
      </c>
      <c r="D3" t="s">
        <v>23</v>
      </c>
      <c r="E3" t="s">
        <v>30</v>
      </c>
      <c r="F3" t="s">
        <v>30</v>
      </c>
      <c r="G3" t="s">
        <v>32</v>
      </c>
      <c r="H3" t="s">
        <v>33</v>
      </c>
      <c r="I3" t="s">
        <v>34</v>
      </c>
      <c r="J3">
        <v>0</v>
      </c>
      <c r="K3" t="s">
        <v>35</v>
      </c>
      <c r="L3" t="s">
        <v>36</v>
      </c>
      <c r="M3">
        <v>1030000</v>
      </c>
      <c r="N3" t="s">
        <v>29</v>
      </c>
      <c r="O3">
        <f t="shared" si="0"/>
        <v>1030000</v>
      </c>
      <c r="P3">
        <f t="shared" si="1"/>
        <v>1030000</v>
      </c>
      <c r="Q3" t="s">
        <v>30</v>
      </c>
      <c r="R3">
        <v>46049</v>
      </c>
      <c r="S3">
        <v>401768</v>
      </c>
      <c r="U3">
        <f t="shared" ref="U3:U66" si="2">T3*P3/100000</f>
        <v>0</v>
      </c>
    </row>
    <row r="4" spans="1:21" ht="15.75" x14ac:dyDescent="0.25">
      <c r="A4" t="s">
        <v>37</v>
      </c>
      <c r="B4">
        <v>43959</v>
      </c>
      <c r="C4" t="s">
        <v>22</v>
      </c>
      <c r="D4" t="s">
        <v>23</v>
      </c>
      <c r="E4" t="s">
        <v>22</v>
      </c>
      <c r="F4" t="s">
        <v>23</v>
      </c>
      <c r="G4" t="s">
        <v>38</v>
      </c>
      <c r="H4" t="s">
        <v>39</v>
      </c>
      <c r="I4" t="s">
        <v>40</v>
      </c>
      <c r="J4">
        <v>0</v>
      </c>
      <c r="K4" t="s">
        <v>41</v>
      </c>
      <c r="L4" t="s">
        <v>28</v>
      </c>
      <c r="M4">
        <v>311.95</v>
      </c>
      <c r="N4" t="s">
        <v>29</v>
      </c>
      <c r="O4">
        <f t="shared" si="0"/>
        <v>311.95</v>
      </c>
      <c r="P4">
        <f t="shared" si="1"/>
        <v>311.95</v>
      </c>
      <c r="Q4" t="s">
        <v>30</v>
      </c>
      <c r="R4">
        <v>46151</v>
      </c>
      <c r="S4">
        <v>401768</v>
      </c>
      <c r="T4">
        <v>500</v>
      </c>
      <c r="U4">
        <f t="shared" si="2"/>
        <v>1.55975</v>
      </c>
    </row>
    <row r="5" spans="1:21" ht="15.75" x14ac:dyDescent="0.25">
      <c r="A5" t="s">
        <v>42</v>
      </c>
      <c r="B5">
        <v>43959</v>
      </c>
      <c r="C5" t="s">
        <v>22</v>
      </c>
      <c r="D5" t="s">
        <v>23</v>
      </c>
      <c r="E5" t="s">
        <v>22</v>
      </c>
      <c r="F5" t="s">
        <v>23</v>
      </c>
      <c r="G5" t="s">
        <v>38</v>
      </c>
      <c r="H5" t="s">
        <v>39</v>
      </c>
      <c r="I5" t="s">
        <v>43</v>
      </c>
      <c r="J5">
        <v>0</v>
      </c>
      <c r="K5" t="s">
        <v>44</v>
      </c>
      <c r="L5" t="s">
        <v>28</v>
      </c>
      <c r="M5">
        <v>260.01</v>
      </c>
      <c r="N5" t="s">
        <v>29</v>
      </c>
      <c r="O5">
        <f t="shared" si="0"/>
        <v>260.01</v>
      </c>
      <c r="P5">
        <f t="shared" si="1"/>
        <v>260.01</v>
      </c>
      <c r="Q5" t="s">
        <v>30</v>
      </c>
      <c r="R5">
        <v>46065</v>
      </c>
      <c r="S5">
        <v>401768</v>
      </c>
      <c r="U5">
        <f t="shared" si="2"/>
        <v>0</v>
      </c>
    </row>
    <row r="6" spans="1:21" ht="15.75" x14ac:dyDescent="0.25">
      <c r="A6" t="s">
        <v>45</v>
      </c>
      <c r="B6">
        <v>43959</v>
      </c>
      <c r="C6" t="s">
        <v>22</v>
      </c>
      <c r="D6" t="s">
        <v>23</v>
      </c>
      <c r="E6" t="s">
        <v>22</v>
      </c>
      <c r="F6" t="s">
        <v>23</v>
      </c>
      <c r="G6" t="s">
        <v>38</v>
      </c>
      <c r="H6" t="s">
        <v>39</v>
      </c>
      <c r="I6" t="s">
        <v>46</v>
      </c>
      <c r="J6">
        <v>0</v>
      </c>
      <c r="K6" t="s">
        <v>47</v>
      </c>
      <c r="L6" t="s">
        <v>28</v>
      </c>
      <c r="M6">
        <v>229.11</v>
      </c>
      <c r="N6" t="s">
        <v>29</v>
      </c>
      <c r="O6">
        <f t="shared" si="0"/>
        <v>229.11</v>
      </c>
      <c r="P6">
        <f t="shared" si="1"/>
        <v>229.11</v>
      </c>
      <c r="Q6" t="s">
        <v>30</v>
      </c>
      <c r="R6">
        <v>45461</v>
      </c>
      <c r="S6">
        <v>45461</v>
      </c>
      <c r="T6">
        <v>2160</v>
      </c>
      <c r="U6">
        <f t="shared" si="2"/>
        <v>4.9487760000000005</v>
      </c>
    </row>
    <row r="7" spans="1:21" ht="15.75" x14ac:dyDescent="0.25">
      <c r="A7" t="s">
        <v>48</v>
      </c>
      <c r="B7">
        <v>43959</v>
      </c>
      <c r="C7" t="s">
        <v>22</v>
      </c>
      <c r="D7" t="s">
        <v>23</v>
      </c>
      <c r="E7" t="s">
        <v>22</v>
      </c>
      <c r="F7" t="s">
        <v>23</v>
      </c>
      <c r="G7" t="s">
        <v>38</v>
      </c>
      <c r="H7" t="s">
        <v>39</v>
      </c>
      <c r="I7" t="s">
        <v>49</v>
      </c>
      <c r="J7">
        <v>0</v>
      </c>
      <c r="K7" t="s">
        <v>50</v>
      </c>
      <c r="L7" t="s">
        <v>28</v>
      </c>
      <c r="M7">
        <v>311.60000000000002</v>
      </c>
      <c r="N7" t="s">
        <v>29</v>
      </c>
      <c r="O7">
        <f t="shared" si="0"/>
        <v>311.60000000000002</v>
      </c>
      <c r="P7">
        <f t="shared" si="1"/>
        <v>311.60000000000002</v>
      </c>
      <c r="Q7" t="s">
        <v>30</v>
      </c>
      <c r="R7">
        <v>46151</v>
      </c>
      <c r="S7">
        <v>401768</v>
      </c>
      <c r="U7">
        <f t="shared" si="2"/>
        <v>0</v>
      </c>
    </row>
    <row r="8" spans="1:21" ht="15.75" x14ac:dyDescent="0.25">
      <c r="A8" t="s">
        <v>51</v>
      </c>
      <c r="B8">
        <v>43959</v>
      </c>
      <c r="C8" t="s">
        <v>22</v>
      </c>
      <c r="D8" t="s">
        <v>23</v>
      </c>
      <c r="E8" t="s">
        <v>22</v>
      </c>
      <c r="F8" t="s">
        <v>23</v>
      </c>
      <c r="G8" t="s">
        <v>38</v>
      </c>
      <c r="H8" t="s">
        <v>39</v>
      </c>
      <c r="I8" t="s">
        <v>52</v>
      </c>
      <c r="J8">
        <v>0</v>
      </c>
      <c r="K8" t="s">
        <v>53</v>
      </c>
      <c r="L8" t="s">
        <v>28</v>
      </c>
      <c r="M8">
        <v>195.18</v>
      </c>
      <c r="N8" t="s">
        <v>29</v>
      </c>
      <c r="O8">
        <f t="shared" si="0"/>
        <v>195.18</v>
      </c>
      <c r="P8">
        <f t="shared" si="1"/>
        <v>195.18</v>
      </c>
      <c r="Q8" t="s">
        <v>30</v>
      </c>
      <c r="R8">
        <v>45175</v>
      </c>
      <c r="S8">
        <v>45199</v>
      </c>
      <c r="U8">
        <f t="shared" si="2"/>
        <v>0</v>
      </c>
    </row>
    <row r="9" spans="1:21" ht="15.75" x14ac:dyDescent="0.25">
      <c r="A9" t="s">
        <v>54</v>
      </c>
      <c r="B9">
        <v>43959</v>
      </c>
      <c r="C9" t="s">
        <v>22</v>
      </c>
      <c r="D9" t="s">
        <v>23</v>
      </c>
      <c r="E9" t="s">
        <v>22</v>
      </c>
      <c r="F9" t="s">
        <v>23</v>
      </c>
      <c r="G9" t="s">
        <v>38</v>
      </c>
      <c r="H9" t="s">
        <v>39</v>
      </c>
      <c r="I9" t="s">
        <v>55</v>
      </c>
      <c r="J9">
        <v>0</v>
      </c>
      <c r="K9" t="s">
        <v>56</v>
      </c>
      <c r="L9" t="s">
        <v>28</v>
      </c>
      <c r="M9">
        <v>315.98</v>
      </c>
      <c r="N9" t="s">
        <v>29</v>
      </c>
      <c r="O9">
        <f t="shared" si="0"/>
        <v>315.98</v>
      </c>
      <c r="P9">
        <f t="shared" si="1"/>
        <v>315.98</v>
      </c>
      <c r="Q9" t="s">
        <v>30</v>
      </c>
      <c r="R9">
        <v>46151</v>
      </c>
      <c r="S9">
        <v>401768</v>
      </c>
      <c r="T9">
        <v>800</v>
      </c>
      <c r="U9">
        <f t="shared" si="2"/>
        <v>2.5278399999999999</v>
      </c>
    </row>
    <row r="10" spans="1:21" ht="15.75" x14ac:dyDescent="0.25">
      <c r="A10" t="s">
        <v>57</v>
      </c>
      <c r="B10">
        <v>43959</v>
      </c>
      <c r="C10" t="s">
        <v>22</v>
      </c>
      <c r="D10" t="s">
        <v>23</v>
      </c>
      <c r="E10" t="s">
        <v>22</v>
      </c>
      <c r="F10" t="s">
        <v>23</v>
      </c>
      <c r="G10" t="s">
        <v>38</v>
      </c>
      <c r="H10" t="s">
        <v>39</v>
      </c>
      <c r="I10" t="s">
        <v>58</v>
      </c>
      <c r="J10">
        <v>0</v>
      </c>
      <c r="K10" t="s">
        <v>59</v>
      </c>
      <c r="L10" t="s">
        <v>28</v>
      </c>
      <c r="M10">
        <v>364.82</v>
      </c>
      <c r="N10" t="s">
        <v>29</v>
      </c>
      <c r="O10">
        <f t="shared" si="0"/>
        <v>364.82</v>
      </c>
      <c r="P10">
        <f t="shared" si="1"/>
        <v>364.82</v>
      </c>
      <c r="Q10" t="s">
        <v>30</v>
      </c>
      <c r="R10">
        <v>46151</v>
      </c>
      <c r="S10">
        <v>401768</v>
      </c>
      <c r="U10">
        <f t="shared" si="2"/>
        <v>0</v>
      </c>
    </row>
    <row r="11" spans="1:21" ht="15.75" x14ac:dyDescent="0.25">
      <c r="A11" t="s">
        <v>60</v>
      </c>
      <c r="B11">
        <v>43993</v>
      </c>
      <c r="C11" t="s">
        <v>22</v>
      </c>
      <c r="D11" t="s">
        <v>23</v>
      </c>
      <c r="E11" t="s">
        <v>22</v>
      </c>
      <c r="F11" t="s">
        <v>23</v>
      </c>
      <c r="G11" t="s">
        <v>38</v>
      </c>
      <c r="H11" t="s">
        <v>39</v>
      </c>
      <c r="I11" t="s">
        <v>61</v>
      </c>
      <c r="J11">
        <v>0</v>
      </c>
      <c r="K11" t="s">
        <v>62</v>
      </c>
      <c r="L11" t="s">
        <v>28</v>
      </c>
      <c r="M11">
        <v>315.98</v>
      </c>
      <c r="N11" t="s">
        <v>29</v>
      </c>
      <c r="O11">
        <f t="shared" si="0"/>
        <v>315.98</v>
      </c>
      <c r="P11">
        <f t="shared" si="1"/>
        <v>315.98</v>
      </c>
      <c r="Q11" t="s">
        <v>30</v>
      </c>
      <c r="R11">
        <v>46151</v>
      </c>
      <c r="S11">
        <v>401768</v>
      </c>
      <c r="T11">
        <v>400</v>
      </c>
      <c r="U11">
        <f t="shared" si="2"/>
        <v>1.2639199999999999</v>
      </c>
    </row>
    <row r="12" spans="1:21" ht="15.75" x14ac:dyDescent="0.25">
      <c r="A12" t="s">
        <v>63</v>
      </c>
      <c r="B12">
        <v>44076</v>
      </c>
      <c r="C12" t="s">
        <v>22</v>
      </c>
      <c r="D12" t="s">
        <v>23</v>
      </c>
      <c r="E12" t="s">
        <v>22</v>
      </c>
      <c r="F12" t="s">
        <v>23</v>
      </c>
      <c r="G12" t="s">
        <v>38</v>
      </c>
      <c r="H12" t="s">
        <v>39</v>
      </c>
      <c r="I12" t="s">
        <v>64</v>
      </c>
      <c r="J12">
        <v>0</v>
      </c>
      <c r="K12" t="s">
        <v>65</v>
      </c>
      <c r="L12" t="s">
        <v>28</v>
      </c>
      <c r="M12">
        <v>315.98</v>
      </c>
      <c r="N12" t="s">
        <v>29</v>
      </c>
      <c r="O12">
        <f t="shared" si="0"/>
        <v>315.98</v>
      </c>
      <c r="P12">
        <f t="shared" si="1"/>
        <v>315.98</v>
      </c>
      <c r="Q12" t="s">
        <v>30</v>
      </c>
      <c r="R12">
        <v>46151</v>
      </c>
      <c r="S12">
        <v>401768</v>
      </c>
      <c r="U12">
        <f t="shared" si="2"/>
        <v>0</v>
      </c>
    </row>
    <row r="13" spans="1:21" ht="15.75" x14ac:dyDescent="0.25">
      <c r="A13" t="s">
        <v>66</v>
      </c>
      <c r="B13">
        <v>44446</v>
      </c>
      <c r="C13" t="s">
        <v>22</v>
      </c>
      <c r="D13" t="s">
        <v>23</v>
      </c>
      <c r="E13" t="s">
        <v>22</v>
      </c>
      <c r="F13" t="s">
        <v>23</v>
      </c>
      <c r="G13" t="s">
        <v>38</v>
      </c>
      <c r="H13" t="s">
        <v>39</v>
      </c>
      <c r="I13" t="s">
        <v>67</v>
      </c>
      <c r="J13">
        <v>0</v>
      </c>
      <c r="K13" t="s">
        <v>68</v>
      </c>
      <c r="L13" t="s">
        <v>28</v>
      </c>
      <c r="M13">
        <v>45133.74</v>
      </c>
      <c r="N13" t="s">
        <v>29</v>
      </c>
      <c r="O13">
        <f t="shared" si="0"/>
        <v>45133.74</v>
      </c>
      <c r="P13">
        <f t="shared" si="1"/>
        <v>45133.74</v>
      </c>
      <c r="Q13" t="s">
        <v>30</v>
      </c>
      <c r="R13">
        <v>45108</v>
      </c>
      <c r="S13">
        <v>45169</v>
      </c>
      <c r="U13">
        <f t="shared" si="2"/>
        <v>0</v>
      </c>
    </row>
    <row r="14" spans="1:21" ht="15.75" x14ac:dyDescent="0.25">
      <c r="A14" t="s">
        <v>69</v>
      </c>
      <c r="B14">
        <v>44690</v>
      </c>
      <c r="C14" t="s">
        <v>22</v>
      </c>
      <c r="D14" t="s">
        <v>23</v>
      </c>
      <c r="E14" t="s">
        <v>22</v>
      </c>
      <c r="F14" t="s">
        <v>23</v>
      </c>
      <c r="G14" t="s">
        <v>38</v>
      </c>
      <c r="H14" t="s">
        <v>39</v>
      </c>
      <c r="I14" t="s">
        <v>70</v>
      </c>
      <c r="J14">
        <v>0</v>
      </c>
      <c r="K14" t="s">
        <v>71</v>
      </c>
      <c r="L14" t="s">
        <v>28</v>
      </c>
      <c r="M14">
        <v>193.99</v>
      </c>
      <c r="N14" t="s">
        <v>29</v>
      </c>
      <c r="O14">
        <f t="shared" si="0"/>
        <v>193.99</v>
      </c>
      <c r="P14">
        <f t="shared" si="1"/>
        <v>193.99</v>
      </c>
      <c r="Q14" t="s">
        <v>30</v>
      </c>
      <c r="R14">
        <v>46151</v>
      </c>
      <c r="S14">
        <v>401768</v>
      </c>
      <c r="T14">
        <v>8580</v>
      </c>
      <c r="U14">
        <f t="shared" si="2"/>
        <v>16.644342000000002</v>
      </c>
    </row>
    <row r="15" spans="1:21" ht="15.75" x14ac:dyDescent="0.25">
      <c r="A15" t="s">
        <v>72</v>
      </c>
      <c r="B15">
        <v>44690</v>
      </c>
      <c r="C15" t="s">
        <v>22</v>
      </c>
      <c r="D15" t="s">
        <v>23</v>
      </c>
      <c r="E15" t="s">
        <v>22</v>
      </c>
      <c r="F15" t="s">
        <v>23</v>
      </c>
      <c r="G15" t="s">
        <v>38</v>
      </c>
      <c r="H15" t="s">
        <v>39</v>
      </c>
      <c r="I15" t="s">
        <v>73</v>
      </c>
      <c r="J15">
        <v>0</v>
      </c>
      <c r="K15" t="s">
        <v>74</v>
      </c>
      <c r="L15" t="s">
        <v>28</v>
      </c>
      <c r="M15">
        <v>449.89</v>
      </c>
      <c r="N15" t="s">
        <v>29</v>
      </c>
      <c r="O15">
        <f t="shared" si="0"/>
        <v>449.89</v>
      </c>
      <c r="P15">
        <f t="shared" si="1"/>
        <v>449.89</v>
      </c>
      <c r="Q15" t="s">
        <v>30</v>
      </c>
      <c r="R15">
        <v>46151</v>
      </c>
      <c r="S15">
        <v>401768</v>
      </c>
      <c r="T15">
        <v>9440</v>
      </c>
      <c r="U15">
        <f t="shared" si="2"/>
        <v>42.469615999999995</v>
      </c>
    </row>
    <row r="16" spans="1:21" ht="15.75" x14ac:dyDescent="0.25">
      <c r="A16" t="s">
        <v>75</v>
      </c>
      <c r="B16">
        <v>44699</v>
      </c>
      <c r="C16" t="s">
        <v>22</v>
      </c>
      <c r="D16" t="s">
        <v>23</v>
      </c>
      <c r="E16" t="s">
        <v>22</v>
      </c>
      <c r="F16" t="s">
        <v>23</v>
      </c>
      <c r="G16" t="s">
        <v>38</v>
      </c>
      <c r="H16" t="s">
        <v>39</v>
      </c>
      <c r="I16" t="s">
        <v>76</v>
      </c>
      <c r="J16">
        <v>0</v>
      </c>
      <c r="K16" t="s">
        <v>77</v>
      </c>
      <c r="L16" t="s">
        <v>28</v>
      </c>
      <c r="M16">
        <v>321.02</v>
      </c>
      <c r="N16" t="s">
        <v>29</v>
      </c>
      <c r="O16">
        <f t="shared" si="0"/>
        <v>321.02</v>
      </c>
      <c r="P16">
        <f t="shared" si="1"/>
        <v>321.02</v>
      </c>
      <c r="Q16" t="s">
        <v>30</v>
      </c>
      <c r="R16">
        <v>46151</v>
      </c>
      <c r="S16">
        <v>401768</v>
      </c>
      <c r="U16">
        <f t="shared" si="2"/>
        <v>0</v>
      </c>
    </row>
    <row r="17" spans="1:21" ht="15.75" x14ac:dyDescent="0.25">
      <c r="A17" t="s">
        <v>78</v>
      </c>
      <c r="B17">
        <v>44699</v>
      </c>
      <c r="C17" t="s">
        <v>22</v>
      </c>
      <c r="D17" t="s">
        <v>23</v>
      </c>
      <c r="E17" t="s">
        <v>22</v>
      </c>
      <c r="F17" t="s">
        <v>23</v>
      </c>
      <c r="G17" t="s">
        <v>38</v>
      </c>
      <c r="H17" t="s">
        <v>39</v>
      </c>
      <c r="I17" t="s">
        <v>79</v>
      </c>
      <c r="J17">
        <v>0</v>
      </c>
      <c r="K17" t="s">
        <v>80</v>
      </c>
      <c r="L17" t="s">
        <v>28</v>
      </c>
      <c r="M17">
        <v>321.02</v>
      </c>
      <c r="N17" t="s">
        <v>29</v>
      </c>
      <c r="O17">
        <f t="shared" si="0"/>
        <v>321.02</v>
      </c>
      <c r="P17">
        <f t="shared" si="1"/>
        <v>321.02</v>
      </c>
      <c r="Q17" t="s">
        <v>30</v>
      </c>
      <c r="R17">
        <v>46151</v>
      </c>
      <c r="S17">
        <v>401768</v>
      </c>
      <c r="U17">
        <f t="shared" si="2"/>
        <v>0</v>
      </c>
    </row>
    <row r="18" spans="1:21" ht="15.75" x14ac:dyDescent="0.25">
      <c r="A18" t="s">
        <v>81</v>
      </c>
      <c r="B18">
        <v>44700</v>
      </c>
      <c r="C18" t="s">
        <v>22</v>
      </c>
      <c r="D18" t="s">
        <v>23</v>
      </c>
      <c r="E18" t="s">
        <v>22</v>
      </c>
      <c r="F18" t="s">
        <v>23</v>
      </c>
      <c r="G18" t="s">
        <v>38</v>
      </c>
      <c r="H18" t="s">
        <v>39</v>
      </c>
      <c r="I18" t="s">
        <v>82</v>
      </c>
      <c r="J18">
        <v>0</v>
      </c>
      <c r="K18" t="s">
        <v>83</v>
      </c>
      <c r="L18" t="s">
        <v>28</v>
      </c>
      <c r="M18">
        <v>307.93</v>
      </c>
      <c r="N18" t="s">
        <v>29</v>
      </c>
      <c r="O18">
        <f t="shared" si="0"/>
        <v>307.93</v>
      </c>
      <c r="P18">
        <f t="shared" si="1"/>
        <v>307.93</v>
      </c>
      <c r="Q18" t="s">
        <v>30</v>
      </c>
      <c r="R18">
        <v>46151</v>
      </c>
      <c r="S18">
        <v>401768</v>
      </c>
      <c r="U18">
        <f t="shared" si="2"/>
        <v>0</v>
      </c>
    </row>
    <row r="19" spans="1:21" ht="15.75" x14ac:dyDescent="0.25">
      <c r="A19" t="s">
        <v>84</v>
      </c>
      <c r="B19">
        <v>44700</v>
      </c>
      <c r="C19" t="s">
        <v>22</v>
      </c>
      <c r="D19" t="s">
        <v>23</v>
      </c>
      <c r="E19" t="s">
        <v>22</v>
      </c>
      <c r="F19" t="s">
        <v>23</v>
      </c>
      <c r="G19" t="s">
        <v>38</v>
      </c>
      <c r="H19" t="s">
        <v>39</v>
      </c>
      <c r="I19" t="s">
        <v>85</v>
      </c>
      <c r="J19">
        <v>0</v>
      </c>
      <c r="K19" t="s">
        <v>86</v>
      </c>
      <c r="L19" t="s">
        <v>28</v>
      </c>
      <c r="M19">
        <v>312.13</v>
      </c>
      <c r="N19" t="s">
        <v>29</v>
      </c>
      <c r="O19">
        <f t="shared" si="0"/>
        <v>312.13</v>
      </c>
      <c r="P19">
        <f t="shared" si="1"/>
        <v>312.13</v>
      </c>
      <c r="Q19" t="s">
        <v>30</v>
      </c>
      <c r="R19">
        <v>46151</v>
      </c>
      <c r="S19">
        <v>401768</v>
      </c>
      <c r="U19">
        <f t="shared" si="2"/>
        <v>0</v>
      </c>
    </row>
    <row r="20" spans="1:21" ht="15.75" x14ac:dyDescent="0.25">
      <c r="A20" t="s">
        <v>87</v>
      </c>
      <c r="B20">
        <v>44700</v>
      </c>
      <c r="C20" t="s">
        <v>22</v>
      </c>
      <c r="D20" t="s">
        <v>23</v>
      </c>
      <c r="E20" t="s">
        <v>22</v>
      </c>
      <c r="F20" t="s">
        <v>23</v>
      </c>
      <c r="G20" t="s">
        <v>38</v>
      </c>
      <c r="H20" t="s">
        <v>39</v>
      </c>
      <c r="I20" t="s">
        <v>88</v>
      </c>
      <c r="J20">
        <v>0</v>
      </c>
      <c r="K20" t="s">
        <v>89</v>
      </c>
      <c r="L20" t="s">
        <v>28</v>
      </c>
      <c r="M20">
        <v>373.89</v>
      </c>
      <c r="N20" t="s">
        <v>29</v>
      </c>
      <c r="O20">
        <f t="shared" si="0"/>
        <v>373.89</v>
      </c>
      <c r="P20">
        <f t="shared" si="1"/>
        <v>373.89</v>
      </c>
      <c r="Q20" t="s">
        <v>30</v>
      </c>
      <c r="R20">
        <v>46151</v>
      </c>
      <c r="S20">
        <v>401768</v>
      </c>
      <c r="T20">
        <v>150</v>
      </c>
      <c r="U20">
        <f t="shared" si="2"/>
        <v>0.56083499999999997</v>
      </c>
    </row>
    <row r="21" spans="1:21" ht="15.75" x14ac:dyDescent="0.25">
      <c r="A21" t="s">
        <v>90</v>
      </c>
      <c r="B21">
        <v>44708</v>
      </c>
      <c r="C21" t="s">
        <v>22</v>
      </c>
      <c r="D21" t="s">
        <v>23</v>
      </c>
      <c r="E21" t="s">
        <v>22</v>
      </c>
      <c r="F21" t="s">
        <v>23</v>
      </c>
      <c r="G21" t="s">
        <v>38</v>
      </c>
      <c r="H21" t="s">
        <v>39</v>
      </c>
      <c r="I21" t="s">
        <v>91</v>
      </c>
      <c r="J21">
        <v>0</v>
      </c>
      <c r="K21" t="s">
        <v>92</v>
      </c>
      <c r="L21" t="s">
        <v>28</v>
      </c>
      <c r="M21">
        <v>249.92</v>
      </c>
      <c r="N21" t="s">
        <v>29</v>
      </c>
      <c r="O21">
        <f t="shared" si="0"/>
        <v>249.92</v>
      </c>
      <c r="P21">
        <f t="shared" si="1"/>
        <v>249.92</v>
      </c>
      <c r="Q21" t="s">
        <v>30</v>
      </c>
      <c r="R21">
        <v>45173</v>
      </c>
      <c r="S21">
        <v>45199</v>
      </c>
      <c r="U21">
        <f t="shared" si="2"/>
        <v>0</v>
      </c>
    </row>
    <row r="22" spans="1:21" ht="15.75" x14ac:dyDescent="0.25">
      <c r="A22" t="s">
        <v>93</v>
      </c>
      <c r="B22">
        <v>44708</v>
      </c>
      <c r="C22" t="s">
        <v>22</v>
      </c>
      <c r="D22" t="s">
        <v>23</v>
      </c>
      <c r="E22" t="s">
        <v>22</v>
      </c>
      <c r="F22" t="s">
        <v>23</v>
      </c>
      <c r="G22" t="s">
        <v>38</v>
      </c>
      <c r="H22" t="s">
        <v>39</v>
      </c>
      <c r="I22" t="s">
        <v>94</v>
      </c>
      <c r="J22">
        <v>0</v>
      </c>
      <c r="K22" t="s">
        <v>95</v>
      </c>
      <c r="L22" t="s">
        <v>28</v>
      </c>
      <c r="M22">
        <v>321.43</v>
      </c>
      <c r="N22" t="s">
        <v>29</v>
      </c>
      <c r="O22">
        <f t="shared" si="0"/>
        <v>321.43</v>
      </c>
      <c r="P22">
        <f t="shared" si="1"/>
        <v>321.43</v>
      </c>
      <c r="Q22" t="s">
        <v>30</v>
      </c>
      <c r="R22">
        <v>46151</v>
      </c>
      <c r="S22">
        <v>401768</v>
      </c>
      <c r="T22">
        <v>500</v>
      </c>
      <c r="U22">
        <f t="shared" si="2"/>
        <v>1.6071500000000001</v>
      </c>
    </row>
    <row r="23" spans="1:21" ht="15.75" x14ac:dyDescent="0.25">
      <c r="A23" t="s">
        <v>96</v>
      </c>
      <c r="B23">
        <v>44708</v>
      </c>
      <c r="C23" t="s">
        <v>22</v>
      </c>
      <c r="D23" t="s">
        <v>23</v>
      </c>
      <c r="E23" t="s">
        <v>22</v>
      </c>
      <c r="F23" t="s">
        <v>23</v>
      </c>
      <c r="G23" t="s">
        <v>38</v>
      </c>
      <c r="H23" t="s">
        <v>39</v>
      </c>
      <c r="I23" t="s">
        <v>97</v>
      </c>
      <c r="J23">
        <v>0</v>
      </c>
      <c r="K23" t="s">
        <v>98</v>
      </c>
      <c r="L23" t="s">
        <v>28</v>
      </c>
      <c r="M23">
        <v>339.56</v>
      </c>
      <c r="N23" t="s">
        <v>29</v>
      </c>
      <c r="O23">
        <f t="shared" si="0"/>
        <v>339.56</v>
      </c>
      <c r="P23">
        <f t="shared" si="1"/>
        <v>339.56</v>
      </c>
      <c r="Q23" t="s">
        <v>30</v>
      </c>
      <c r="R23">
        <v>46151</v>
      </c>
      <c r="S23">
        <v>401768</v>
      </c>
      <c r="U23">
        <f t="shared" si="2"/>
        <v>0</v>
      </c>
    </row>
    <row r="24" spans="1:21" ht="15.75" x14ac:dyDescent="0.25">
      <c r="A24" t="s">
        <v>99</v>
      </c>
      <c r="B24">
        <v>44723</v>
      </c>
      <c r="C24" t="s">
        <v>22</v>
      </c>
      <c r="D24" t="s">
        <v>23</v>
      </c>
      <c r="E24" t="s">
        <v>22</v>
      </c>
      <c r="F24" t="s">
        <v>23</v>
      </c>
      <c r="G24" t="s">
        <v>38</v>
      </c>
      <c r="H24" t="s">
        <v>39</v>
      </c>
      <c r="I24" t="s">
        <v>100</v>
      </c>
      <c r="J24">
        <v>0</v>
      </c>
      <c r="K24" t="s">
        <v>101</v>
      </c>
      <c r="L24" t="s">
        <v>28</v>
      </c>
      <c r="M24">
        <v>321.02</v>
      </c>
      <c r="N24" t="s">
        <v>29</v>
      </c>
      <c r="O24">
        <f t="shared" si="0"/>
        <v>321.02</v>
      </c>
      <c r="P24">
        <f t="shared" si="1"/>
        <v>321.02</v>
      </c>
      <c r="Q24" t="s">
        <v>30</v>
      </c>
      <c r="R24">
        <v>46151</v>
      </c>
      <c r="S24">
        <v>401768</v>
      </c>
      <c r="U24">
        <f t="shared" si="2"/>
        <v>0</v>
      </c>
    </row>
    <row r="25" spans="1:21" ht="15.75" x14ac:dyDescent="0.25">
      <c r="A25" t="s">
        <v>102</v>
      </c>
      <c r="B25">
        <v>45041</v>
      </c>
      <c r="C25" t="s">
        <v>22</v>
      </c>
      <c r="D25" t="s">
        <v>23</v>
      </c>
      <c r="E25" t="s">
        <v>22</v>
      </c>
      <c r="F25" t="s">
        <v>23</v>
      </c>
      <c r="G25" t="s">
        <v>38</v>
      </c>
      <c r="H25" t="s">
        <v>39</v>
      </c>
      <c r="I25" t="s">
        <v>103</v>
      </c>
      <c r="J25">
        <v>0</v>
      </c>
      <c r="K25" t="s">
        <v>104</v>
      </c>
      <c r="L25" t="s">
        <v>28</v>
      </c>
      <c r="M25">
        <v>1616.44</v>
      </c>
      <c r="N25" t="s">
        <v>29</v>
      </c>
      <c r="O25">
        <f t="shared" si="0"/>
        <v>1616.44</v>
      </c>
      <c r="P25">
        <f t="shared" si="1"/>
        <v>1616.44</v>
      </c>
      <c r="Q25" t="s">
        <v>30</v>
      </c>
      <c r="R25">
        <v>46151</v>
      </c>
      <c r="S25">
        <v>401768</v>
      </c>
      <c r="T25">
        <v>300</v>
      </c>
      <c r="U25">
        <f t="shared" si="2"/>
        <v>4.8493199999999996</v>
      </c>
    </row>
    <row r="26" spans="1:21" ht="15.75" x14ac:dyDescent="0.25">
      <c r="A26" t="s">
        <v>105</v>
      </c>
      <c r="B26">
        <v>45041</v>
      </c>
      <c r="C26" t="s">
        <v>22</v>
      </c>
      <c r="D26" t="s">
        <v>23</v>
      </c>
      <c r="E26" t="s">
        <v>22</v>
      </c>
      <c r="F26" t="s">
        <v>23</v>
      </c>
      <c r="G26" t="s">
        <v>38</v>
      </c>
      <c r="H26" t="s">
        <v>39</v>
      </c>
      <c r="I26" t="s">
        <v>106</v>
      </c>
      <c r="J26">
        <v>0</v>
      </c>
      <c r="K26" t="s">
        <v>107</v>
      </c>
      <c r="L26" t="s">
        <v>28</v>
      </c>
      <c r="M26">
        <v>760</v>
      </c>
      <c r="N26" t="s">
        <v>29</v>
      </c>
      <c r="O26">
        <f t="shared" si="0"/>
        <v>760</v>
      </c>
      <c r="P26">
        <f t="shared" si="1"/>
        <v>760</v>
      </c>
      <c r="Q26" t="s">
        <v>30</v>
      </c>
      <c r="R26">
        <v>45173</v>
      </c>
      <c r="S26">
        <v>45199</v>
      </c>
      <c r="U26">
        <f t="shared" si="2"/>
        <v>0</v>
      </c>
    </row>
    <row r="27" spans="1:21" ht="15.75" x14ac:dyDescent="0.25">
      <c r="A27" t="s">
        <v>108</v>
      </c>
      <c r="B27">
        <v>45093</v>
      </c>
      <c r="C27" t="s">
        <v>22</v>
      </c>
      <c r="D27" t="s">
        <v>23</v>
      </c>
      <c r="E27" t="s">
        <v>22</v>
      </c>
      <c r="F27" t="s">
        <v>23</v>
      </c>
      <c r="G27" t="s">
        <v>38</v>
      </c>
      <c r="H27" t="s">
        <v>39</v>
      </c>
      <c r="I27" t="s">
        <v>109</v>
      </c>
      <c r="J27">
        <v>0</v>
      </c>
      <c r="K27" t="s">
        <v>110</v>
      </c>
      <c r="L27" t="s">
        <v>28</v>
      </c>
      <c r="M27">
        <v>134.47</v>
      </c>
      <c r="N27" t="s">
        <v>29</v>
      </c>
      <c r="O27">
        <f t="shared" si="0"/>
        <v>134.47</v>
      </c>
      <c r="P27">
        <f t="shared" si="1"/>
        <v>134.47</v>
      </c>
      <c r="Q27" t="s">
        <v>30</v>
      </c>
      <c r="R27">
        <v>46151</v>
      </c>
      <c r="S27">
        <v>401768</v>
      </c>
      <c r="T27">
        <v>10504</v>
      </c>
      <c r="U27">
        <f t="shared" si="2"/>
        <v>14.1247288</v>
      </c>
    </row>
    <row r="28" spans="1:21" ht="15.75" x14ac:dyDescent="0.25">
      <c r="A28" t="s">
        <v>111</v>
      </c>
      <c r="B28">
        <v>45093</v>
      </c>
      <c r="C28" t="s">
        <v>22</v>
      </c>
      <c r="D28" t="s">
        <v>23</v>
      </c>
      <c r="E28" t="s">
        <v>22</v>
      </c>
      <c r="F28" t="s">
        <v>23</v>
      </c>
      <c r="G28" t="s">
        <v>38</v>
      </c>
      <c r="H28" t="s">
        <v>39</v>
      </c>
      <c r="I28" t="s">
        <v>112</v>
      </c>
      <c r="J28">
        <v>0</v>
      </c>
      <c r="K28" t="s">
        <v>113</v>
      </c>
      <c r="L28" t="s">
        <v>28</v>
      </c>
      <c r="M28">
        <v>112.48</v>
      </c>
      <c r="N28" t="s">
        <v>29</v>
      </c>
      <c r="O28">
        <f t="shared" si="0"/>
        <v>112.48</v>
      </c>
      <c r="P28">
        <f t="shared" si="1"/>
        <v>112.48</v>
      </c>
      <c r="Q28" t="s">
        <v>30</v>
      </c>
      <c r="R28">
        <v>46151</v>
      </c>
      <c r="S28">
        <v>401768</v>
      </c>
      <c r="T28">
        <v>9223</v>
      </c>
      <c r="U28">
        <f t="shared" si="2"/>
        <v>10.374030400000001</v>
      </c>
    </row>
    <row r="29" spans="1:21" ht="15.75" x14ac:dyDescent="0.25">
      <c r="A29" t="s">
        <v>114</v>
      </c>
      <c r="B29">
        <v>45199</v>
      </c>
      <c r="C29" t="s">
        <v>22</v>
      </c>
      <c r="D29" t="s">
        <v>23</v>
      </c>
      <c r="E29" t="s">
        <v>22</v>
      </c>
      <c r="F29" t="s">
        <v>23</v>
      </c>
      <c r="G29" t="s">
        <v>38</v>
      </c>
      <c r="H29" t="s">
        <v>39</v>
      </c>
      <c r="I29" t="s">
        <v>115</v>
      </c>
      <c r="J29">
        <v>0</v>
      </c>
      <c r="K29" t="s">
        <v>116</v>
      </c>
      <c r="L29" t="s">
        <v>28</v>
      </c>
      <c r="M29">
        <v>120</v>
      </c>
      <c r="N29" t="s">
        <v>29</v>
      </c>
      <c r="O29">
        <f t="shared" si="0"/>
        <v>120</v>
      </c>
      <c r="P29">
        <f t="shared" si="1"/>
        <v>120</v>
      </c>
      <c r="Q29" t="s">
        <v>30</v>
      </c>
      <c r="R29">
        <v>45199</v>
      </c>
      <c r="S29">
        <v>401768</v>
      </c>
      <c r="U29">
        <f t="shared" si="2"/>
        <v>0</v>
      </c>
    </row>
    <row r="30" spans="1:21" ht="15.75" x14ac:dyDescent="0.25">
      <c r="A30" t="s">
        <v>117</v>
      </c>
      <c r="B30">
        <v>45315</v>
      </c>
      <c r="C30" t="s">
        <v>22</v>
      </c>
      <c r="D30" t="s">
        <v>23</v>
      </c>
      <c r="E30" t="s">
        <v>22</v>
      </c>
      <c r="F30" t="s">
        <v>23</v>
      </c>
      <c r="G30" t="s">
        <v>38</v>
      </c>
      <c r="H30" t="s">
        <v>39</v>
      </c>
      <c r="I30" t="s">
        <v>118</v>
      </c>
      <c r="J30">
        <v>0</v>
      </c>
      <c r="K30" t="s">
        <v>119</v>
      </c>
      <c r="L30" t="s">
        <v>28</v>
      </c>
      <c r="M30">
        <v>452.72</v>
      </c>
      <c r="N30" t="s">
        <v>29</v>
      </c>
      <c r="O30">
        <f t="shared" si="0"/>
        <v>452.72</v>
      </c>
      <c r="P30">
        <f t="shared" si="1"/>
        <v>452.72</v>
      </c>
      <c r="Q30" t="s">
        <v>30</v>
      </c>
      <c r="R30">
        <v>46151</v>
      </c>
      <c r="S30">
        <v>401768</v>
      </c>
      <c r="U30">
        <f t="shared" si="2"/>
        <v>0</v>
      </c>
    </row>
    <row r="31" spans="1:21" ht="15.75" x14ac:dyDescent="0.25">
      <c r="A31" t="s">
        <v>120</v>
      </c>
      <c r="B31">
        <v>45421</v>
      </c>
      <c r="C31" t="s">
        <v>22</v>
      </c>
      <c r="D31" t="s">
        <v>23</v>
      </c>
      <c r="E31" t="s">
        <v>22</v>
      </c>
      <c r="F31" t="s">
        <v>23</v>
      </c>
      <c r="G31" t="s">
        <v>38</v>
      </c>
      <c r="H31" t="s">
        <v>39</v>
      </c>
      <c r="I31" t="s">
        <v>121</v>
      </c>
      <c r="J31">
        <v>0</v>
      </c>
      <c r="K31" t="s">
        <v>122</v>
      </c>
      <c r="L31" t="s">
        <v>28</v>
      </c>
      <c r="M31">
        <v>102.42</v>
      </c>
      <c r="N31" t="s">
        <v>29</v>
      </c>
      <c r="O31">
        <f t="shared" si="0"/>
        <v>102.42</v>
      </c>
      <c r="P31">
        <f t="shared" si="1"/>
        <v>102.42</v>
      </c>
      <c r="Q31" t="s">
        <v>30</v>
      </c>
      <c r="R31">
        <v>46151</v>
      </c>
      <c r="S31">
        <v>401768</v>
      </c>
      <c r="T31">
        <v>140</v>
      </c>
      <c r="U31">
        <f t="shared" si="2"/>
        <v>0.14338800000000002</v>
      </c>
    </row>
    <row r="32" spans="1:21" ht="15.75" x14ac:dyDescent="0.25">
      <c r="A32" t="s">
        <v>123</v>
      </c>
      <c r="B32">
        <v>45421</v>
      </c>
      <c r="C32" t="s">
        <v>22</v>
      </c>
      <c r="D32" t="s">
        <v>23</v>
      </c>
      <c r="E32" t="s">
        <v>22</v>
      </c>
      <c r="F32" t="s">
        <v>23</v>
      </c>
      <c r="G32" t="s">
        <v>38</v>
      </c>
      <c r="H32" t="s">
        <v>39</v>
      </c>
      <c r="I32" t="s">
        <v>124</v>
      </c>
      <c r="J32">
        <v>0</v>
      </c>
      <c r="K32" t="s">
        <v>125</v>
      </c>
      <c r="L32" t="s">
        <v>28</v>
      </c>
      <c r="M32">
        <v>82.88</v>
      </c>
      <c r="N32" t="s">
        <v>29</v>
      </c>
      <c r="O32">
        <f t="shared" si="0"/>
        <v>82.88</v>
      </c>
      <c r="P32">
        <f t="shared" si="1"/>
        <v>82.88</v>
      </c>
      <c r="Q32" t="s">
        <v>30</v>
      </c>
      <c r="R32">
        <v>46151</v>
      </c>
      <c r="S32">
        <v>401768</v>
      </c>
      <c r="T32">
        <v>137</v>
      </c>
      <c r="U32">
        <f t="shared" si="2"/>
        <v>0.1135456</v>
      </c>
    </row>
    <row r="33" spans="1:21" ht="15.75" x14ac:dyDescent="0.25">
      <c r="A33" t="s">
        <v>126</v>
      </c>
      <c r="B33">
        <v>45432</v>
      </c>
      <c r="C33" t="s">
        <v>22</v>
      </c>
      <c r="D33" t="s">
        <v>23</v>
      </c>
      <c r="E33" t="s">
        <v>22</v>
      </c>
      <c r="F33" t="s">
        <v>23</v>
      </c>
      <c r="G33" t="s">
        <v>38</v>
      </c>
      <c r="H33" t="s">
        <v>39</v>
      </c>
      <c r="I33" t="s">
        <v>127</v>
      </c>
      <c r="J33">
        <v>0</v>
      </c>
      <c r="K33" t="s">
        <v>128</v>
      </c>
      <c r="L33" t="s">
        <v>28</v>
      </c>
      <c r="M33">
        <v>343.76</v>
      </c>
      <c r="N33" t="s">
        <v>29</v>
      </c>
      <c r="O33">
        <f t="shared" si="0"/>
        <v>343.76</v>
      </c>
      <c r="P33">
        <f t="shared" si="1"/>
        <v>343.76</v>
      </c>
      <c r="Q33" t="s">
        <v>30</v>
      </c>
      <c r="R33">
        <v>46151</v>
      </c>
      <c r="S33">
        <v>401768</v>
      </c>
      <c r="U33">
        <f t="shared" si="2"/>
        <v>0</v>
      </c>
    </row>
    <row r="34" spans="1:21" ht="15.75" x14ac:dyDescent="0.25">
      <c r="A34" t="s">
        <v>129</v>
      </c>
      <c r="B34">
        <v>45432</v>
      </c>
      <c r="C34" t="s">
        <v>22</v>
      </c>
      <c r="D34" t="s">
        <v>23</v>
      </c>
      <c r="E34" t="s">
        <v>22</v>
      </c>
      <c r="F34" t="s">
        <v>23</v>
      </c>
      <c r="G34" t="s">
        <v>38</v>
      </c>
      <c r="H34" t="s">
        <v>39</v>
      </c>
      <c r="I34" t="s">
        <v>130</v>
      </c>
      <c r="J34">
        <v>0</v>
      </c>
      <c r="K34" t="s">
        <v>131</v>
      </c>
      <c r="L34" t="s">
        <v>28</v>
      </c>
      <c r="M34">
        <v>333.69</v>
      </c>
      <c r="N34" t="s">
        <v>29</v>
      </c>
      <c r="O34">
        <f t="shared" si="0"/>
        <v>333.69</v>
      </c>
      <c r="P34">
        <f t="shared" si="1"/>
        <v>333.69</v>
      </c>
      <c r="Q34" t="s">
        <v>30</v>
      </c>
      <c r="R34">
        <v>46151</v>
      </c>
      <c r="S34">
        <v>401768</v>
      </c>
      <c r="U34">
        <f t="shared" si="2"/>
        <v>0</v>
      </c>
    </row>
    <row r="35" spans="1:21" ht="15.75" x14ac:dyDescent="0.25">
      <c r="A35" t="s">
        <v>132</v>
      </c>
      <c r="B35">
        <v>45432</v>
      </c>
      <c r="C35" t="s">
        <v>22</v>
      </c>
      <c r="D35" t="s">
        <v>23</v>
      </c>
      <c r="E35" t="s">
        <v>22</v>
      </c>
      <c r="F35" t="s">
        <v>23</v>
      </c>
      <c r="G35" t="s">
        <v>38</v>
      </c>
      <c r="H35" t="s">
        <v>39</v>
      </c>
      <c r="I35" t="s">
        <v>133</v>
      </c>
      <c r="J35">
        <v>0</v>
      </c>
      <c r="K35" t="s">
        <v>134</v>
      </c>
      <c r="L35" t="s">
        <v>28</v>
      </c>
      <c r="M35">
        <v>333.69</v>
      </c>
      <c r="N35" t="s">
        <v>29</v>
      </c>
      <c r="O35">
        <f t="shared" si="0"/>
        <v>333.69</v>
      </c>
      <c r="P35">
        <f t="shared" si="1"/>
        <v>333.69</v>
      </c>
      <c r="Q35" t="s">
        <v>30</v>
      </c>
      <c r="R35">
        <v>46151</v>
      </c>
      <c r="S35">
        <v>401768</v>
      </c>
      <c r="U35">
        <f t="shared" si="2"/>
        <v>0</v>
      </c>
    </row>
    <row r="36" spans="1:21" ht="15.75" x14ac:dyDescent="0.25">
      <c r="A36" t="s">
        <v>135</v>
      </c>
      <c r="B36">
        <v>45444</v>
      </c>
      <c r="C36" t="s">
        <v>22</v>
      </c>
      <c r="D36" t="s">
        <v>23</v>
      </c>
      <c r="E36" t="s">
        <v>30</v>
      </c>
      <c r="F36" t="s">
        <v>30</v>
      </c>
      <c r="G36" t="s">
        <v>38</v>
      </c>
      <c r="H36" t="s">
        <v>39</v>
      </c>
      <c r="I36" t="s">
        <v>40</v>
      </c>
      <c r="J36">
        <v>0</v>
      </c>
      <c r="K36" t="s">
        <v>41</v>
      </c>
      <c r="L36" t="s">
        <v>28</v>
      </c>
      <c r="M36">
        <v>238.93</v>
      </c>
      <c r="N36" t="s">
        <v>29</v>
      </c>
      <c r="O36">
        <f t="shared" si="0"/>
        <v>238.93</v>
      </c>
      <c r="P36">
        <f t="shared" si="1"/>
        <v>238.93</v>
      </c>
      <c r="Q36" t="s">
        <v>30</v>
      </c>
      <c r="R36">
        <v>45444</v>
      </c>
      <c r="S36">
        <v>401768</v>
      </c>
      <c r="U36">
        <f t="shared" si="2"/>
        <v>0</v>
      </c>
    </row>
    <row r="37" spans="1:21" ht="15.75" x14ac:dyDescent="0.25">
      <c r="A37" t="s">
        <v>136</v>
      </c>
      <c r="B37">
        <v>45444</v>
      </c>
      <c r="C37" t="s">
        <v>22</v>
      </c>
      <c r="D37" t="s">
        <v>23</v>
      </c>
      <c r="E37" t="s">
        <v>30</v>
      </c>
      <c r="F37" t="s">
        <v>30</v>
      </c>
      <c r="G37" t="s">
        <v>38</v>
      </c>
      <c r="H37" t="s">
        <v>39</v>
      </c>
      <c r="I37" t="s">
        <v>46</v>
      </c>
      <c r="J37">
        <v>0</v>
      </c>
      <c r="K37" t="s">
        <v>47</v>
      </c>
      <c r="L37" t="s">
        <v>28</v>
      </c>
      <c r="M37">
        <v>238.93</v>
      </c>
      <c r="N37" t="s">
        <v>29</v>
      </c>
      <c r="O37">
        <f t="shared" si="0"/>
        <v>238.93</v>
      </c>
      <c r="P37">
        <f t="shared" si="1"/>
        <v>238.93</v>
      </c>
      <c r="Q37" t="s">
        <v>30</v>
      </c>
      <c r="R37">
        <v>45444</v>
      </c>
      <c r="S37">
        <v>401768</v>
      </c>
      <c r="U37">
        <f t="shared" si="2"/>
        <v>0</v>
      </c>
    </row>
    <row r="38" spans="1:21" ht="15.75" x14ac:dyDescent="0.25">
      <c r="A38" t="s">
        <v>137</v>
      </c>
      <c r="B38">
        <v>45444</v>
      </c>
      <c r="C38" t="s">
        <v>22</v>
      </c>
      <c r="D38" t="s">
        <v>23</v>
      </c>
      <c r="E38" t="s">
        <v>30</v>
      </c>
      <c r="F38" t="s">
        <v>30</v>
      </c>
      <c r="G38" t="s">
        <v>38</v>
      </c>
      <c r="H38" t="s">
        <v>39</v>
      </c>
      <c r="I38" t="s">
        <v>61</v>
      </c>
      <c r="J38">
        <v>0</v>
      </c>
      <c r="K38" t="s">
        <v>62</v>
      </c>
      <c r="L38" t="s">
        <v>28</v>
      </c>
      <c r="M38">
        <v>238.93</v>
      </c>
      <c r="N38" t="s">
        <v>29</v>
      </c>
      <c r="O38">
        <f t="shared" si="0"/>
        <v>238.93</v>
      </c>
      <c r="P38">
        <f t="shared" si="1"/>
        <v>238.93</v>
      </c>
      <c r="Q38" t="s">
        <v>30</v>
      </c>
      <c r="R38">
        <v>45444</v>
      </c>
      <c r="S38">
        <v>401768</v>
      </c>
      <c r="U38">
        <f t="shared" si="2"/>
        <v>0</v>
      </c>
    </row>
    <row r="39" spans="1:21" ht="15.75" x14ac:dyDescent="0.25">
      <c r="A39" t="s">
        <v>138</v>
      </c>
      <c r="B39">
        <v>45444</v>
      </c>
      <c r="C39" t="s">
        <v>22</v>
      </c>
      <c r="D39" t="s">
        <v>23</v>
      </c>
      <c r="E39" t="s">
        <v>30</v>
      </c>
      <c r="F39" t="s">
        <v>30</v>
      </c>
      <c r="G39" t="s">
        <v>38</v>
      </c>
      <c r="H39" t="s">
        <v>39</v>
      </c>
      <c r="I39" t="s">
        <v>55</v>
      </c>
      <c r="J39">
        <v>0</v>
      </c>
      <c r="K39" t="s">
        <v>56</v>
      </c>
      <c r="L39" t="s">
        <v>28</v>
      </c>
      <c r="M39">
        <v>238.93</v>
      </c>
      <c r="N39" t="s">
        <v>29</v>
      </c>
      <c r="O39">
        <f t="shared" si="0"/>
        <v>238.93</v>
      </c>
      <c r="P39">
        <f t="shared" si="1"/>
        <v>238.93</v>
      </c>
      <c r="Q39" t="s">
        <v>30</v>
      </c>
      <c r="R39">
        <v>45444</v>
      </c>
      <c r="S39">
        <v>401768</v>
      </c>
      <c r="U39">
        <f t="shared" si="2"/>
        <v>0</v>
      </c>
    </row>
    <row r="40" spans="1:21" ht="15.75" x14ac:dyDescent="0.25">
      <c r="A40" t="s">
        <v>139</v>
      </c>
      <c r="B40">
        <v>45444</v>
      </c>
      <c r="C40" t="s">
        <v>22</v>
      </c>
      <c r="D40" t="s">
        <v>23</v>
      </c>
      <c r="E40" t="s">
        <v>30</v>
      </c>
      <c r="F40" t="s">
        <v>30</v>
      </c>
      <c r="G40" t="s">
        <v>38</v>
      </c>
      <c r="H40" t="s">
        <v>39</v>
      </c>
      <c r="I40" t="s">
        <v>64</v>
      </c>
      <c r="J40">
        <v>0</v>
      </c>
      <c r="K40" t="s">
        <v>65</v>
      </c>
      <c r="L40" t="s">
        <v>28</v>
      </c>
      <c r="M40">
        <v>238.93</v>
      </c>
      <c r="N40" t="s">
        <v>29</v>
      </c>
      <c r="O40">
        <f t="shared" si="0"/>
        <v>238.93</v>
      </c>
      <c r="P40">
        <f t="shared" si="1"/>
        <v>238.93</v>
      </c>
      <c r="Q40" t="s">
        <v>30</v>
      </c>
      <c r="R40">
        <v>45444</v>
      </c>
      <c r="S40">
        <v>401768</v>
      </c>
      <c r="U40">
        <f t="shared" si="2"/>
        <v>0</v>
      </c>
    </row>
    <row r="41" spans="1:21" ht="15.75" x14ac:dyDescent="0.25">
      <c r="A41" t="s">
        <v>140</v>
      </c>
      <c r="B41">
        <v>45478</v>
      </c>
      <c r="C41" t="s">
        <v>22</v>
      </c>
      <c r="D41" t="s">
        <v>23</v>
      </c>
      <c r="E41" t="s">
        <v>22</v>
      </c>
      <c r="F41" t="s">
        <v>23</v>
      </c>
      <c r="G41" t="s">
        <v>38</v>
      </c>
      <c r="H41" t="s">
        <v>39</v>
      </c>
      <c r="I41" t="s">
        <v>46</v>
      </c>
      <c r="J41">
        <v>0</v>
      </c>
      <c r="K41" t="s">
        <v>47</v>
      </c>
      <c r="L41" t="s">
        <v>28</v>
      </c>
      <c r="M41">
        <v>315.98</v>
      </c>
      <c r="N41" t="s">
        <v>29</v>
      </c>
      <c r="O41">
        <f t="shared" si="0"/>
        <v>315.98</v>
      </c>
      <c r="P41">
        <f t="shared" si="1"/>
        <v>315.98</v>
      </c>
      <c r="Q41" t="s">
        <v>30</v>
      </c>
      <c r="R41">
        <v>46151</v>
      </c>
      <c r="S41">
        <v>401768</v>
      </c>
      <c r="U41">
        <f t="shared" si="2"/>
        <v>0</v>
      </c>
    </row>
    <row r="42" spans="1:21" ht="15.75" x14ac:dyDescent="0.25">
      <c r="A42" t="s">
        <v>141</v>
      </c>
      <c r="B42">
        <v>46023</v>
      </c>
      <c r="C42" t="s">
        <v>22</v>
      </c>
      <c r="D42" t="s">
        <v>23</v>
      </c>
      <c r="E42" t="s">
        <v>30</v>
      </c>
      <c r="F42" t="s">
        <v>30</v>
      </c>
      <c r="G42" t="s">
        <v>38</v>
      </c>
      <c r="H42" t="s">
        <v>39</v>
      </c>
      <c r="I42" t="s">
        <v>142</v>
      </c>
      <c r="J42">
        <v>0</v>
      </c>
      <c r="K42" t="s">
        <v>143</v>
      </c>
      <c r="L42" t="s">
        <v>28</v>
      </c>
      <c r="M42">
        <v>295</v>
      </c>
      <c r="N42" t="s">
        <v>29</v>
      </c>
      <c r="O42">
        <f t="shared" si="0"/>
        <v>295</v>
      </c>
      <c r="P42">
        <f t="shared" si="1"/>
        <v>295</v>
      </c>
      <c r="Q42" t="s">
        <v>30</v>
      </c>
      <c r="R42">
        <v>46023</v>
      </c>
      <c r="S42">
        <v>401768</v>
      </c>
      <c r="T42">
        <v>1625</v>
      </c>
      <c r="U42">
        <f t="shared" si="2"/>
        <v>4.7937500000000002</v>
      </c>
    </row>
    <row r="43" spans="1:21" ht="15.75" x14ac:dyDescent="0.25">
      <c r="A43" t="s">
        <v>144</v>
      </c>
      <c r="B43">
        <v>46123</v>
      </c>
      <c r="C43" t="s">
        <v>22</v>
      </c>
      <c r="D43" t="s">
        <v>23</v>
      </c>
      <c r="E43" t="s">
        <v>22</v>
      </c>
      <c r="F43" t="s">
        <v>23</v>
      </c>
      <c r="G43" t="s">
        <v>38</v>
      </c>
      <c r="H43" t="s">
        <v>39</v>
      </c>
      <c r="I43" t="s">
        <v>145</v>
      </c>
      <c r="J43">
        <v>0</v>
      </c>
      <c r="K43" t="s">
        <v>143</v>
      </c>
      <c r="L43" t="s">
        <v>28</v>
      </c>
      <c r="M43">
        <v>371.16</v>
      </c>
      <c r="N43" t="s">
        <v>29</v>
      </c>
      <c r="O43">
        <f t="shared" si="0"/>
        <v>371.16</v>
      </c>
      <c r="P43">
        <f t="shared" si="1"/>
        <v>371.16</v>
      </c>
      <c r="Q43" t="s">
        <v>30</v>
      </c>
      <c r="R43">
        <v>46151</v>
      </c>
      <c r="S43">
        <v>401768</v>
      </c>
      <c r="U43">
        <f t="shared" si="2"/>
        <v>0</v>
      </c>
    </row>
    <row r="44" spans="1:21" ht="15.75" x14ac:dyDescent="0.25">
      <c r="A44" t="s">
        <v>146</v>
      </c>
      <c r="B44">
        <v>43959</v>
      </c>
      <c r="C44" t="s">
        <v>22</v>
      </c>
      <c r="D44" t="s">
        <v>23</v>
      </c>
      <c r="E44" t="s">
        <v>22</v>
      </c>
      <c r="F44" t="s">
        <v>23</v>
      </c>
      <c r="G44" t="s">
        <v>147</v>
      </c>
      <c r="H44" t="s">
        <v>148</v>
      </c>
      <c r="I44" t="s">
        <v>149</v>
      </c>
      <c r="J44">
        <v>0</v>
      </c>
      <c r="K44" t="s">
        <v>150</v>
      </c>
      <c r="L44" t="s">
        <v>28</v>
      </c>
      <c r="M44">
        <v>6.13</v>
      </c>
      <c r="N44" t="s">
        <v>151</v>
      </c>
      <c r="O44">
        <v>110</v>
      </c>
      <c r="P44">
        <f t="shared" ref="P44:P69" si="3">O44*M44</f>
        <v>674.3</v>
      </c>
      <c r="Q44" t="s">
        <v>30</v>
      </c>
      <c r="R44">
        <v>43004</v>
      </c>
      <c r="S44">
        <v>401768</v>
      </c>
      <c r="U44">
        <f t="shared" si="2"/>
        <v>0</v>
      </c>
    </row>
    <row r="45" spans="1:21" ht="15.75" x14ac:dyDescent="0.25">
      <c r="A45" t="s">
        <v>152</v>
      </c>
      <c r="B45">
        <v>43959</v>
      </c>
      <c r="C45" t="s">
        <v>22</v>
      </c>
      <c r="D45" t="s">
        <v>23</v>
      </c>
      <c r="E45" t="s">
        <v>22</v>
      </c>
      <c r="F45" t="s">
        <v>23</v>
      </c>
      <c r="G45" t="s">
        <v>147</v>
      </c>
      <c r="H45" t="s">
        <v>148</v>
      </c>
      <c r="I45" t="s">
        <v>153</v>
      </c>
      <c r="J45">
        <v>0</v>
      </c>
      <c r="K45" t="s">
        <v>154</v>
      </c>
      <c r="L45" t="s">
        <v>28</v>
      </c>
      <c r="M45">
        <v>2.93</v>
      </c>
      <c r="N45" t="s">
        <v>151</v>
      </c>
      <c r="O45">
        <v>110</v>
      </c>
      <c r="P45">
        <f t="shared" si="3"/>
        <v>322.3</v>
      </c>
      <c r="Q45" t="s">
        <v>30</v>
      </c>
      <c r="R45">
        <v>41422</v>
      </c>
      <c r="S45">
        <v>401768</v>
      </c>
      <c r="U45">
        <f t="shared" si="2"/>
        <v>0</v>
      </c>
    </row>
    <row r="46" spans="1:21" ht="15.75" x14ac:dyDescent="0.25">
      <c r="A46" t="s">
        <v>155</v>
      </c>
      <c r="B46">
        <v>43959</v>
      </c>
      <c r="C46" t="s">
        <v>22</v>
      </c>
      <c r="D46" t="s">
        <v>23</v>
      </c>
      <c r="E46" t="s">
        <v>22</v>
      </c>
      <c r="F46" t="s">
        <v>23</v>
      </c>
      <c r="G46" t="s">
        <v>156</v>
      </c>
      <c r="H46" t="s">
        <v>157</v>
      </c>
      <c r="I46" t="s">
        <v>158</v>
      </c>
      <c r="J46">
        <v>0</v>
      </c>
      <c r="K46" t="s">
        <v>159</v>
      </c>
      <c r="L46" t="s">
        <v>28</v>
      </c>
      <c r="M46">
        <v>10</v>
      </c>
      <c r="N46" t="s">
        <v>160</v>
      </c>
      <c r="O46">
        <v>95</v>
      </c>
      <c r="P46">
        <f t="shared" si="3"/>
        <v>950</v>
      </c>
      <c r="Q46" t="s">
        <v>30</v>
      </c>
      <c r="R46">
        <v>43880</v>
      </c>
      <c r="S46">
        <v>401768</v>
      </c>
      <c r="U46">
        <f t="shared" si="2"/>
        <v>0</v>
      </c>
    </row>
    <row r="47" spans="1:21" ht="15.75" x14ac:dyDescent="0.25">
      <c r="A47" t="s">
        <v>161</v>
      </c>
      <c r="B47">
        <v>43959</v>
      </c>
      <c r="C47" t="s">
        <v>22</v>
      </c>
      <c r="D47" t="s">
        <v>23</v>
      </c>
      <c r="E47" t="s">
        <v>22</v>
      </c>
      <c r="F47" t="s">
        <v>23</v>
      </c>
      <c r="G47" t="s">
        <v>156</v>
      </c>
      <c r="H47" t="s">
        <v>157</v>
      </c>
      <c r="I47" t="s">
        <v>162</v>
      </c>
      <c r="J47">
        <v>0</v>
      </c>
      <c r="K47" t="s">
        <v>163</v>
      </c>
      <c r="L47" t="s">
        <v>28</v>
      </c>
      <c r="M47">
        <v>10</v>
      </c>
      <c r="N47" t="s">
        <v>160</v>
      </c>
      <c r="O47">
        <v>95</v>
      </c>
      <c r="P47">
        <f t="shared" si="3"/>
        <v>950</v>
      </c>
      <c r="Q47" t="s">
        <v>30</v>
      </c>
      <c r="R47">
        <v>43880</v>
      </c>
      <c r="S47">
        <v>401768</v>
      </c>
      <c r="U47">
        <f t="shared" si="2"/>
        <v>0</v>
      </c>
    </row>
    <row r="48" spans="1:21" ht="15.75" x14ac:dyDescent="0.25">
      <c r="A48" t="s">
        <v>164</v>
      </c>
      <c r="B48">
        <v>43959</v>
      </c>
      <c r="C48" t="s">
        <v>22</v>
      </c>
      <c r="D48" t="s">
        <v>23</v>
      </c>
      <c r="E48" t="s">
        <v>22</v>
      </c>
      <c r="F48" t="s">
        <v>23</v>
      </c>
      <c r="G48" t="s">
        <v>165</v>
      </c>
      <c r="H48" t="s">
        <v>166</v>
      </c>
      <c r="I48" t="s">
        <v>167</v>
      </c>
      <c r="J48">
        <v>0</v>
      </c>
      <c r="K48" t="s">
        <v>168</v>
      </c>
      <c r="L48" t="s">
        <v>28</v>
      </c>
      <c r="M48">
        <v>2.73</v>
      </c>
      <c r="N48" t="s">
        <v>151</v>
      </c>
      <c r="O48">
        <v>110</v>
      </c>
      <c r="P48">
        <f t="shared" si="3"/>
        <v>300.3</v>
      </c>
      <c r="Q48" t="s">
        <v>30</v>
      </c>
      <c r="R48">
        <v>41275</v>
      </c>
      <c r="S48">
        <v>401768</v>
      </c>
      <c r="U48">
        <f t="shared" si="2"/>
        <v>0</v>
      </c>
    </row>
    <row r="49" spans="1:21" ht="15.75" x14ac:dyDescent="0.25">
      <c r="A49" t="s">
        <v>169</v>
      </c>
      <c r="B49">
        <v>43959</v>
      </c>
      <c r="C49" t="s">
        <v>22</v>
      </c>
      <c r="D49" t="s">
        <v>23</v>
      </c>
      <c r="E49" t="s">
        <v>22</v>
      </c>
      <c r="F49" t="s">
        <v>23</v>
      </c>
      <c r="G49" t="s">
        <v>165</v>
      </c>
      <c r="H49" t="s">
        <v>166</v>
      </c>
      <c r="I49" t="s">
        <v>170</v>
      </c>
      <c r="J49">
        <v>0</v>
      </c>
      <c r="K49" t="s">
        <v>171</v>
      </c>
      <c r="L49" t="s">
        <v>28</v>
      </c>
      <c r="M49">
        <v>2.83</v>
      </c>
      <c r="N49" t="s">
        <v>151</v>
      </c>
      <c r="O49">
        <v>110</v>
      </c>
      <c r="P49">
        <f t="shared" si="3"/>
        <v>311.3</v>
      </c>
      <c r="Q49" t="s">
        <v>30</v>
      </c>
      <c r="R49">
        <v>41275</v>
      </c>
      <c r="S49">
        <v>401768</v>
      </c>
      <c r="U49">
        <f t="shared" si="2"/>
        <v>0</v>
      </c>
    </row>
    <row r="50" spans="1:21" ht="15.75" x14ac:dyDescent="0.25">
      <c r="A50" t="s">
        <v>172</v>
      </c>
      <c r="B50">
        <v>43959</v>
      </c>
      <c r="C50" t="s">
        <v>22</v>
      </c>
      <c r="D50" t="s">
        <v>23</v>
      </c>
      <c r="E50" t="s">
        <v>22</v>
      </c>
      <c r="F50" t="s">
        <v>23</v>
      </c>
      <c r="G50" t="s">
        <v>165</v>
      </c>
      <c r="H50" t="s">
        <v>166</v>
      </c>
      <c r="I50" t="s">
        <v>173</v>
      </c>
      <c r="J50">
        <v>0</v>
      </c>
      <c r="K50" t="s">
        <v>174</v>
      </c>
      <c r="L50" t="s">
        <v>28</v>
      </c>
      <c r="M50">
        <v>2.9</v>
      </c>
      <c r="N50" t="s">
        <v>151</v>
      </c>
      <c r="O50">
        <v>110</v>
      </c>
      <c r="P50">
        <f t="shared" si="3"/>
        <v>319</v>
      </c>
      <c r="Q50" t="s">
        <v>30</v>
      </c>
      <c r="R50">
        <v>41275</v>
      </c>
      <c r="S50">
        <v>401768</v>
      </c>
      <c r="U50">
        <f t="shared" si="2"/>
        <v>0</v>
      </c>
    </row>
    <row r="51" spans="1:21" ht="15.75" x14ac:dyDescent="0.25">
      <c r="A51" t="s">
        <v>175</v>
      </c>
      <c r="B51">
        <v>43959</v>
      </c>
      <c r="C51" t="s">
        <v>22</v>
      </c>
      <c r="D51" t="s">
        <v>23</v>
      </c>
      <c r="E51" t="s">
        <v>22</v>
      </c>
      <c r="F51" t="s">
        <v>23</v>
      </c>
      <c r="G51" t="s">
        <v>165</v>
      </c>
      <c r="H51" t="s">
        <v>166</v>
      </c>
      <c r="I51" t="s">
        <v>176</v>
      </c>
      <c r="J51">
        <v>0</v>
      </c>
      <c r="K51" t="s">
        <v>177</v>
      </c>
      <c r="L51" t="s">
        <v>28</v>
      </c>
      <c r="M51">
        <v>2.99</v>
      </c>
      <c r="N51" t="s">
        <v>151</v>
      </c>
      <c r="O51">
        <v>110</v>
      </c>
      <c r="P51">
        <f t="shared" si="3"/>
        <v>328.90000000000003</v>
      </c>
      <c r="Q51" t="s">
        <v>30</v>
      </c>
      <c r="R51">
        <v>41275</v>
      </c>
      <c r="S51">
        <v>401768</v>
      </c>
      <c r="U51">
        <f t="shared" si="2"/>
        <v>0</v>
      </c>
    </row>
    <row r="52" spans="1:21" ht="15.75" x14ac:dyDescent="0.25">
      <c r="A52" t="s">
        <v>178</v>
      </c>
      <c r="B52">
        <v>43959</v>
      </c>
      <c r="C52" t="s">
        <v>22</v>
      </c>
      <c r="D52" t="s">
        <v>23</v>
      </c>
      <c r="E52" t="s">
        <v>22</v>
      </c>
      <c r="F52" t="s">
        <v>23</v>
      </c>
      <c r="G52" t="s">
        <v>165</v>
      </c>
      <c r="H52" t="s">
        <v>166</v>
      </c>
      <c r="I52" t="s">
        <v>179</v>
      </c>
      <c r="J52">
        <v>0</v>
      </c>
      <c r="K52" t="s">
        <v>180</v>
      </c>
      <c r="L52" t="s">
        <v>28</v>
      </c>
      <c r="M52">
        <v>6.55</v>
      </c>
      <c r="N52" t="s">
        <v>151</v>
      </c>
      <c r="O52">
        <v>110</v>
      </c>
      <c r="P52">
        <f t="shared" si="3"/>
        <v>720.5</v>
      </c>
      <c r="Q52" t="s">
        <v>30</v>
      </c>
      <c r="R52">
        <v>42525</v>
      </c>
      <c r="S52">
        <v>401768</v>
      </c>
      <c r="U52">
        <f t="shared" si="2"/>
        <v>0</v>
      </c>
    </row>
    <row r="53" spans="1:21" ht="15.75" x14ac:dyDescent="0.25">
      <c r="A53" t="s">
        <v>181</v>
      </c>
      <c r="B53">
        <v>43959</v>
      </c>
      <c r="C53" t="s">
        <v>22</v>
      </c>
      <c r="D53" t="s">
        <v>23</v>
      </c>
      <c r="E53" t="s">
        <v>22</v>
      </c>
      <c r="F53" t="s">
        <v>23</v>
      </c>
      <c r="G53" t="s">
        <v>165</v>
      </c>
      <c r="H53" t="s">
        <v>166</v>
      </c>
      <c r="I53" t="s">
        <v>182</v>
      </c>
      <c r="J53">
        <v>0</v>
      </c>
      <c r="K53" t="s">
        <v>183</v>
      </c>
      <c r="L53" t="s">
        <v>28</v>
      </c>
      <c r="M53">
        <v>0.32</v>
      </c>
      <c r="N53" t="s">
        <v>151</v>
      </c>
      <c r="O53">
        <v>110</v>
      </c>
      <c r="P53">
        <f t="shared" si="3"/>
        <v>35.200000000000003</v>
      </c>
      <c r="Q53" t="s">
        <v>30</v>
      </c>
      <c r="R53">
        <v>41275</v>
      </c>
      <c r="S53">
        <v>401768</v>
      </c>
      <c r="U53">
        <f t="shared" si="2"/>
        <v>0</v>
      </c>
    </row>
    <row r="54" spans="1:21" ht="15.75" x14ac:dyDescent="0.25">
      <c r="A54" t="s">
        <v>184</v>
      </c>
      <c r="B54">
        <v>43959</v>
      </c>
      <c r="C54" t="s">
        <v>22</v>
      </c>
      <c r="D54" t="s">
        <v>23</v>
      </c>
      <c r="E54" t="s">
        <v>22</v>
      </c>
      <c r="F54" t="s">
        <v>23</v>
      </c>
      <c r="G54" t="s">
        <v>165</v>
      </c>
      <c r="H54" t="s">
        <v>166</v>
      </c>
      <c r="I54" t="s">
        <v>185</v>
      </c>
      <c r="J54">
        <v>0</v>
      </c>
      <c r="K54" t="s">
        <v>186</v>
      </c>
      <c r="L54" t="s">
        <v>28</v>
      </c>
      <c r="M54">
        <v>0.89</v>
      </c>
      <c r="N54" t="s">
        <v>151</v>
      </c>
      <c r="O54">
        <v>110</v>
      </c>
      <c r="P54">
        <f t="shared" si="3"/>
        <v>97.9</v>
      </c>
      <c r="Q54" t="s">
        <v>30</v>
      </c>
      <c r="R54">
        <v>41370</v>
      </c>
      <c r="S54">
        <v>401768</v>
      </c>
      <c r="U54">
        <f t="shared" si="2"/>
        <v>0</v>
      </c>
    </row>
    <row r="55" spans="1:21" ht="15.75" x14ac:dyDescent="0.25">
      <c r="A55" t="s">
        <v>187</v>
      </c>
      <c r="B55">
        <v>43959</v>
      </c>
      <c r="C55" t="s">
        <v>22</v>
      </c>
      <c r="D55" t="s">
        <v>23</v>
      </c>
      <c r="E55" t="s">
        <v>22</v>
      </c>
      <c r="F55" t="s">
        <v>23</v>
      </c>
      <c r="G55" t="s">
        <v>165</v>
      </c>
      <c r="H55" t="s">
        <v>166</v>
      </c>
      <c r="I55" t="s">
        <v>188</v>
      </c>
      <c r="J55">
        <v>0</v>
      </c>
      <c r="K55" t="s">
        <v>189</v>
      </c>
      <c r="L55" t="s">
        <v>28</v>
      </c>
      <c r="M55">
        <v>10.6</v>
      </c>
      <c r="N55" t="s">
        <v>151</v>
      </c>
      <c r="O55">
        <v>110</v>
      </c>
      <c r="P55">
        <f t="shared" si="3"/>
        <v>1166</v>
      </c>
      <c r="Q55" t="s">
        <v>30</v>
      </c>
      <c r="R55">
        <v>41275</v>
      </c>
      <c r="S55">
        <v>401768</v>
      </c>
      <c r="U55">
        <f t="shared" si="2"/>
        <v>0</v>
      </c>
    </row>
    <row r="56" spans="1:21" ht="15.75" x14ac:dyDescent="0.25">
      <c r="A56" t="s">
        <v>190</v>
      </c>
      <c r="B56">
        <v>43959</v>
      </c>
      <c r="C56" t="s">
        <v>22</v>
      </c>
      <c r="D56" t="s">
        <v>23</v>
      </c>
      <c r="E56" t="s">
        <v>22</v>
      </c>
      <c r="F56" t="s">
        <v>23</v>
      </c>
      <c r="G56" t="s">
        <v>165</v>
      </c>
      <c r="H56" t="s">
        <v>166</v>
      </c>
      <c r="I56" t="s">
        <v>191</v>
      </c>
      <c r="J56">
        <v>0</v>
      </c>
      <c r="K56" t="s">
        <v>192</v>
      </c>
      <c r="L56" t="s">
        <v>28</v>
      </c>
      <c r="M56">
        <v>4.4800000000000004</v>
      </c>
      <c r="N56" t="s">
        <v>151</v>
      </c>
      <c r="O56">
        <v>110</v>
      </c>
      <c r="P56">
        <f t="shared" si="3"/>
        <v>492.80000000000007</v>
      </c>
      <c r="Q56" t="s">
        <v>30</v>
      </c>
      <c r="R56">
        <v>41551</v>
      </c>
      <c r="S56">
        <v>401768</v>
      </c>
      <c r="U56">
        <f t="shared" si="2"/>
        <v>0</v>
      </c>
    </row>
    <row r="57" spans="1:21" ht="15.75" x14ac:dyDescent="0.25">
      <c r="A57" t="s">
        <v>193</v>
      </c>
      <c r="B57">
        <v>43959</v>
      </c>
      <c r="C57" t="s">
        <v>22</v>
      </c>
      <c r="D57" t="s">
        <v>23</v>
      </c>
      <c r="E57" t="s">
        <v>22</v>
      </c>
      <c r="F57" t="s">
        <v>23</v>
      </c>
      <c r="G57" t="s">
        <v>165</v>
      </c>
      <c r="H57" t="s">
        <v>166</v>
      </c>
      <c r="I57" t="s">
        <v>194</v>
      </c>
      <c r="J57">
        <v>0</v>
      </c>
      <c r="K57" t="s">
        <v>195</v>
      </c>
      <c r="L57" t="s">
        <v>28</v>
      </c>
      <c r="M57">
        <v>0.87</v>
      </c>
      <c r="N57" t="s">
        <v>151</v>
      </c>
      <c r="O57">
        <v>110</v>
      </c>
      <c r="P57">
        <f t="shared" si="3"/>
        <v>95.7</v>
      </c>
      <c r="Q57" t="s">
        <v>30</v>
      </c>
      <c r="R57">
        <v>41550</v>
      </c>
      <c r="S57">
        <v>401768</v>
      </c>
      <c r="U57">
        <f t="shared" si="2"/>
        <v>0</v>
      </c>
    </row>
    <row r="58" spans="1:21" ht="15.75" x14ac:dyDescent="0.25">
      <c r="A58" t="s">
        <v>196</v>
      </c>
      <c r="B58">
        <v>43959</v>
      </c>
      <c r="C58" t="s">
        <v>22</v>
      </c>
      <c r="D58" t="s">
        <v>23</v>
      </c>
      <c r="E58" t="s">
        <v>22</v>
      </c>
      <c r="F58" t="s">
        <v>23</v>
      </c>
      <c r="G58" t="s">
        <v>165</v>
      </c>
      <c r="H58" t="s">
        <v>166</v>
      </c>
      <c r="I58" t="s">
        <v>197</v>
      </c>
      <c r="J58">
        <v>0</v>
      </c>
      <c r="K58" t="s">
        <v>198</v>
      </c>
      <c r="L58" t="s">
        <v>28</v>
      </c>
      <c r="M58">
        <v>0.4</v>
      </c>
      <c r="N58" t="s">
        <v>151</v>
      </c>
      <c r="O58">
        <v>110</v>
      </c>
      <c r="P58">
        <f t="shared" si="3"/>
        <v>44</v>
      </c>
      <c r="Q58" t="s">
        <v>30</v>
      </c>
      <c r="R58">
        <v>44610</v>
      </c>
      <c r="S58">
        <v>401768</v>
      </c>
      <c r="T58">
        <v>11520</v>
      </c>
      <c r="U58">
        <f t="shared" si="2"/>
        <v>5.0688000000000004</v>
      </c>
    </row>
    <row r="59" spans="1:21" ht="15.75" x14ac:dyDescent="0.25">
      <c r="A59" t="s">
        <v>199</v>
      </c>
      <c r="B59">
        <v>43959</v>
      </c>
      <c r="C59" t="s">
        <v>22</v>
      </c>
      <c r="D59" t="s">
        <v>23</v>
      </c>
      <c r="E59" t="s">
        <v>22</v>
      </c>
      <c r="F59" t="s">
        <v>23</v>
      </c>
      <c r="G59" t="s">
        <v>165</v>
      </c>
      <c r="H59" t="s">
        <v>166</v>
      </c>
      <c r="I59" t="s">
        <v>200</v>
      </c>
      <c r="J59">
        <v>0</v>
      </c>
      <c r="K59" t="s">
        <v>201</v>
      </c>
      <c r="L59" t="s">
        <v>28</v>
      </c>
      <c r="M59">
        <v>0.92</v>
      </c>
      <c r="N59" t="s">
        <v>151</v>
      </c>
      <c r="O59">
        <v>110</v>
      </c>
      <c r="P59">
        <f t="shared" si="3"/>
        <v>101.2</v>
      </c>
      <c r="Q59" t="s">
        <v>30</v>
      </c>
      <c r="R59">
        <v>44497</v>
      </c>
      <c r="S59">
        <v>401768</v>
      </c>
      <c r="U59">
        <f t="shared" si="2"/>
        <v>0</v>
      </c>
    </row>
    <row r="60" spans="1:21" ht="15.75" x14ac:dyDescent="0.25">
      <c r="A60" t="s">
        <v>202</v>
      </c>
      <c r="B60">
        <v>43959</v>
      </c>
      <c r="C60" t="s">
        <v>22</v>
      </c>
      <c r="D60" t="s">
        <v>23</v>
      </c>
      <c r="E60" t="s">
        <v>22</v>
      </c>
      <c r="F60" t="s">
        <v>23</v>
      </c>
      <c r="G60" t="s">
        <v>165</v>
      </c>
      <c r="H60" t="s">
        <v>166</v>
      </c>
      <c r="I60" t="s">
        <v>203</v>
      </c>
      <c r="J60">
        <v>0</v>
      </c>
      <c r="K60" t="s">
        <v>204</v>
      </c>
      <c r="L60" t="s">
        <v>28</v>
      </c>
      <c r="M60">
        <v>0.86</v>
      </c>
      <c r="N60" t="s">
        <v>151</v>
      </c>
      <c r="O60">
        <v>110</v>
      </c>
      <c r="P60">
        <f t="shared" si="3"/>
        <v>94.6</v>
      </c>
      <c r="Q60" t="s">
        <v>30</v>
      </c>
      <c r="R60">
        <v>41550</v>
      </c>
      <c r="S60">
        <v>401768</v>
      </c>
      <c r="U60">
        <f t="shared" si="2"/>
        <v>0</v>
      </c>
    </row>
    <row r="61" spans="1:21" ht="15.75" x14ac:dyDescent="0.25">
      <c r="A61" t="s">
        <v>205</v>
      </c>
      <c r="B61">
        <v>43959</v>
      </c>
      <c r="C61" t="s">
        <v>22</v>
      </c>
      <c r="D61" t="s">
        <v>23</v>
      </c>
      <c r="E61" t="s">
        <v>22</v>
      </c>
      <c r="F61" t="s">
        <v>23</v>
      </c>
      <c r="G61" t="s">
        <v>165</v>
      </c>
      <c r="H61" t="s">
        <v>166</v>
      </c>
      <c r="I61" t="s">
        <v>206</v>
      </c>
      <c r="J61">
        <v>0</v>
      </c>
      <c r="K61" t="s">
        <v>207</v>
      </c>
      <c r="L61" t="s">
        <v>28</v>
      </c>
      <c r="M61">
        <v>0.4</v>
      </c>
      <c r="N61" t="s">
        <v>151</v>
      </c>
      <c r="O61">
        <v>110</v>
      </c>
      <c r="P61">
        <f t="shared" si="3"/>
        <v>44</v>
      </c>
      <c r="Q61" t="s">
        <v>30</v>
      </c>
      <c r="R61">
        <v>44610</v>
      </c>
      <c r="S61">
        <v>401768</v>
      </c>
      <c r="T61">
        <v>11520</v>
      </c>
      <c r="U61">
        <f t="shared" si="2"/>
        <v>5.0688000000000004</v>
      </c>
    </row>
    <row r="62" spans="1:21" ht="15.75" x14ac:dyDescent="0.25">
      <c r="A62" t="s">
        <v>208</v>
      </c>
      <c r="B62">
        <v>45525</v>
      </c>
      <c r="C62" t="s">
        <v>22</v>
      </c>
      <c r="D62" t="s">
        <v>23</v>
      </c>
      <c r="E62" t="s">
        <v>22</v>
      </c>
      <c r="F62" t="s">
        <v>23</v>
      </c>
      <c r="G62" t="s">
        <v>165</v>
      </c>
      <c r="H62" t="s">
        <v>166</v>
      </c>
      <c r="I62" t="s">
        <v>209</v>
      </c>
      <c r="J62">
        <v>0</v>
      </c>
      <c r="K62" t="s">
        <v>210</v>
      </c>
      <c r="L62" t="s">
        <v>28</v>
      </c>
      <c r="M62">
        <v>0.57999999999999996</v>
      </c>
      <c r="N62" t="s">
        <v>151</v>
      </c>
      <c r="O62">
        <v>110</v>
      </c>
      <c r="P62">
        <f t="shared" si="3"/>
        <v>63.8</v>
      </c>
      <c r="Q62" t="s">
        <v>30</v>
      </c>
      <c r="R62">
        <v>45525</v>
      </c>
      <c r="S62">
        <v>401768</v>
      </c>
      <c r="U62">
        <f t="shared" si="2"/>
        <v>0</v>
      </c>
    </row>
    <row r="63" spans="1:21" ht="15.75" x14ac:dyDescent="0.25">
      <c r="A63" t="s">
        <v>211</v>
      </c>
      <c r="B63">
        <v>45525</v>
      </c>
      <c r="C63" t="s">
        <v>22</v>
      </c>
      <c r="D63" t="s">
        <v>23</v>
      </c>
      <c r="E63" t="s">
        <v>30</v>
      </c>
      <c r="F63" t="s">
        <v>30</v>
      </c>
      <c r="G63" t="s">
        <v>165</v>
      </c>
      <c r="H63" t="s">
        <v>166</v>
      </c>
      <c r="I63" t="s">
        <v>212</v>
      </c>
      <c r="J63">
        <v>0</v>
      </c>
      <c r="K63" t="s">
        <v>210</v>
      </c>
      <c r="L63" t="s">
        <v>28</v>
      </c>
      <c r="M63">
        <v>0.8</v>
      </c>
      <c r="N63" t="s">
        <v>151</v>
      </c>
      <c r="O63">
        <v>110</v>
      </c>
      <c r="P63">
        <f t="shared" si="3"/>
        <v>88</v>
      </c>
      <c r="Q63" t="s">
        <v>30</v>
      </c>
      <c r="R63">
        <v>45525</v>
      </c>
      <c r="S63">
        <v>401768</v>
      </c>
      <c r="U63">
        <f t="shared" si="2"/>
        <v>0</v>
      </c>
    </row>
    <row r="64" spans="1:21" ht="15.75" x14ac:dyDescent="0.25">
      <c r="A64" t="s">
        <v>213</v>
      </c>
      <c r="B64">
        <v>45566</v>
      </c>
      <c r="C64" t="s">
        <v>22</v>
      </c>
      <c r="D64" t="s">
        <v>23</v>
      </c>
      <c r="E64" t="s">
        <v>22</v>
      </c>
      <c r="F64" t="s">
        <v>23</v>
      </c>
      <c r="G64" t="s">
        <v>165</v>
      </c>
      <c r="H64" t="s">
        <v>166</v>
      </c>
      <c r="I64" t="s">
        <v>214</v>
      </c>
      <c r="J64">
        <v>0</v>
      </c>
      <c r="K64" t="s">
        <v>215</v>
      </c>
      <c r="L64" t="s">
        <v>28</v>
      </c>
      <c r="M64">
        <v>4.9000000000000004</v>
      </c>
      <c r="N64" t="s">
        <v>151</v>
      </c>
      <c r="O64">
        <v>110</v>
      </c>
      <c r="P64">
        <f t="shared" si="3"/>
        <v>539</v>
      </c>
      <c r="Q64" t="s">
        <v>30</v>
      </c>
      <c r="R64">
        <v>45566</v>
      </c>
      <c r="S64">
        <v>401768</v>
      </c>
      <c r="U64">
        <f t="shared" si="2"/>
        <v>0</v>
      </c>
    </row>
    <row r="65" spans="1:21" ht="15.75" x14ac:dyDescent="0.25">
      <c r="A65" t="s">
        <v>216</v>
      </c>
      <c r="B65">
        <v>45566</v>
      </c>
      <c r="C65" t="s">
        <v>22</v>
      </c>
      <c r="D65" t="s">
        <v>23</v>
      </c>
      <c r="E65" t="s">
        <v>22</v>
      </c>
      <c r="F65" t="s">
        <v>23</v>
      </c>
      <c r="G65" t="s">
        <v>165</v>
      </c>
      <c r="H65" t="s">
        <v>166</v>
      </c>
      <c r="I65" t="s">
        <v>217</v>
      </c>
      <c r="J65">
        <v>0</v>
      </c>
      <c r="K65" t="s">
        <v>218</v>
      </c>
      <c r="L65" t="s">
        <v>28</v>
      </c>
      <c r="M65">
        <v>0.57999999999999996</v>
      </c>
      <c r="N65" t="s">
        <v>151</v>
      </c>
      <c r="O65">
        <v>110</v>
      </c>
      <c r="P65">
        <f t="shared" si="3"/>
        <v>63.8</v>
      </c>
      <c r="Q65" t="s">
        <v>30</v>
      </c>
      <c r="R65">
        <v>45566</v>
      </c>
      <c r="S65">
        <v>401768</v>
      </c>
      <c r="U65">
        <f t="shared" si="2"/>
        <v>0</v>
      </c>
    </row>
    <row r="66" spans="1:21" ht="15.75" x14ac:dyDescent="0.25">
      <c r="A66" t="s">
        <v>219</v>
      </c>
      <c r="B66">
        <v>45566</v>
      </c>
      <c r="C66" t="s">
        <v>22</v>
      </c>
      <c r="D66" t="s">
        <v>23</v>
      </c>
      <c r="E66" t="s">
        <v>30</v>
      </c>
      <c r="F66" t="s">
        <v>30</v>
      </c>
      <c r="G66" t="s">
        <v>165</v>
      </c>
      <c r="H66" t="s">
        <v>166</v>
      </c>
      <c r="I66" t="s">
        <v>220</v>
      </c>
      <c r="J66">
        <v>0</v>
      </c>
      <c r="K66" t="s">
        <v>221</v>
      </c>
      <c r="L66" t="s">
        <v>28</v>
      </c>
      <c r="M66">
        <v>0.8</v>
      </c>
      <c r="N66" t="s">
        <v>151</v>
      </c>
      <c r="O66">
        <v>110</v>
      </c>
      <c r="P66">
        <f t="shared" si="3"/>
        <v>88</v>
      </c>
      <c r="Q66" t="s">
        <v>30</v>
      </c>
      <c r="R66">
        <v>45566</v>
      </c>
      <c r="S66">
        <v>401768</v>
      </c>
      <c r="U66">
        <f t="shared" si="2"/>
        <v>0</v>
      </c>
    </row>
    <row r="67" spans="1:21" ht="15.75" x14ac:dyDescent="0.25">
      <c r="A67" t="s">
        <v>222</v>
      </c>
      <c r="B67">
        <v>45642</v>
      </c>
      <c r="C67" t="s">
        <v>22</v>
      </c>
      <c r="D67" t="s">
        <v>23</v>
      </c>
      <c r="E67" t="s">
        <v>30</v>
      </c>
      <c r="F67" t="s">
        <v>30</v>
      </c>
      <c r="G67" t="s">
        <v>165</v>
      </c>
      <c r="H67" t="s">
        <v>166</v>
      </c>
      <c r="I67" t="s">
        <v>223</v>
      </c>
      <c r="J67">
        <v>0</v>
      </c>
      <c r="K67" t="s">
        <v>224</v>
      </c>
      <c r="L67" t="s">
        <v>28</v>
      </c>
      <c r="M67">
        <v>4.9000000000000004</v>
      </c>
      <c r="N67" t="s">
        <v>151</v>
      </c>
      <c r="O67">
        <v>110</v>
      </c>
      <c r="P67">
        <f t="shared" si="3"/>
        <v>539</v>
      </c>
      <c r="Q67" t="s">
        <v>30</v>
      </c>
      <c r="R67">
        <v>45642</v>
      </c>
      <c r="S67">
        <v>401768</v>
      </c>
      <c r="T67">
        <v>1782</v>
      </c>
      <c r="U67">
        <f t="shared" ref="U67:U130" si="4">T67*P67/100000</f>
        <v>9.6049799999999994</v>
      </c>
    </row>
    <row r="68" spans="1:21" ht="15.75" x14ac:dyDescent="0.25">
      <c r="A68" t="s">
        <v>225</v>
      </c>
      <c r="B68">
        <v>45642</v>
      </c>
      <c r="C68" t="s">
        <v>22</v>
      </c>
      <c r="D68" t="s">
        <v>23</v>
      </c>
      <c r="E68" t="s">
        <v>30</v>
      </c>
      <c r="F68" t="s">
        <v>30</v>
      </c>
      <c r="G68" t="s">
        <v>165</v>
      </c>
      <c r="H68" t="s">
        <v>166</v>
      </c>
      <c r="I68" t="s">
        <v>226</v>
      </c>
      <c r="J68">
        <v>0</v>
      </c>
      <c r="K68" t="s">
        <v>227</v>
      </c>
      <c r="L68" t="s">
        <v>28</v>
      </c>
      <c r="M68">
        <v>4.9000000000000004</v>
      </c>
      <c r="N68" t="s">
        <v>151</v>
      </c>
      <c r="O68">
        <v>110</v>
      </c>
      <c r="P68">
        <f t="shared" si="3"/>
        <v>539</v>
      </c>
      <c r="Q68" t="s">
        <v>30</v>
      </c>
      <c r="R68">
        <v>45642</v>
      </c>
      <c r="S68">
        <v>401768</v>
      </c>
      <c r="T68">
        <v>1782</v>
      </c>
      <c r="U68">
        <f t="shared" si="4"/>
        <v>9.6049799999999994</v>
      </c>
    </row>
    <row r="69" spans="1:21" ht="15.75" x14ac:dyDescent="0.25">
      <c r="A69" t="s">
        <v>228</v>
      </c>
      <c r="B69">
        <v>45724</v>
      </c>
      <c r="C69" t="s">
        <v>22</v>
      </c>
      <c r="D69" t="s">
        <v>23</v>
      </c>
      <c r="E69" t="s">
        <v>30</v>
      </c>
      <c r="F69" t="s">
        <v>30</v>
      </c>
      <c r="G69" t="s">
        <v>165</v>
      </c>
      <c r="H69" t="s">
        <v>166</v>
      </c>
      <c r="I69" t="s">
        <v>229</v>
      </c>
      <c r="J69">
        <v>0</v>
      </c>
      <c r="K69" t="s">
        <v>230</v>
      </c>
      <c r="L69" t="s">
        <v>28</v>
      </c>
      <c r="M69">
        <v>1.26</v>
      </c>
      <c r="N69" t="s">
        <v>151</v>
      </c>
      <c r="O69">
        <v>110</v>
      </c>
      <c r="P69">
        <f t="shared" si="3"/>
        <v>138.6</v>
      </c>
      <c r="Q69" t="s">
        <v>30</v>
      </c>
      <c r="R69">
        <v>45724</v>
      </c>
      <c r="S69">
        <v>401768</v>
      </c>
      <c r="T69">
        <v>2560</v>
      </c>
      <c r="U69">
        <f t="shared" si="4"/>
        <v>3.5481600000000002</v>
      </c>
    </row>
    <row r="70" spans="1:21" ht="15.75" x14ac:dyDescent="0.25">
      <c r="A70" t="s">
        <v>231</v>
      </c>
      <c r="B70">
        <v>45156</v>
      </c>
      <c r="C70" t="s">
        <v>22</v>
      </c>
      <c r="D70" t="s">
        <v>23</v>
      </c>
      <c r="E70" t="s">
        <v>30</v>
      </c>
      <c r="F70" t="s">
        <v>30</v>
      </c>
      <c r="G70" t="s">
        <v>232</v>
      </c>
      <c r="H70" t="s">
        <v>233</v>
      </c>
      <c r="I70" t="s">
        <v>234</v>
      </c>
      <c r="J70">
        <v>0</v>
      </c>
      <c r="K70" t="s">
        <v>235</v>
      </c>
      <c r="L70" t="s">
        <v>28</v>
      </c>
      <c r="M70">
        <v>405</v>
      </c>
      <c r="N70" t="s">
        <v>29</v>
      </c>
      <c r="O70">
        <f t="shared" ref="O70:O97" si="5">M70</f>
        <v>405</v>
      </c>
      <c r="P70">
        <f t="shared" ref="P70:P97" si="6">O70</f>
        <v>405</v>
      </c>
      <c r="Q70" t="s">
        <v>30</v>
      </c>
      <c r="R70">
        <v>45156</v>
      </c>
      <c r="S70">
        <v>401768</v>
      </c>
      <c r="U70">
        <f t="shared" si="4"/>
        <v>0</v>
      </c>
    </row>
    <row r="71" spans="1:21" ht="15.75" x14ac:dyDescent="0.25">
      <c r="A71" t="s">
        <v>236</v>
      </c>
      <c r="B71">
        <v>45546</v>
      </c>
      <c r="C71" t="s">
        <v>22</v>
      </c>
      <c r="D71" t="s">
        <v>23</v>
      </c>
      <c r="E71" t="s">
        <v>30</v>
      </c>
      <c r="F71" t="s">
        <v>30</v>
      </c>
      <c r="G71" t="s">
        <v>232</v>
      </c>
      <c r="H71" t="s">
        <v>233</v>
      </c>
      <c r="I71" t="s">
        <v>237</v>
      </c>
      <c r="J71">
        <v>0</v>
      </c>
      <c r="K71" t="s">
        <v>238</v>
      </c>
      <c r="L71" t="s">
        <v>28</v>
      </c>
      <c r="M71">
        <v>30</v>
      </c>
      <c r="N71" t="s">
        <v>29</v>
      </c>
      <c r="O71">
        <f t="shared" si="5"/>
        <v>30</v>
      </c>
      <c r="P71">
        <f t="shared" si="6"/>
        <v>30</v>
      </c>
      <c r="Q71" t="s">
        <v>30</v>
      </c>
      <c r="R71">
        <v>45546</v>
      </c>
      <c r="S71">
        <v>401768</v>
      </c>
      <c r="U71">
        <f t="shared" si="4"/>
        <v>0</v>
      </c>
    </row>
    <row r="72" spans="1:21" ht="15.75" x14ac:dyDescent="0.25">
      <c r="A72" t="s">
        <v>239</v>
      </c>
      <c r="B72">
        <v>45719</v>
      </c>
      <c r="C72" t="s">
        <v>22</v>
      </c>
      <c r="D72" t="s">
        <v>23</v>
      </c>
      <c r="E72" t="s">
        <v>22</v>
      </c>
      <c r="F72" t="s">
        <v>23</v>
      </c>
      <c r="G72" t="s">
        <v>232</v>
      </c>
      <c r="H72" t="s">
        <v>233</v>
      </c>
      <c r="I72" t="s">
        <v>240</v>
      </c>
      <c r="J72">
        <v>0</v>
      </c>
      <c r="K72" t="s">
        <v>241</v>
      </c>
      <c r="L72" t="s">
        <v>28</v>
      </c>
      <c r="M72">
        <v>40</v>
      </c>
      <c r="N72" t="s">
        <v>29</v>
      </c>
      <c r="O72">
        <f t="shared" si="5"/>
        <v>40</v>
      </c>
      <c r="P72">
        <f t="shared" si="6"/>
        <v>40</v>
      </c>
      <c r="Q72" t="s">
        <v>30</v>
      </c>
      <c r="R72">
        <v>45719</v>
      </c>
      <c r="S72">
        <v>401768</v>
      </c>
      <c r="U72">
        <f t="shared" si="4"/>
        <v>0</v>
      </c>
    </row>
    <row r="73" spans="1:21" ht="15.75" x14ac:dyDescent="0.25">
      <c r="A73" t="s">
        <v>242</v>
      </c>
      <c r="B73">
        <v>45719</v>
      </c>
      <c r="C73" t="s">
        <v>22</v>
      </c>
      <c r="D73" t="s">
        <v>23</v>
      </c>
      <c r="E73" t="s">
        <v>22</v>
      </c>
      <c r="F73" t="s">
        <v>23</v>
      </c>
      <c r="G73" t="s">
        <v>232</v>
      </c>
      <c r="H73" t="s">
        <v>233</v>
      </c>
      <c r="I73" t="s">
        <v>243</v>
      </c>
      <c r="J73">
        <v>0</v>
      </c>
      <c r="K73" t="s">
        <v>244</v>
      </c>
      <c r="L73" t="s">
        <v>28</v>
      </c>
      <c r="M73">
        <v>40</v>
      </c>
      <c r="N73" t="s">
        <v>29</v>
      </c>
      <c r="O73">
        <f t="shared" si="5"/>
        <v>40</v>
      </c>
      <c r="P73">
        <f t="shared" si="6"/>
        <v>40</v>
      </c>
      <c r="Q73" t="s">
        <v>30</v>
      </c>
      <c r="R73">
        <v>45719</v>
      </c>
      <c r="S73">
        <v>401768</v>
      </c>
      <c r="U73">
        <f t="shared" si="4"/>
        <v>0</v>
      </c>
    </row>
    <row r="74" spans="1:21" ht="15.75" x14ac:dyDescent="0.25">
      <c r="A74" t="s">
        <v>245</v>
      </c>
      <c r="B74">
        <v>43959</v>
      </c>
      <c r="C74" t="s">
        <v>22</v>
      </c>
      <c r="D74" t="s">
        <v>23</v>
      </c>
      <c r="E74" t="s">
        <v>22</v>
      </c>
      <c r="F74" t="s">
        <v>23</v>
      </c>
      <c r="G74" t="s">
        <v>246</v>
      </c>
      <c r="H74" t="s">
        <v>247</v>
      </c>
      <c r="I74" t="s">
        <v>248</v>
      </c>
      <c r="J74">
        <v>0</v>
      </c>
      <c r="K74" t="s">
        <v>249</v>
      </c>
      <c r="L74" t="s">
        <v>28</v>
      </c>
      <c r="M74">
        <v>200.19</v>
      </c>
      <c r="N74" t="s">
        <v>29</v>
      </c>
      <c r="O74">
        <f t="shared" si="5"/>
        <v>200.19</v>
      </c>
      <c r="P74">
        <f t="shared" si="6"/>
        <v>200.19</v>
      </c>
      <c r="Q74" t="s">
        <v>30</v>
      </c>
      <c r="R74">
        <v>44474</v>
      </c>
      <c r="S74">
        <v>401768</v>
      </c>
      <c r="U74">
        <f t="shared" si="4"/>
        <v>0</v>
      </c>
    </row>
    <row r="75" spans="1:21" ht="15.75" x14ac:dyDescent="0.25">
      <c r="A75" t="s">
        <v>250</v>
      </c>
      <c r="B75">
        <v>43959</v>
      </c>
      <c r="C75" t="s">
        <v>22</v>
      </c>
      <c r="D75" t="s">
        <v>23</v>
      </c>
      <c r="E75" t="s">
        <v>22</v>
      </c>
      <c r="F75" t="s">
        <v>23</v>
      </c>
      <c r="G75" t="s">
        <v>246</v>
      </c>
      <c r="H75" t="s">
        <v>247</v>
      </c>
      <c r="I75" t="s">
        <v>251</v>
      </c>
      <c r="J75">
        <v>0</v>
      </c>
      <c r="K75" t="s">
        <v>252</v>
      </c>
      <c r="L75" t="s">
        <v>28</v>
      </c>
      <c r="M75">
        <v>40.14</v>
      </c>
      <c r="N75" t="s">
        <v>29</v>
      </c>
      <c r="O75">
        <f t="shared" si="5"/>
        <v>40.14</v>
      </c>
      <c r="P75">
        <f t="shared" si="6"/>
        <v>40.14</v>
      </c>
      <c r="Q75" t="s">
        <v>30</v>
      </c>
      <c r="R75">
        <v>44474</v>
      </c>
      <c r="S75">
        <v>401768</v>
      </c>
      <c r="U75">
        <f t="shared" si="4"/>
        <v>0</v>
      </c>
    </row>
    <row r="76" spans="1:21" ht="15.75" x14ac:dyDescent="0.25">
      <c r="A76" t="s">
        <v>253</v>
      </c>
      <c r="B76">
        <v>43959</v>
      </c>
      <c r="C76" t="s">
        <v>22</v>
      </c>
      <c r="D76" t="s">
        <v>23</v>
      </c>
      <c r="E76" t="s">
        <v>22</v>
      </c>
      <c r="F76" t="s">
        <v>23</v>
      </c>
      <c r="G76" t="s">
        <v>246</v>
      </c>
      <c r="H76" t="s">
        <v>247</v>
      </c>
      <c r="I76" t="s">
        <v>254</v>
      </c>
      <c r="J76">
        <v>0</v>
      </c>
      <c r="K76" t="s">
        <v>255</v>
      </c>
      <c r="L76" t="s">
        <v>28</v>
      </c>
      <c r="M76">
        <v>70.94</v>
      </c>
      <c r="N76" t="s">
        <v>29</v>
      </c>
      <c r="O76">
        <f t="shared" si="5"/>
        <v>70.94</v>
      </c>
      <c r="P76">
        <f t="shared" si="6"/>
        <v>70.94</v>
      </c>
      <c r="Q76" t="s">
        <v>30</v>
      </c>
      <c r="R76">
        <v>44474</v>
      </c>
      <c r="S76">
        <v>401768</v>
      </c>
      <c r="U76">
        <f t="shared" si="4"/>
        <v>0</v>
      </c>
    </row>
    <row r="77" spans="1:21" ht="15.75" x14ac:dyDescent="0.25">
      <c r="A77" t="s">
        <v>256</v>
      </c>
      <c r="B77">
        <v>43959</v>
      </c>
      <c r="C77" t="s">
        <v>22</v>
      </c>
      <c r="D77" t="s">
        <v>23</v>
      </c>
      <c r="E77" t="s">
        <v>22</v>
      </c>
      <c r="F77" t="s">
        <v>23</v>
      </c>
      <c r="G77" t="s">
        <v>246</v>
      </c>
      <c r="H77" t="s">
        <v>247</v>
      </c>
      <c r="I77" t="s">
        <v>257</v>
      </c>
      <c r="J77">
        <v>0</v>
      </c>
      <c r="K77" t="s">
        <v>258</v>
      </c>
      <c r="L77" t="s">
        <v>28</v>
      </c>
      <c r="M77">
        <v>77.42</v>
      </c>
      <c r="N77" t="s">
        <v>29</v>
      </c>
      <c r="O77">
        <f t="shared" si="5"/>
        <v>77.42</v>
      </c>
      <c r="P77">
        <f t="shared" si="6"/>
        <v>77.42</v>
      </c>
      <c r="Q77" t="s">
        <v>30</v>
      </c>
      <c r="R77">
        <v>44777</v>
      </c>
      <c r="S77">
        <v>401768</v>
      </c>
      <c r="U77">
        <f t="shared" si="4"/>
        <v>0</v>
      </c>
    </row>
    <row r="78" spans="1:21" ht="15.75" x14ac:dyDescent="0.25">
      <c r="A78" t="s">
        <v>259</v>
      </c>
      <c r="B78">
        <v>43959</v>
      </c>
      <c r="C78" t="s">
        <v>22</v>
      </c>
      <c r="D78" t="s">
        <v>23</v>
      </c>
      <c r="E78" t="s">
        <v>22</v>
      </c>
      <c r="F78" t="s">
        <v>23</v>
      </c>
      <c r="G78" t="s">
        <v>246</v>
      </c>
      <c r="H78" t="s">
        <v>247</v>
      </c>
      <c r="I78" t="s">
        <v>260</v>
      </c>
      <c r="J78">
        <v>0</v>
      </c>
      <c r="K78" t="s">
        <v>261</v>
      </c>
      <c r="L78" t="s">
        <v>28</v>
      </c>
      <c r="M78">
        <v>71.900000000000006</v>
      </c>
      <c r="N78" t="s">
        <v>29</v>
      </c>
      <c r="O78">
        <f t="shared" si="5"/>
        <v>71.900000000000006</v>
      </c>
      <c r="P78">
        <f t="shared" si="6"/>
        <v>71.900000000000006</v>
      </c>
      <c r="Q78" t="s">
        <v>30</v>
      </c>
      <c r="R78">
        <v>44474</v>
      </c>
      <c r="S78">
        <v>401768</v>
      </c>
      <c r="U78">
        <f t="shared" si="4"/>
        <v>0</v>
      </c>
    </row>
    <row r="79" spans="1:21" ht="15.75" x14ac:dyDescent="0.25">
      <c r="A79" t="s">
        <v>262</v>
      </c>
      <c r="B79">
        <v>43959</v>
      </c>
      <c r="C79" t="s">
        <v>22</v>
      </c>
      <c r="D79" t="s">
        <v>23</v>
      </c>
      <c r="E79" t="s">
        <v>22</v>
      </c>
      <c r="F79" t="s">
        <v>23</v>
      </c>
      <c r="G79" t="s">
        <v>246</v>
      </c>
      <c r="H79" t="s">
        <v>247</v>
      </c>
      <c r="I79" t="s">
        <v>263</v>
      </c>
      <c r="J79">
        <v>0</v>
      </c>
      <c r="K79" t="s">
        <v>264</v>
      </c>
      <c r="L79" t="s">
        <v>28</v>
      </c>
      <c r="M79">
        <v>78.260000000000005</v>
      </c>
      <c r="N79" t="s">
        <v>29</v>
      </c>
      <c r="O79">
        <f t="shared" si="5"/>
        <v>78.260000000000005</v>
      </c>
      <c r="P79">
        <f t="shared" si="6"/>
        <v>78.260000000000005</v>
      </c>
      <c r="Q79" t="s">
        <v>30</v>
      </c>
      <c r="R79">
        <v>44474</v>
      </c>
      <c r="S79">
        <v>401768</v>
      </c>
      <c r="U79">
        <f t="shared" si="4"/>
        <v>0</v>
      </c>
    </row>
    <row r="80" spans="1:21" ht="15.75" x14ac:dyDescent="0.25">
      <c r="A80" t="s">
        <v>265</v>
      </c>
      <c r="B80">
        <v>43959</v>
      </c>
      <c r="C80" t="s">
        <v>22</v>
      </c>
      <c r="D80" t="s">
        <v>23</v>
      </c>
      <c r="E80" t="s">
        <v>22</v>
      </c>
      <c r="F80" t="s">
        <v>23</v>
      </c>
      <c r="G80" t="s">
        <v>246</v>
      </c>
      <c r="H80" t="s">
        <v>247</v>
      </c>
      <c r="I80" t="s">
        <v>266</v>
      </c>
      <c r="J80">
        <v>0</v>
      </c>
      <c r="K80" t="s">
        <v>267</v>
      </c>
      <c r="L80" t="s">
        <v>28</v>
      </c>
      <c r="M80">
        <v>79.260000000000005</v>
      </c>
      <c r="N80" t="s">
        <v>29</v>
      </c>
      <c r="O80">
        <f t="shared" si="5"/>
        <v>79.260000000000005</v>
      </c>
      <c r="P80">
        <f t="shared" si="6"/>
        <v>79.260000000000005</v>
      </c>
      <c r="Q80" t="s">
        <v>30</v>
      </c>
      <c r="R80">
        <v>44474</v>
      </c>
      <c r="S80">
        <v>401768</v>
      </c>
      <c r="U80">
        <f t="shared" si="4"/>
        <v>0</v>
      </c>
    </row>
    <row r="81" spans="1:21" ht="15.75" x14ac:dyDescent="0.25">
      <c r="A81" t="s">
        <v>268</v>
      </c>
      <c r="B81">
        <v>43959</v>
      </c>
      <c r="C81" t="s">
        <v>22</v>
      </c>
      <c r="D81" t="s">
        <v>23</v>
      </c>
      <c r="E81" t="s">
        <v>22</v>
      </c>
      <c r="F81" t="s">
        <v>23</v>
      </c>
      <c r="G81" t="s">
        <v>246</v>
      </c>
      <c r="H81" t="s">
        <v>247</v>
      </c>
      <c r="I81" t="s">
        <v>269</v>
      </c>
      <c r="J81">
        <v>0</v>
      </c>
      <c r="K81" t="s">
        <v>270</v>
      </c>
      <c r="L81" t="s">
        <v>28</v>
      </c>
      <c r="M81">
        <v>21.94</v>
      </c>
      <c r="N81" t="s">
        <v>29</v>
      </c>
      <c r="O81">
        <f t="shared" si="5"/>
        <v>21.94</v>
      </c>
      <c r="P81">
        <f t="shared" si="6"/>
        <v>21.94</v>
      </c>
      <c r="Q81" t="s">
        <v>30</v>
      </c>
      <c r="R81">
        <v>44474</v>
      </c>
      <c r="S81">
        <v>401768</v>
      </c>
      <c r="U81">
        <f t="shared" si="4"/>
        <v>0</v>
      </c>
    </row>
    <row r="82" spans="1:21" ht="15.75" x14ac:dyDescent="0.25">
      <c r="A82" t="s">
        <v>271</v>
      </c>
      <c r="B82">
        <v>43959</v>
      </c>
      <c r="C82" t="s">
        <v>22</v>
      </c>
      <c r="D82" t="s">
        <v>23</v>
      </c>
      <c r="E82" t="s">
        <v>22</v>
      </c>
      <c r="F82" t="s">
        <v>23</v>
      </c>
      <c r="G82" t="s">
        <v>246</v>
      </c>
      <c r="H82" t="s">
        <v>247</v>
      </c>
      <c r="I82" t="s">
        <v>272</v>
      </c>
      <c r="J82">
        <v>0</v>
      </c>
      <c r="K82" t="s">
        <v>273</v>
      </c>
      <c r="L82" t="s">
        <v>28</v>
      </c>
      <c r="M82">
        <v>70.45</v>
      </c>
      <c r="N82" t="s">
        <v>29</v>
      </c>
      <c r="O82">
        <f t="shared" si="5"/>
        <v>70.45</v>
      </c>
      <c r="P82">
        <f t="shared" si="6"/>
        <v>70.45</v>
      </c>
      <c r="Q82" t="s">
        <v>30</v>
      </c>
      <c r="R82">
        <v>44474</v>
      </c>
      <c r="S82">
        <v>401768</v>
      </c>
      <c r="U82">
        <f t="shared" si="4"/>
        <v>0</v>
      </c>
    </row>
    <row r="83" spans="1:21" ht="15.75" x14ac:dyDescent="0.25">
      <c r="A83" t="s">
        <v>274</v>
      </c>
      <c r="B83">
        <v>43959</v>
      </c>
      <c r="C83" t="s">
        <v>22</v>
      </c>
      <c r="D83" t="s">
        <v>23</v>
      </c>
      <c r="E83" t="s">
        <v>22</v>
      </c>
      <c r="F83" t="s">
        <v>23</v>
      </c>
      <c r="G83" t="s">
        <v>246</v>
      </c>
      <c r="H83" t="s">
        <v>247</v>
      </c>
      <c r="I83" t="s">
        <v>275</v>
      </c>
      <c r="J83">
        <v>0</v>
      </c>
      <c r="K83" t="s">
        <v>276</v>
      </c>
      <c r="L83" t="s">
        <v>28</v>
      </c>
      <c r="M83">
        <v>72.58</v>
      </c>
      <c r="N83" t="s">
        <v>29</v>
      </c>
      <c r="O83">
        <f t="shared" si="5"/>
        <v>72.58</v>
      </c>
      <c r="P83">
        <f t="shared" si="6"/>
        <v>72.58</v>
      </c>
      <c r="Q83" t="s">
        <v>30</v>
      </c>
      <c r="R83">
        <v>44474</v>
      </c>
      <c r="S83">
        <v>401768</v>
      </c>
      <c r="U83">
        <f t="shared" si="4"/>
        <v>0</v>
      </c>
    </row>
    <row r="84" spans="1:21" ht="15.75" x14ac:dyDescent="0.25">
      <c r="A84" t="s">
        <v>277</v>
      </c>
      <c r="B84">
        <v>43959</v>
      </c>
      <c r="C84" t="s">
        <v>22</v>
      </c>
      <c r="D84" t="s">
        <v>23</v>
      </c>
      <c r="E84" t="s">
        <v>22</v>
      </c>
      <c r="F84" t="s">
        <v>23</v>
      </c>
      <c r="G84" t="s">
        <v>246</v>
      </c>
      <c r="H84" t="s">
        <v>247</v>
      </c>
      <c r="I84" t="s">
        <v>234</v>
      </c>
      <c r="J84">
        <v>0</v>
      </c>
      <c r="K84" t="s">
        <v>235</v>
      </c>
      <c r="L84" t="s">
        <v>28</v>
      </c>
      <c r="M84">
        <v>405</v>
      </c>
      <c r="N84" t="s">
        <v>29</v>
      </c>
      <c r="O84">
        <f t="shared" si="5"/>
        <v>405</v>
      </c>
      <c r="P84">
        <f t="shared" si="6"/>
        <v>405</v>
      </c>
      <c r="Q84" t="s">
        <v>30</v>
      </c>
      <c r="R84">
        <v>45104</v>
      </c>
      <c r="S84">
        <v>401768</v>
      </c>
      <c r="U84">
        <f t="shared" si="4"/>
        <v>0</v>
      </c>
    </row>
    <row r="85" spans="1:21" ht="15.75" x14ac:dyDescent="0.25">
      <c r="A85" t="s">
        <v>278</v>
      </c>
      <c r="B85">
        <v>43959</v>
      </c>
      <c r="C85" t="s">
        <v>22</v>
      </c>
      <c r="D85" t="s">
        <v>23</v>
      </c>
      <c r="E85" t="s">
        <v>22</v>
      </c>
      <c r="F85" t="s">
        <v>23</v>
      </c>
      <c r="G85" t="s">
        <v>246</v>
      </c>
      <c r="H85" t="s">
        <v>247</v>
      </c>
      <c r="I85" t="s">
        <v>279</v>
      </c>
      <c r="J85">
        <v>0</v>
      </c>
      <c r="K85" t="s">
        <v>280</v>
      </c>
      <c r="L85" t="s">
        <v>28</v>
      </c>
      <c r="M85">
        <v>68.56</v>
      </c>
      <c r="N85" t="s">
        <v>29</v>
      </c>
      <c r="O85">
        <f t="shared" si="5"/>
        <v>68.56</v>
      </c>
      <c r="P85">
        <f t="shared" si="6"/>
        <v>68.56</v>
      </c>
      <c r="Q85" t="s">
        <v>30</v>
      </c>
      <c r="R85">
        <v>44474</v>
      </c>
      <c r="S85">
        <v>401768</v>
      </c>
      <c r="U85">
        <f t="shared" si="4"/>
        <v>0</v>
      </c>
    </row>
    <row r="86" spans="1:21" ht="15.75" x14ac:dyDescent="0.25">
      <c r="A86" t="s">
        <v>281</v>
      </c>
      <c r="B86">
        <v>43959</v>
      </c>
      <c r="C86" t="s">
        <v>22</v>
      </c>
      <c r="D86" t="s">
        <v>23</v>
      </c>
      <c r="E86" t="s">
        <v>22</v>
      </c>
      <c r="F86" t="s">
        <v>23</v>
      </c>
      <c r="G86" t="s">
        <v>246</v>
      </c>
      <c r="H86" t="s">
        <v>247</v>
      </c>
      <c r="I86" t="s">
        <v>282</v>
      </c>
      <c r="J86">
        <v>0</v>
      </c>
      <c r="K86" t="s">
        <v>283</v>
      </c>
      <c r="L86" t="s">
        <v>28</v>
      </c>
      <c r="M86">
        <v>306.39999999999998</v>
      </c>
      <c r="N86" t="s">
        <v>29</v>
      </c>
      <c r="O86">
        <f t="shared" si="5"/>
        <v>306.39999999999998</v>
      </c>
      <c r="P86">
        <f t="shared" si="6"/>
        <v>306.39999999999998</v>
      </c>
      <c r="Q86" t="s">
        <v>30</v>
      </c>
      <c r="R86">
        <v>44474</v>
      </c>
      <c r="S86">
        <v>401768</v>
      </c>
      <c r="U86">
        <f t="shared" si="4"/>
        <v>0</v>
      </c>
    </row>
    <row r="87" spans="1:21" ht="15.75" x14ac:dyDescent="0.25">
      <c r="A87" t="s">
        <v>284</v>
      </c>
      <c r="B87">
        <v>43959</v>
      </c>
      <c r="C87" t="s">
        <v>22</v>
      </c>
      <c r="D87" t="s">
        <v>23</v>
      </c>
      <c r="E87" t="s">
        <v>22</v>
      </c>
      <c r="F87" t="s">
        <v>23</v>
      </c>
      <c r="G87" t="s">
        <v>246</v>
      </c>
      <c r="H87" t="s">
        <v>247</v>
      </c>
      <c r="I87" t="s">
        <v>285</v>
      </c>
      <c r="J87">
        <v>0</v>
      </c>
      <c r="K87" t="s">
        <v>286</v>
      </c>
      <c r="L87" t="s">
        <v>28</v>
      </c>
      <c r="M87">
        <v>60.16</v>
      </c>
      <c r="N87" t="s">
        <v>29</v>
      </c>
      <c r="O87">
        <f t="shared" si="5"/>
        <v>60.16</v>
      </c>
      <c r="P87">
        <f t="shared" si="6"/>
        <v>60.16</v>
      </c>
      <c r="Q87" t="s">
        <v>30</v>
      </c>
      <c r="R87">
        <v>44474</v>
      </c>
      <c r="S87">
        <v>401768</v>
      </c>
      <c r="U87">
        <f t="shared" si="4"/>
        <v>0</v>
      </c>
    </row>
    <row r="88" spans="1:21" ht="15.75" x14ac:dyDescent="0.25">
      <c r="A88" t="s">
        <v>287</v>
      </c>
      <c r="B88">
        <v>43959</v>
      </c>
      <c r="C88" t="s">
        <v>22</v>
      </c>
      <c r="D88" t="s">
        <v>23</v>
      </c>
      <c r="E88" t="s">
        <v>22</v>
      </c>
      <c r="F88" t="s">
        <v>23</v>
      </c>
      <c r="G88" t="s">
        <v>246</v>
      </c>
      <c r="H88" t="s">
        <v>247</v>
      </c>
      <c r="I88" t="s">
        <v>288</v>
      </c>
      <c r="J88">
        <v>0</v>
      </c>
      <c r="K88" t="s">
        <v>289</v>
      </c>
      <c r="L88" t="s">
        <v>28</v>
      </c>
      <c r="M88">
        <v>60.16</v>
      </c>
      <c r="N88" t="s">
        <v>29</v>
      </c>
      <c r="O88">
        <f t="shared" si="5"/>
        <v>60.16</v>
      </c>
      <c r="P88">
        <f t="shared" si="6"/>
        <v>60.16</v>
      </c>
      <c r="Q88" t="s">
        <v>30</v>
      </c>
      <c r="R88">
        <v>44474</v>
      </c>
      <c r="S88">
        <v>401768</v>
      </c>
      <c r="U88">
        <f t="shared" si="4"/>
        <v>0</v>
      </c>
    </row>
    <row r="89" spans="1:21" ht="15.75" x14ac:dyDescent="0.25">
      <c r="A89" t="s">
        <v>290</v>
      </c>
      <c r="B89">
        <v>43959</v>
      </c>
      <c r="C89" t="s">
        <v>22</v>
      </c>
      <c r="D89" t="s">
        <v>23</v>
      </c>
      <c r="E89" t="s">
        <v>22</v>
      </c>
      <c r="F89" t="s">
        <v>23</v>
      </c>
      <c r="G89" t="s">
        <v>246</v>
      </c>
      <c r="H89" t="s">
        <v>247</v>
      </c>
      <c r="I89" t="s">
        <v>291</v>
      </c>
      <c r="J89">
        <v>0</v>
      </c>
      <c r="K89" t="s">
        <v>292</v>
      </c>
      <c r="L89" t="s">
        <v>28</v>
      </c>
      <c r="M89">
        <v>84.55</v>
      </c>
      <c r="N89" t="s">
        <v>29</v>
      </c>
      <c r="O89">
        <f t="shared" si="5"/>
        <v>84.55</v>
      </c>
      <c r="P89">
        <f t="shared" si="6"/>
        <v>84.55</v>
      </c>
      <c r="Q89" t="s">
        <v>30</v>
      </c>
      <c r="R89">
        <v>44474</v>
      </c>
      <c r="S89">
        <v>401768</v>
      </c>
      <c r="U89">
        <f t="shared" si="4"/>
        <v>0</v>
      </c>
    </row>
    <row r="90" spans="1:21" ht="15.75" x14ac:dyDescent="0.25">
      <c r="A90" t="s">
        <v>293</v>
      </c>
      <c r="B90">
        <v>43959</v>
      </c>
      <c r="C90" t="s">
        <v>22</v>
      </c>
      <c r="D90" t="s">
        <v>23</v>
      </c>
      <c r="E90" t="s">
        <v>22</v>
      </c>
      <c r="F90" t="s">
        <v>23</v>
      </c>
      <c r="G90" t="s">
        <v>246</v>
      </c>
      <c r="H90" t="s">
        <v>247</v>
      </c>
      <c r="I90" t="s">
        <v>294</v>
      </c>
      <c r="J90">
        <v>0</v>
      </c>
      <c r="K90" t="s">
        <v>295</v>
      </c>
      <c r="L90" t="s">
        <v>28</v>
      </c>
      <c r="M90">
        <v>300</v>
      </c>
      <c r="N90" t="s">
        <v>29</v>
      </c>
      <c r="O90">
        <f t="shared" si="5"/>
        <v>300</v>
      </c>
      <c r="P90">
        <f t="shared" si="6"/>
        <v>300</v>
      </c>
      <c r="Q90" t="s">
        <v>30</v>
      </c>
      <c r="R90">
        <v>43645</v>
      </c>
      <c r="S90">
        <v>401768</v>
      </c>
      <c r="U90">
        <f t="shared" si="4"/>
        <v>0</v>
      </c>
    </row>
    <row r="91" spans="1:21" ht="15.75" x14ac:dyDescent="0.25">
      <c r="A91" t="s">
        <v>296</v>
      </c>
      <c r="B91">
        <v>43959</v>
      </c>
      <c r="C91" t="s">
        <v>22</v>
      </c>
      <c r="D91" t="s">
        <v>23</v>
      </c>
      <c r="E91" t="s">
        <v>22</v>
      </c>
      <c r="F91" t="s">
        <v>23</v>
      </c>
      <c r="G91" t="s">
        <v>246</v>
      </c>
      <c r="H91" t="s">
        <v>247</v>
      </c>
      <c r="I91" t="s">
        <v>297</v>
      </c>
      <c r="J91">
        <v>0</v>
      </c>
      <c r="K91" t="s">
        <v>298</v>
      </c>
      <c r="L91" t="s">
        <v>28</v>
      </c>
      <c r="M91">
        <v>74.25</v>
      </c>
      <c r="N91" t="s">
        <v>29</v>
      </c>
      <c r="O91">
        <f t="shared" si="5"/>
        <v>74.25</v>
      </c>
      <c r="P91">
        <f t="shared" si="6"/>
        <v>74.25</v>
      </c>
      <c r="Q91" t="s">
        <v>30</v>
      </c>
      <c r="R91">
        <v>44474</v>
      </c>
      <c r="S91">
        <v>401768</v>
      </c>
      <c r="U91">
        <f t="shared" si="4"/>
        <v>0</v>
      </c>
    </row>
    <row r="92" spans="1:21" ht="15.75" x14ac:dyDescent="0.25">
      <c r="A92" t="s">
        <v>299</v>
      </c>
      <c r="B92">
        <v>43959</v>
      </c>
      <c r="C92" t="s">
        <v>22</v>
      </c>
      <c r="D92" t="s">
        <v>23</v>
      </c>
      <c r="E92" t="s">
        <v>22</v>
      </c>
      <c r="F92" t="s">
        <v>23</v>
      </c>
      <c r="G92" t="s">
        <v>246</v>
      </c>
      <c r="H92" t="s">
        <v>247</v>
      </c>
      <c r="I92" t="s">
        <v>300</v>
      </c>
      <c r="J92">
        <v>0</v>
      </c>
      <c r="K92" t="s">
        <v>301</v>
      </c>
      <c r="L92" t="s">
        <v>28</v>
      </c>
      <c r="M92">
        <v>60.21</v>
      </c>
      <c r="N92" t="s">
        <v>29</v>
      </c>
      <c r="O92">
        <f t="shared" si="5"/>
        <v>60.21</v>
      </c>
      <c r="P92">
        <f t="shared" si="6"/>
        <v>60.21</v>
      </c>
      <c r="Q92" t="s">
        <v>30</v>
      </c>
      <c r="R92">
        <v>44474</v>
      </c>
      <c r="S92">
        <v>401768</v>
      </c>
      <c r="U92">
        <f t="shared" si="4"/>
        <v>0</v>
      </c>
    </row>
    <row r="93" spans="1:21" ht="15.75" x14ac:dyDescent="0.25">
      <c r="A93" t="s">
        <v>302</v>
      </c>
      <c r="B93">
        <v>44011</v>
      </c>
      <c r="C93" t="s">
        <v>22</v>
      </c>
      <c r="D93" t="s">
        <v>23</v>
      </c>
      <c r="E93" t="s">
        <v>22</v>
      </c>
      <c r="F93" t="s">
        <v>23</v>
      </c>
      <c r="G93" t="s">
        <v>246</v>
      </c>
      <c r="H93" t="s">
        <v>247</v>
      </c>
      <c r="I93" t="s">
        <v>303</v>
      </c>
      <c r="J93">
        <v>0</v>
      </c>
      <c r="K93" t="s">
        <v>304</v>
      </c>
      <c r="L93" t="s">
        <v>36</v>
      </c>
      <c r="M93">
        <v>1700000</v>
      </c>
      <c r="N93" t="s">
        <v>29</v>
      </c>
      <c r="O93">
        <f t="shared" si="5"/>
        <v>1700000</v>
      </c>
      <c r="P93">
        <f t="shared" si="6"/>
        <v>1700000</v>
      </c>
      <c r="Q93" t="s">
        <v>30</v>
      </c>
      <c r="R93">
        <v>44011</v>
      </c>
      <c r="S93">
        <v>401768</v>
      </c>
      <c r="U93">
        <f t="shared" si="4"/>
        <v>0</v>
      </c>
    </row>
    <row r="94" spans="1:21" ht="15.75" x14ac:dyDescent="0.25">
      <c r="A94" t="s">
        <v>305</v>
      </c>
      <c r="B94">
        <v>44011</v>
      </c>
      <c r="C94" t="s">
        <v>22</v>
      </c>
      <c r="D94" t="s">
        <v>23</v>
      </c>
      <c r="E94" t="s">
        <v>22</v>
      </c>
      <c r="F94" t="s">
        <v>23</v>
      </c>
      <c r="G94" t="s">
        <v>246</v>
      </c>
      <c r="H94" t="s">
        <v>247</v>
      </c>
      <c r="I94" t="s">
        <v>306</v>
      </c>
      <c r="J94">
        <v>0</v>
      </c>
      <c r="K94" t="s">
        <v>307</v>
      </c>
      <c r="L94" t="s">
        <v>36</v>
      </c>
      <c r="M94">
        <v>900000</v>
      </c>
      <c r="N94" t="s">
        <v>29</v>
      </c>
      <c r="O94">
        <f t="shared" si="5"/>
        <v>900000</v>
      </c>
      <c r="P94">
        <f t="shared" si="6"/>
        <v>900000</v>
      </c>
      <c r="Q94" t="s">
        <v>30</v>
      </c>
      <c r="R94">
        <v>44011</v>
      </c>
      <c r="S94">
        <v>401768</v>
      </c>
      <c r="U94">
        <f t="shared" si="4"/>
        <v>0</v>
      </c>
    </row>
    <row r="95" spans="1:21" ht="15.75" x14ac:dyDescent="0.25">
      <c r="A95" t="s">
        <v>308</v>
      </c>
      <c r="B95">
        <v>44011</v>
      </c>
      <c r="C95" t="s">
        <v>22</v>
      </c>
      <c r="D95" t="s">
        <v>23</v>
      </c>
      <c r="E95" t="s">
        <v>22</v>
      </c>
      <c r="F95" t="s">
        <v>23</v>
      </c>
      <c r="G95" t="s">
        <v>246</v>
      </c>
      <c r="H95" t="s">
        <v>247</v>
      </c>
      <c r="I95" t="s">
        <v>309</v>
      </c>
      <c r="J95">
        <v>0</v>
      </c>
      <c r="K95" t="s">
        <v>310</v>
      </c>
      <c r="L95" t="s">
        <v>36</v>
      </c>
      <c r="M95">
        <v>900000</v>
      </c>
      <c r="N95" t="s">
        <v>29</v>
      </c>
      <c r="O95">
        <f t="shared" si="5"/>
        <v>900000</v>
      </c>
      <c r="P95">
        <f t="shared" si="6"/>
        <v>900000</v>
      </c>
      <c r="Q95" t="s">
        <v>30</v>
      </c>
      <c r="R95">
        <v>44011</v>
      </c>
      <c r="S95">
        <v>401768</v>
      </c>
      <c r="U95">
        <f t="shared" si="4"/>
        <v>0</v>
      </c>
    </row>
    <row r="96" spans="1:21" ht="15.75" x14ac:dyDescent="0.25">
      <c r="A96" t="s">
        <v>311</v>
      </c>
      <c r="B96">
        <v>44306</v>
      </c>
      <c r="C96" t="s">
        <v>22</v>
      </c>
      <c r="D96" t="s">
        <v>23</v>
      </c>
      <c r="E96" t="s">
        <v>22</v>
      </c>
      <c r="F96" t="s">
        <v>23</v>
      </c>
      <c r="G96" t="s">
        <v>246</v>
      </c>
      <c r="H96" t="s">
        <v>247</v>
      </c>
      <c r="I96" t="s">
        <v>312</v>
      </c>
      <c r="J96">
        <v>0</v>
      </c>
      <c r="K96" t="s">
        <v>313</v>
      </c>
      <c r="L96" t="s">
        <v>28</v>
      </c>
      <c r="M96">
        <v>18672</v>
      </c>
      <c r="N96" t="s">
        <v>29</v>
      </c>
      <c r="O96">
        <f t="shared" si="5"/>
        <v>18672</v>
      </c>
      <c r="P96">
        <f t="shared" si="6"/>
        <v>18672</v>
      </c>
      <c r="Q96" t="s">
        <v>30</v>
      </c>
      <c r="R96">
        <v>44929</v>
      </c>
      <c r="S96">
        <v>401768</v>
      </c>
      <c r="U96">
        <f t="shared" si="4"/>
        <v>0</v>
      </c>
    </row>
    <row r="97" spans="1:21" ht="15.75" x14ac:dyDescent="0.25">
      <c r="A97" t="s">
        <v>314</v>
      </c>
      <c r="B97">
        <v>44930</v>
      </c>
      <c r="C97" t="s">
        <v>22</v>
      </c>
      <c r="D97" t="s">
        <v>23</v>
      </c>
      <c r="E97" t="s">
        <v>22</v>
      </c>
      <c r="F97" t="s">
        <v>23</v>
      </c>
      <c r="G97" t="s">
        <v>246</v>
      </c>
      <c r="H97" t="s">
        <v>247</v>
      </c>
      <c r="I97" t="s">
        <v>315</v>
      </c>
      <c r="J97">
        <v>0</v>
      </c>
      <c r="K97" t="s">
        <v>316</v>
      </c>
      <c r="L97" t="s">
        <v>28</v>
      </c>
      <c r="M97">
        <v>18672</v>
      </c>
      <c r="N97" t="s">
        <v>29</v>
      </c>
      <c r="O97">
        <f t="shared" si="5"/>
        <v>18672</v>
      </c>
      <c r="P97">
        <f t="shared" si="6"/>
        <v>18672</v>
      </c>
      <c r="Q97" t="s">
        <v>30</v>
      </c>
      <c r="R97">
        <v>44930</v>
      </c>
      <c r="S97">
        <v>401768</v>
      </c>
      <c r="U97">
        <f t="shared" si="4"/>
        <v>0</v>
      </c>
    </row>
    <row r="98" spans="1:21" ht="15.75" x14ac:dyDescent="0.25">
      <c r="A98" t="s">
        <v>317</v>
      </c>
      <c r="B98">
        <v>45434</v>
      </c>
      <c r="C98" t="s">
        <v>22</v>
      </c>
      <c r="D98" t="s">
        <v>23</v>
      </c>
      <c r="E98" t="s">
        <v>22</v>
      </c>
      <c r="F98" t="s">
        <v>23</v>
      </c>
      <c r="G98" t="s">
        <v>318</v>
      </c>
      <c r="H98" t="s">
        <v>319</v>
      </c>
      <c r="I98" t="s">
        <v>320</v>
      </c>
      <c r="J98">
        <v>0</v>
      </c>
      <c r="K98" t="s">
        <v>321</v>
      </c>
      <c r="L98" t="s">
        <v>28</v>
      </c>
      <c r="M98">
        <v>6</v>
      </c>
      <c r="N98" t="s">
        <v>151</v>
      </c>
      <c r="O98">
        <v>110</v>
      </c>
      <c r="P98">
        <f t="shared" ref="P98:P105" si="7">O98*M98</f>
        <v>660</v>
      </c>
      <c r="Q98" t="s">
        <v>30</v>
      </c>
      <c r="R98">
        <v>45434</v>
      </c>
      <c r="S98">
        <v>401768</v>
      </c>
      <c r="U98">
        <f t="shared" si="4"/>
        <v>0</v>
      </c>
    </row>
    <row r="99" spans="1:21" ht="15.75" x14ac:dyDescent="0.25">
      <c r="A99" t="s">
        <v>322</v>
      </c>
      <c r="B99">
        <v>45493</v>
      </c>
      <c r="C99" t="s">
        <v>22</v>
      </c>
      <c r="D99" t="s">
        <v>23</v>
      </c>
      <c r="E99" t="s">
        <v>22</v>
      </c>
      <c r="F99" t="s">
        <v>23</v>
      </c>
      <c r="G99" t="s">
        <v>318</v>
      </c>
      <c r="H99" t="s">
        <v>319</v>
      </c>
      <c r="I99" t="s">
        <v>323</v>
      </c>
      <c r="J99">
        <v>0</v>
      </c>
      <c r="K99" t="s">
        <v>324</v>
      </c>
      <c r="L99" t="s">
        <v>28</v>
      </c>
      <c r="M99">
        <v>0.5</v>
      </c>
      <c r="N99" t="s">
        <v>151</v>
      </c>
      <c r="O99">
        <v>110</v>
      </c>
      <c r="P99">
        <f t="shared" si="7"/>
        <v>55</v>
      </c>
      <c r="Q99" t="s">
        <v>30</v>
      </c>
      <c r="R99">
        <v>45493</v>
      </c>
      <c r="S99">
        <v>401768</v>
      </c>
      <c r="U99">
        <f t="shared" si="4"/>
        <v>0</v>
      </c>
    </row>
    <row r="100" spans="1:21" ht="15.75" x14ac:dyDescent="0.25">
      <c r="A100" t="s">
        <v>325</v>
      </c>
      <c r="B100">
        <v>45493</v>
      </c>
      <c r="C100" t="s">
        <v>22</v>
      </c>
      <c r="D100" t="s">
        <v>23</v>
      </c>
      <c r="E100" t="s">
        <v>22</v>
      </c>
      <c r="F100" t="s">
        <v>23</v>
      </c>
      <c r="G100" t="s">
        <v>318</v>
      </c>
      <c r="H100" t="s">
        <v>319</v>
      </c>
      <c r="I100" t="s">
        <v>326</v>
      </c>
      <c r="J100">
        <v>0</v>
      </c>
      <c r="K100" t="s">
        <v>327</v>
      </c>
      <c r="L100" t="s">
        <v>28</v>
      </c>
      <c r="M100">
        <v>0.5</v>
      </c>
      <c r="N100" t="s">
        <v>151</v>
      </c>
      <c r="O100">
        <v>110</v>
      </c>
      <c r="P100">
        <f t="shared" si="7"/>
        <v>55</v>
      </c>
      <c r="Q100" t="s">
        <v>30</v>
      </c>
      <c r="R100">
        <v>45493</v>
      </c>
      <c r="S100">
        <v>401768</v>
      </c>
      <c r="U100">
        <f t="shared" si="4"/>
        <v>0</v>
      </c>
    </row>
    <row r="101" spans="1:21" ht="15.75" x14ac:dyDescent="0.25">
      <c r="A101" t="s">
        <v>328</v>
      </c>
      <c r="B101">
        <v>45716</v>
      </c>
      <c r="C101" t="s">
        <v>22</v>
      </c>
      <c r="D101" t="s">
        <v>23</v>
      </c>
      <c r="E101" t="s">
        <v>22</v>
      </c>
      <c r="F101" t="s">
        <v>23</v>
      </c>
      <c r="G101" t="s">
        <v>318</v>
      </c>
      <c r="H101" t="s">
        <v>319</v>
      </c>
      <c r="I101" t="s">
        <v>329</v>
      </c>
      <c r="J101">
        <v>0</v>
      </c>
      <c r="K101" t="s">
        <v>330</v>
      </c>
      <c r="L101" t="s">
        <v>28</v>
      </c>
      <c r="M101">
        <v>6</v>
      </c>
      <c r="N101" t="s">
        <v>151</v>
      </c>
      <c r="O101">
        <v>110</v>
      </c>
      <c r="P101">
        <f t="shared" si="7"/>
        <v>660</v>
      </c>
      <c r="Q101" t="s">
        <v>30</v>
      </c>
      <c r="R101">
        <v>45716</v>
      </c>
      <c r="S101">
        <v>401768</v>
      </c>
      <c r="U101">
        <f t="shared" si="4"/>
        <v>0</v>
      </c>
    </row>
    <row r="102" spans="1:21" ht="15.75" x14ac:dyDescent="0.25">
      <c r="A102" t="s">
        <v>331</v>
      </c>
      <c r="B102">
        <v>45716</v>
      </c>
      <c r="C102" t="s">
        <v>22</v>
      </c>
      <c r="D102" t="s">
        <v>23</v>
      </c>
      <c r="E102" t="s">
        <v>22</v>
      </c>
      <c r="F102" t="s">
        <v>23</v>
      </c>
      <c r="G102" t="s">
        <v>318</v>
      </c>
      <c r="H102" t="s">
        <v>319</v>
      </c>
      <c r="I102" t="s">
        <v>243</v>
      </c>
      <c r="J102">
        <v>0</v>
      </c>
      <c r="K102" t="s">
        <v>244</v>
      </c>
      <c r="L102" t="s">
        <v>28</v>
      </c>
      <c r="M102">
        <v>6</v>
      </c>
      <c r="N102" t="s">
        <v>332</v>
      </c>
      <c r="O102">
        <v>0</v>
      </c>
      <c r="P102">
        <f t="shared" si="7"/>
        <v>0</v>
      </c>
      <c r="Q102" t="s">
        <v>30</v>
      </c>
      <c r="R102">
        <v>45718</v>
      </c>
      <c r="S102">
        <v>45718</v>
      </c>
      <c r="U102">
        <f t="shared" si="4"/>
        <v>0</v>
      </c>
    </row>
    <row r="103" spans="1:21" ht="15.75" x14ac:dyDescent="0.25">
      <c r="A103" t="s">
        <v>333</v>
      </c>
      <c r="B103">
        <v>45719</v>
      </c>
      <c r="C103" t="s">
        <v>22</v>
      </c>
      <c r="D103" t="s">
        <v>23</v>
      </c>
      <c r="E103" t="s">
        <v>22</v>
      </c>
      <c r="F103" t="s">
        <v>23</v>
      </c>
      <c r="G103" t="s">
        <v>318</v>
      </c>
      <c r="H103" t="s">
        <v>319</v>
      </c>
      <c r="I103" t="s">
        <v>240</v>
      </c>
      <c r="J103">
        <v>0</v>
      </c>
      <c r="K103" t="s">
        <v>241</v>
      </c>
      <c r="L103" t="s">
        <v>28</v>
      </c>
      <c r="M103">
        <v>6</v>
      </c>
      <c r="N103" t="s">
        <v>151</v>
      </c>
      <c r="O103">
        <v>110</v>
      </c>
      <c r="P103">
        <f t="shared" si="7"/>
        <v>660</v>
      </c>
      <c r="Q103" t="s">
        <v>30</v>
      </c>
      <c r="R103">
        <v>45775</v>
      </c>
      <c r="S103">
        <v>401768</v>
      </c>
      <c r="U103">
        <f t="shared" si="4"/>
        <v>0</v>
      </c>
    </row>
    <row r="104" spans="1:21" ht="15.75" x14ac:dyDescent="0.25">
      <c r="A104" t="s">
        <v>334</v>
      </c>
      <c r="B104">
        <v>45719</v>
      </c>
      <c r="C104" t="s">
        <v>22</v>
      </c>
      <c r="D104" t="s">
        <v>23</v>
      </c>
      <c r="E104" t="s">
        <v>22</v>
      </c>
      <c r="F104" t="s">
        <v>23</v>
      </c>
      <c r="G104" t="s">
        <v>318</v>
      </c>
      <c r="H104" t="s">
        <v>319</v>
      </c>
      <c r="I104" t="s">
        <v>243</v>
      </c>
      <c r="J104">
        <v>0</v>
      </c>
      <c r="K104" t="s">
        <v>244</v>
      </c>
      <c r="L104" t="s">
        <v>28</v>
      </c>
      <c r="M104">
        <v>0.5</v>
      </c>
      <c r="N104" t="s">
        <v>151</v>
      </c>
      <c r="O104">
        <v>110</v>
      </c>
      <c r="P104">
        <f t="shared" si="7"/>
        <v>55</v>
      </c>
      <c r="Q104" t="s">
        <v>30</v>
      </c>
      <c r="R104">
        <v>45719</v>
      </c>
      <c r="S104">
        <v>401768</v>
      </c>
      <c r="U104">
        <f t="shared" si="4"/>
        <v>0</v>
      </c>
    </row>
    <row r="105" spans="1:21" ht="15.75" x14ac:dyDescent="0.25">
      <c r="A105" t="s">
        <v>335</v>
      </c>
      <c r="B105">
        <v>46107</v>
      </c>
      <c r="C105" t="s">
        <v>22</v>
      </c>
      <c r="D105" t="s">
        <v>23</v>
      </c>
      <c r="E105" t="s">
        <v>30</v>
      </c>
      <c r="F105" t="s">
        <v>30</v>
      </c>
      <c r="G105" t="s">
        <v>318</v>
      </c>
      <c r="H105" t="s">
        <v>319</v>
      </c>
      <c r="I105" t="s">
        <v>336</v>
      </c>
      <c r="J105">
        <v>0</v>
      </c>
      <c r="K105" t="s">
        <v>337</v>
      </c>
      <c r="L105" t="s">
        <v>28</v>
      </c>
      <c r="M105">
        <v>6.53</v>
      </c>
      <c r="N105" t="s">
        <v>151</v>
      </c>
      <c r="O105">
        <v>110</v>
      </c>
      <c r="P105">
        <f t="shared" si="7"/>
        <v>718.30000000000007</v>
      </c>
      <c r="Q105" t="s">
        <v>30</v>
      </c>
      <c r="R105">
        <v>46107</v>
      </c>
      <c r="S105">
        <v>401768</v>
      </c>
      <c r="U105">
        <f t="shared" si="4"/>
        <v>0</v>
      </c>
    </row>
    <row r="106" spans="1:21" ht="15.75" x14ac:dyDescent="0.25">
      <c r="A106" t="s">
        <v>338</v>
      </c>
      <c r="B106">
        <v>44629</v>
      </c>
      <c r="C106" t="s">
        <v>22</v>
      </c>
      <c r="D106" t="s">
        <v>23</v>
      </c>
      <c r="E106" t="s">
        <v>22</v>
      </c>
      <c r="F106" t="s">
        <v>23</v>
      </c>
      <c r="G106" t="s">
        <v>339</v>
      </c>
      <c r="H106" t="s">
        <v>340</v>
      </c>
      <c r="I106" t="s">
        <v>341</v>
      </c>
      <c r="J106">
        <v>0</v>
      </c>
      <c r="K106" t="s">
        <v>342</v>
      </c>
      <c r="L106" t="s">
        <v>28</v>
      </c>
      <c r="M106">
        <v>5</v>
      </c>
      <c r="N106" t="s">
        <v>29</v>
      </c>
      <c r="O106">
        <f>M106</f>
        <v>5</v>
      </c>
      <c r="P106">
        <f>O106</f>
        <v>5</v>
      </c>
      <c r="Q106" t="s">
        <v>30</v>
      </c>
      <c r="R106">
        <v>44630</v>
      </c>
      <c r="S106">
        <v>401768</v>
      </c>
      <c r="U106">
        <f t="shared" si="4"/>
        <v>0</v>
      </c>
    </row>
    <row r="107" spans="1:21" ht="15.75" x14ac:dyDescent="0.25">
      <c r="A107" t="s">
        <v>343</v>
      </c>
      <c r="B107">
        <v>43959</v>
      </c>
      <c r="C107" t="s">
        <v>22</v>
      </c>
      <c r="D107" t="s">
        <v>23</v>
      </c>
      <c r="E107" t="s">
        <v>22</v>
      </c>
      <c r="F107" t="s">
        <v>23</v>
      </c>
      <c r="G107" t="s">
        <v>344</v>
      </c>
      <c r="H107" t="s">
        <v>345</v>
      </c>
      <c r="I107" t="s">
        <v>346</v>
      </c>
      <c r="J107">
        <v>0</v>
      </c>
      <c r="K107" t="s">
        <v>347</v>
      </c>
      <c r="L107" t="s">
        <v>28</v>
      </c>
      <c r="M107">
        <v>5.96</v>
      </c>
      <c r="N107" t="s">
        <v>160</v>
      </c>
      <c r="O107">
        <v>95</v>
      </c>
      <c r="P107">
        <f t="shared" ref="P107:P130" si="8">O107*M107</f>
        <v>566.20000000000005</v>
      </c>
      <c r="Q107" t="s">
        <v>30</v>
      </c>
      <c r="R107">
        <v>46153</v>
      </c>
      <c r="S107">
        <v>401768</v>
      </c>
      <c r="U107">
        <f t="shared" si="4"/>
        <v>0</v>
      </c>
    </row>
    <row r="108" spans="1:21" ht="15.75" x14ac:dyDescent="0.25">
      <c r="A108" t="s">
        <v>348</v>
      </c>
      <c r="B108">
        <v>43959</v>
      </c>
      <c r="C108" t="s">
        <v>22</v>
      </c>
      <c r="D108" t="s">
        <v>23</v>
      </c>
      <c r="E108" t="s">
        <v>22</v>
      </c>
      <c r="F108" t="s">
        <v>23</v>
      </c>
      <c r="G108" t="s">
        <v>344</v>
      </c>
      <c r="H108" t="s">
        <v>345</v>
      </c>
      <c r="I108" t="s">
        <v>349</v>
      </c>
      <c r="J108">
        <v>0</v>
      </c>
      <c r="K108" t="s">
        <v>350</v>
      </c>
      <c r="L108" t="s">
        <v>28</v>
      </c>
      <c r="M108">
        <v>0.66</v>
      </c>
      <c r="N108" t="s">
        <v>160</v>
      </c>
      <c r="O108">
        <v>95</v>
      </c>
      <c r="P108">
        <f t="shared" si="8"/>
        <v>62.7</v>
      </c>
      <c r="Q108" t="s">
        <v>30</v>
      </c>
      <c r="R108">
        <v>46153</v>
      </c>
      <c r="S108">
        <v>401768</v>
      </c>
      <c r="U108">
        <f t="shared" si="4"/>
        <v>0</v>
      </c>
    </row>
    <row r="109" spans="1:21" ht="15.75" x14ac:dyDescent="0.25">
      <c r="A109" t="s">
        <v>351</v>
      </c>
      <c r="B109">
        <v>43959</v>
      </c>
      <c r="C109" t="s">
        <v>22</v>
      </c>
      <c r="D109" t="s">
        <v>23</v>
      </c>
      <c r="E109" t="s">
        <v>22</v>
      </c>
      <c r="F109" t="s">
        <v>23</v>
      </c>
      <c r="G109" t="s">
        <v>344</v>
      </c>
      <c r="H109" t="s">
        <v>345</v>
      </c>
      <c r="I109" t="s">
        <v>352</v>
      </c>
      <c r="J109">
        <v>0</v>
      </c>
      <c r="K109" t="s">
        <v>353</v>
      </c>
      <c r="L109" t="s">
        <v>28</v>
      </c>
      <c r="M109">
        <v>0.89</v>
      </c>
      <c r="N109" t="s">
        <v>160</v>
      </c>
      <c r="O109">
        <v>95</v>
      </c>
      <c r="P109">
        <f t="shared" si="8"/>
        <v>84.55</v>
      </c>
      <c r="Q109" t="s">
        <v>30</v>
      </c>
      <c r="R109">
        <v>44734</v>
      </c>
      <c r="S109">
        <v>401768</v>
      </c>
      <c r="U109">
        <f t="shared" si="4"/>
        <v>0</v>
      </c>
    </row>
    <row r="110" spans="1:21" ht="15.75" x14ac:dyDescent="0.25">
      <c r="A110" t="s">
        <v>354</v>
      </c>
      <c r="B110">
        <v>43959</v>
      </c>
      <c r="C110" t="s">
        <v>22</v>
      </c>
      <c r="D110" t="s">
        <v>23</v>
      </c>
      <c r="E110" t="s">
        <v>22</v>
      </c>
      <c r="F110" t="s">
        <v>23</v>
      </c>
      <c r="G110" t="s">
        <v>344</v>
      </c>
      <c r="H110" t="s">
        <v>345</v>
      </c>
      <c r="I110" t="s">
        <v>355</v>
      </c>
      <c r="J110">
        <v>0</v>
      </c>
      <c r="K110" t="s">
        <v>356</v>
      </c>
      <c r="L110" t="s">
        <v>28</v>
      </c>
      <c r="M110">
        <v>0.69</v>
      </c>
      <c r="N110" t="s">
        <v>160</v>
      </c>
      <c r="O110">
        <v>95</v>
      </c>
      <c r="P110">
        <f t="shared" si="8"/>
        <v>65.55</v>
      </c>
      <c r="Q110" t="s">
        <v>30</v>
      </c>
      <c r="R110">
        <v>46153</v>
      </c>
      <c r="S110">
        <v>401768</v>
      </c>
      <c r="U110">
        <f t="shared" si="4"/>
        <v>0</v>
      </c>
    </row>
    <row r="111" spans="1:21" ht="15.75" x14ac:dyDescent="0.25">
      <c r="A111" t="s">
        <v>357</v>
      </c>
      <c r="B111">
        <v>43959</v>
      </c>
      <c r="C111" t="s">
        <v>22</v>
      </c>
      <c r="D111" t="s">
        <v>23</v>
      </c>
      <c r="E111" t="s">
        <v>22</v>
      </c>
      <c r="F111" t="s">
        <v>23</v>
      </c>
      <c r="G111" t="s">
        <v>344</v>
      </c>
      <c r="H111" t="s">
        <v>345</v>
      </c>
      <c r="I111" t="s">
        <v>358</v>
      </c>
      <c r="J111">
        <v>0</v>
      </c>
      <c r="K111" t="s">
        <v>359</v>
      </c>
      <c r="L111" t="s">
        <v>28</v>
      </c>
      <c r="M111">
        <v>5.75</v>
      </c>
      <c r="N111" t="s">
        <v>160</v>
      </c>
      <c r="O111">
        <v>95</v>
      </c>
      <c r="P111">
        <f t="shared" si="8"/>
        <v>546.25</v>
      </c>
      <c r="Q111" t="s">
        <v>30</v>
      </c>
      <c r="R111">
        <v>43427</v>
      </c>
      <c r="S111">
        <v>401768</v>
      </c>
      <c r="U111">
        <f t="shared" si="4"/>
        <v>0</v>
      </c>
    </row>
    <row r="112" spans="1:21" ht="15.75" x14ac:dyDescent="0.25">
      <c r="A112" t="s">
        <v>360</v>
      </c>
      <c r="B112">
        <v>43959</v>
      </c>
      <c r="C112" t="s">
        <v>22</v>
      </c>
      <c r="D112" t="s">
        <v>23</v>
      </c>
      <c r="E112" t="s">
        <v>22</v>
      </c>
      <c r="F112" t="s">
        <v>23</v>
      </c>
      <c r="G112" t="s">
        <v>344</v>
      </c>
      <c r="H112" t="s">
        <v>345</v>
      </c>
      <c r="I112" t="s">
        <v>361</v>
      </c>
      <c r="J112">
        <v>0</v>
      </c>
      <c r="K112" t="s">
        <v>362</v>
      </c>
      <c r="L112" t="s">
        <v>28</v>
      </c>
      <c r="M112">
        <v>7.55</v>
      </c>
      <c r="N112" t="s">
        <v>160</v>
      </c>
      <c r="O112">
        <v>95</v>
      </c>
      <c r="P112">
        <f t="shared" si="8"/>
        <v>717.25</v>
      </c>
      <c r="Q112" t="s">
        <v>30</v>
      </c>
      <c r="R112">
        <v>43319</v>
      </c>
      <c r="S112">
        <v>401768</v>
      </c>
      <c r="U112">
        <f t="shared" si="4"/>
        <v>0</v>
      </c>
    </row>
    <row r="113" spans="1:21" ht="15.75" x14ac:dyDescent="0.25">
      <c r="A113" t="s">
        <v>363</v>
      </c>
      <c r="B113">
        <v>43959</v>
      </c>
      <c r="C113" t="s">
        <v>22</v>
      </c>
      <c r="D113" t="s">
        <v>23</v>
      </c>
      <c r="E113" t="s">
        <v>22</v>
      </c>
      <c r="F113" t="s">
        <v>23</v>
      </c>
      <c r="G113" t="s">
        <v>344</v>
      </c>
      <c r="H113" t="s">
        <v>345</v>
      </c>
      <c r="I113" t="s">
        <v>364</v>
      </c>
      <c r="J113">
        <v>0</v>
      </c>
      <c r="K113" t="s">
        <v>365</v>
      </c>
      <c r="L113" t="s">
        <v>28</v>
      </c>
      <c r="M113">
        <v>9.9600000000000009</v>
      </c>
      <c r="N113" t="s">
        <v>160</v>
      </c>
      <c r="O113">
        <v>95</v>
      </c>
      <c r="P113">
        <f t="shared" si="8"/>
        <v>946.2</v>
      </c>
      <c r="Q113" t="s">
        <v>30</v>
      </c>
      <c r="R113">
        <v>46153</v>
      </c>
      <c r="S113">
        <v>401768</v>
      </c>
      <c r="U113">
        <f t="shared" si="4"/>
        <v>0</v>
      </c>
    </row>
    <row r="114" spans="1:21" ht="15.75" x14ac:dyDescent="0.25">
      <c r="A114" t="s">
        <v>366</v>
      </c>
      <c r="B114">
        <v>43959</v>
      </c>
      <c r="C114" t="s">
        <v>22</v>
      </c>
      <c r="D114" t="s">
        <v>23</v>
      </c>
      <c r="E114" t="s">
        <v>22</v>
      </c>
      <c r="F114" t="s">
        <v>23</v>
      </c>
      <c r="G114" t="s">
        <v>344</v>
      </c>
      <c r="H114" t="s">
        <v>345</v>
      </c>
      <c r="I114" t="s">
        <v>367</v>
      </c>
      <c r="J114">
        <v>0</v>
      </c>
      <c r="K114" t="s">
        <v>368</v>
      </c>
      <c r="L114" t="s">
        <v>28</v>
      </c>
      <c r="M114">
        <v>16.75722</v>
      </c>
      <c r="N114" t="s">
        <v>160</v>
      </c>
      <c r="O114">
        <v>95</v>
      </c>
      <c r="P114">
        <f t="shared" si="8"/>
        <v>1591.9358999999999</v>
      </c>
      <c r="Q114" t="s">
        <v>30</v>
      </c>
      <c r="R114">
        <v>43237</v>
      </c>
      <c r="S114">
        <v>401768</v>
      </c>
      <c r="U114">
        <f t="shared" si="4"/>
        <v>0</v>
      </c>
    </row>
    <row r="115" spans="1:21" ht="15.75" x14ac:dyDescent="0.25">
      <c r="A115" t="s">
        <v>369</v>
      </c>
      <c r="B115">
        <v>43959</v>
      </c>
      <c r="C115" t="s">
        <v>22</v>
      </c>
      <c r="D115" t="s">
        <v>23</v>
      </c>
      <c r="E115" t="s">
        <v>22</v>
      </c>
      <c r="F115" t="s">
        <v>23</v>
      </c>
      <c r="G115" t="s">
        <v>344</v>
      </c>
      <c r="H115" t="s">
        <v>345</v>
      </c>
      <c r="I115" t="s">
        <v>370</v>
      </c>
      <c r="J115">
        <v>0</v>
      </c>
      <c r="K115" t="s">
        <v>371</v>
      </c>
      <c r="L115" t="s">
        <v>28</v>
      </c>
      <c r="M115">
        <v>6.92</v>
      </c>
      <c r="N115" t="s">
        <v>160</v>
      </c>
      <c r="O115">
        <v>95</v>
      </c>
      <c r="P115">
        <f t="shared" si="8"/>
        <v>657.4</v>
      </c>
      <c r="Q115" t="s">
        <v>30</v>
      </c>
      <c r="R115">
        <v>46153</v>
      </c>
      <c r="S115">
        <v>401768</v>
      </c>
      <c r="U115">
        <f t="shared" si="4"/>
        <v>0</v>
      </c>
    </row>
    <row r="116" spans="1:21" ht="15.75" x14ac:dyDescent="0.25">
      <c r="A116" t="s">
        <v>372</v>
      </c>
      <c r="B116">
        <v>43959</v>
      </c>
      <c r="C116" t="s">
        <v>22</v>
      </c>
      <c r="D116" t="s">
        <v>23</v>
      </c>
      <c r="E116" t="s">
        <v>22</v>
      </c>
      <c r="F116" t="s">
        <v>23</v>
      </c>
      <c r="G116" t="s">
        <v>344</v>
      </c>
      <c r="H116" t="s">
        <v>345</v>
      </c>
      <c r="I116" t="s">
        <v>373</v>
      </c>
      <c r="J116">
        <v>0</v>
      </c>
      <c r="K116" t="s">
        <v>374</v>
      </c>
      <c r="L116" t="s">
        <v>28</v>
      </c>
      <c r="M116">
        <v>5.74</v>
      </c>
      <c r="N116" t="s">
        <v>160</v>
      </c>
      <c r="O116">
        <v>95</v>
      </c>
      <c r="P116">
        <f t="shared" si="8"/>
        <v>545.30000000000007</v>
      </c>
      <c r="Q116" t="s">
        <v>30</v>
      </c>
      <c r="R116">
        <v>46153</v>
      </c>
      <c r="S116">
        <v>401768</v>
      </c>
      <c r="U116">
        <f t="shared" si="4"/>
        <v>0</v>
      </c>
    </row>
    <row r="117" spans="1:21" ht="15.75" x14ac:dyDescent="0.25">
      <c r="A117" t="s">
        <v>375</v>
      </c>
      <c r="B117">
        <v>43959</v>
      </c>
      <c r="C117" t="s">
        <v>22</v>
      </c>
      <c r="D117" t="s">
        <v>23</v>
      </c>
      <c r="E117" t="s">
        <v>22</v>
      </c>
      <c r="F117" t="s">
        <v>23</v>
      </c>
      <c r="G117" t="s">
        <v>344</v>
      </c>
      <c r="H117" t="s">
        <v>345</v>
      </c>
      <c r="I117" t="s">
        <v>376</v>
      </c>
      <c r="J117">
        <v>0</v>
      </c>
      <c r="K117" t="s">
        <v>377</v>
      </c>
      <c r="L117" t="s">
        <v>28</v>
      </c>
      <c r="M117">
        <v>2.4900000000000002</v>
      </c>
      <c r="N117" t="s">
        <v>160</v>
      </c>
      <c r="O117">
        <v>95</v>
      </c>
      <c r="P117">
        <f t="shared" si="8"/>
        <v>236.55</v>
      </c>
      <c r="Q117" t="s">
        <v>30</v>
      </c>
      <c r="R117">
        <v>45254</v>
      </c>
      <c r="S117">
        <v>401768</v>
      </c>
      <c r="U117">
        <f t="shared" si="4"/>
        <v>0</v>
      </c>
    </row>
    <row r="118" spans="1:21" ht="15.75" x14ac:dyDescent="0.25">
      <c r="A118" t="s">
        <v>378</v>
      </c>
      <c r="B118">
        <v>43959</v>
      </c>
      <c r="C118" t="s">
        <v>22</v>
      </c>
      <c r="D118" t="s">
        <v>23</v>
      </c>
      <c r="E118" t="s">
        <v>22</v>
      </c>
      <c r="F118" t="s">
        <v>23</v>
      </c>
      <c r="G118" t="s">
        <v>344</v>
      </c>
      <c r="H118" t="s">
        <v>345</v>
      </c>
      <c r="I118" t="s">
        <v>379</v>
      </c>
      <c r="J118">
        <v>0</v>
      </c>
      <c r="K118" t="s">
        <v>380</v>
      </c>
      <c r="L118" t="s">
        <v>28</v>
      </c>
      <c r="M118">
        <v>20.75</v>
      </c>
      <c r="N118" t="s">
        <v>160</v>
      </c>
      <c r="O118">
        <v>95</v>
      </c>
      <c r="P118">
        <f t="shared" si="8"/>
        <v>1971.25</v>
      </c>
      <c r="Q118" t="s">
        <v>30</v>
      </c>
      <c r="R118">
        <v>46153</v>
      </c>
      <c r="S118">
        <v>401768</v>
      </c>
      <c r="U118">
        <f t="shared" si="4"/>
        <v>0</v>
      </c>
    </row>
    <row r="119" spans="1:21" ht="15.75" x14ac:dyDescent="0.25">
      <c r="A119" t="s">
        <v>381</v>
      </c>
      <c r="B119">
        <v>43959</v>
      </c>
      <c r="C119" t="s">
        <v>22</v>
      </c>
      <c r="D119" t="s">
        <v>23</v>
      </c>
      <c r="E119" t="s">
        <v>22</v>
      </c>
      <c r="F119" t="s">
        <v>23</v>
      </c>
      <c r="G119" t="s">
        <v>344</v>
      </c>
      <c r="H119" t="s">
        <v>345</v>
      </c>
      <c r="I119" t="s">
        <v>382</v>
      </c>
      <c r="J119">
        <v>0</v>
      </c>
      <c r="K119" t="s">
        <v>383</v>
      </c>
      <c r="L119" t="s">
        <v>28</v>
      </c>
      <c r="M119">
        <v>23.05</v>
      </c>
      <c r="N119" t="s">
        <v>160</v>
      </c>
      <c r="O119">
        <v>95</v>
      </c>
      <c r="P119">
        <f t="shared" si="8"/>
        <v>2189.75</v>
      </c>
      <c r="Q119" t="s">
        <v>30</v>
      </c>
      <c r="R119">
        <v>46153</v>
      </c>
      <c r="S119">
        <v>401768</v>
      </c>
      <c r="U119">
        <f t="shared" si="4"/>
        <v>0</v>
      </c>
    </row>
    <row r="120" spans="1:21" ht="15.75" x14ac:dyDescent="0.25">
      <c r="A120" t="s">
        <v>384</v>
      </c>
      <c r="B120">
        <v>43959</v>
      </c>
      <c r="C120" t="s">
        <v>22</v>
      </c>
      <c r="D120" t="s">
        <v>23</v>
      </c>
      <c r="E120" t="s">
        <v>22</v>
      </c>
      <c r="F120" t="s">
        <v>23</v>
      </c>
      <c r="G120" t="s">
        <v>344</v>
      </c>
      <c r="H120" t="s">
        <v>345</v>
      </c>
      <c r="I120" t="s">
        <v>385</v>
      </c>
      <c r="J120">
        <v>0</v>
      </c>
      <c r="K120" t="s">
        <v>386</v>
      </c>
      <c r="L120" t="s">
        <v>28</v>
      </c>
      <c r="M120">
        <v>2.4</v>
      </c>
      <c r="N120" t="s">
        <v>160</v>
      </c>
      <c r="O120">
        <v>95</v>
      </c>
      <c r="P120">
        <f t="shared" si="8"/>
        <v>228</v>
      </c>
      <c r="Q120" t="s">
        <v>30</v>
      </c>
      <c r="R120">
        <v>43512</v>
      </c>
      <c r="S120">
        <v>401768</v>
      </c>
      <c r="U120">
        <f t="shared" si="4"/>
        <v>0</v>
      </c>
    </row>
    <row r="121" spans="1:21" ht="15.75" x14ac:dyDescent="0.25">
      <c r="A121" t="s">
        <v>387</v>
      </c>
      <c r="B121">
        <v>43959</v>
      </c>
      <c r="C121" t="s">
        <v>22</v>
      </c>
      <c r="D121" t="s">
        <v>23</v>
      </c>
      <c r="E121" t="s">
        <v>22</v>
      </c>
      <c r="F121" t="s">
        <v>23</v>
      </c>
      <c r="G121" t="s">
        <v>344</v>
      </c>
      <c r="H121" t="s">
        <v>345</v>
      </c>
      <c r="I121" t="s">
        <v>388</v>
      </c>
      <c r="J121">
        <v>0</v>
      </c>
      <c r="K121" t="s">
        <v>389</v>
      </c>
      <c r="L121" t="s">
        <v>28</v>
      </c>
      <c r="M121">
        <v>31.98</v>
      </c>
      <c r="N121" t="s">
        <v>160</v>
      </c>
      <c r="O121">
        <v>95</v>
      </c>
      <c r="P121">
        <f t="shared" si="8"/>
        <v>3038.1</v>
      </c>
      <c r="Q121" t="s">
        <v>30</v>
      </c>
      <c r="R121">
        <v>46153</v>
      </c>
      <c r="S121">
        <v>401768</v>
      </c>
      <c r="U121">
        <f t="shared" si="4"/>
        <v>0</v>
      </c>
    </row>
    <row r="122" spans="1:21" ht="15.75" x14ac:dyDescent="0.25">
      <c r="A122" t="s">
        <v>390</v>
      </c>
      <c r="B122">
        <v>43959</v>
      </c>
      <c r="C122" t="s">
        <v>22</v>
      </c>
      <c r="D122" t="s">
        <v>23</v>
      </c>
      <c r="E122" t="s">
        <v>22</v>
      </c>
      <c r="F122" t="s">
        <v>23</v>
      </c>
      <c r="G122" t="s">
        <v>344</v>
      </c>
      <c r="H122" t="s">
        <v>345</v>
      </c>
      <c r="I122" t="s">
        <v>391</v>
      </c>
      <c r="J122">
        <v>0</v>
      </c>
      <c r="K122" t="s">
        <v>392</v>
      </c>
      <c r="L122" t="s">
        <v>28</v>
      </c>
      <c r="M122">
        <v>22.64</v>
      </c>
      <c r="N122" t="s">
        <v>160</v>
      </c>
      <c r="O122">
        <v>95</v>
      </c>
      <c r="P122">
        <f t="shared" si="8"/>
        <v>2150.8000000000002</v>
      </c>
      <c r="Q122" t="s">
        <v>30</v>
      </c>
      <c r="R122">
        <v>43230</v>
      </c>
      <c r="S122">
        <v>401768</v>
      </c>
      <c r="U122">
        <f t="shared" si="4"/>
        <v>0</v>
      </c>
    </row>
    <row r="123" spans="1:21" ht="15.75" x14ac:dyDescent="0.25">
      <c r="A123" t="s">
        <v>393</v>
      </c>
      <c r="B123">
        <v>43959</v>
      </c>
      <c r="C123" t="s">
        <v>22</v>
      </c>
      <c r="D123" t="s">
        <v>23</v>
      </c>
      <c r="E123" t="s">
        <v>22</v>
      </c>
      <c r="F123" t="s">
        <v>23</v>
      </c>
      <c r="G123" t="s">
        <v>344</v>
      </c>
      <c r="H123" t="s">
        <v>345</v>
      </c>
      <c r="I123" t="s">
        <v>394</v>
      </c>
      <c r="J123">
        <v>0</v>
      </c>
      <c r="K123" t="s">
        <v>395</v>
      </c>
      <c r="L123" t="s">
        <v>28</v>
      </c>
      <c r="M123">
        <v>6.92</v>
      </c>
      <c r="N123" t="s">
        <v>160</v>
      </c>
      <c r="O123">
        <v>95</v>
      </c>
      <c r="P123">
        <f t="shared" si="8"/>
        <v>657.4</v>
      </c>
      <c r="Q123" t="s">
        <v>30</v>
      </c>
      <c r="R123">
        <v>46153</v>
      </c>
      <c r="S123">
        <v>401768</v>
      </c>
      <c r="U123">
        <f t="shared" si="4"/>
        <v>0</v>
      </c>
    </row>
    <row r="124" spans="1:21" ht="15.75" x14ac:dyDescent="0.25">
      <c r="A124" t="s">
        <v>396</v>
      </c>
      <c r="B124">
        <v>43959</v>
      </c>
      <c r="C124" t="s">
        <v>22</v>
      </c>
      <c r="D124" t="s">
        <v>23</v>
      </c>
      <c r="E124" t="s">
        <v>22</v>
      </c>
      <c r="F124" t="s">
        <v>23</v>
      </c>
      <c r="G124" t="s">
        <v>344</v>
      </c>
      <c r="H124" t="s">
        <v>345</v>
      </c>
      <c r="I124" t="s">
        <v>397</v>
      </c>
      <c r="J124">
        <v>0</v>
      </c>
      <c r="K124" t="s">
        <v>398</v>
      </c>
      <c r="L124" t="s">
        <v>28</v>
      </c>
      <c r="M124">
        <v>5.26</v>
      </c>
      <c r="N124" t="s">
        <v>160</v>
      </c>
      <c r="O124">
        <v>95</v>
      </c>
      <c r="P124">
        <f t="shared" si="8"/>
        <v>499.7</v>
      </c>
      <c r="Q124" t="s">
        <v>30</v>
      </c>
      <c r="R124">
        <v>46153</v>
      </c>
      <c r="S124">
        <v>401768</v>
      </c>
      <c r="U124">
        <f t="shared" si="4"/>
        <v>0</v>
      </c>
    </row>
    <row r="125" spans="1:21" ht="15.75" x14ac:dyDescent="0.25">
      <c r="A125" t="s">
        <v>399</v>
      </c>
      <c r="B125">
        <v>43990</v>
      </c>
      <c r="C125" t="s">
        <v>22</v>
      </c>
      <c r="D125" t="s">
        <v>23</v>
      </c>
      <c r="E125" t="s">
        <v>22</v>
      </c>
      <c r="F125" t="s">
        <v>23</v>
      </c>
      <c r="G125" t="s">
        <v>344</v>
      </c>
      <c r="H125" t="s">
        <v>345</v>
      </c>
      <c r="I125" t="s">
        <v>400</v>
      </c>
      <c r="J125">
        <v>0</v>
      </c>
      <c r="K125" t="s">
        <v>401</v>
      </c>
      <c r="L125" t="s">
        <v>28</v>
      </c>
      <c r="M125">
        <v>8.9</v>
      </c>
      <c r="N125" t="s">
        <v>160</v>
      </c>
      <c r="O125">
        <v>95</v>
      </c>
      <c r="P125">
        <f t="shared" si="8"/>
        <v>845.5</v>
      </c>
      <c r="Q125" t="s">
        <v>30</v>
      </c>
      <c r="R125">
        <v>46153</v>
      </c>
      <c r="S125">
        <v>401768</v>
      </c>
      <c r="U125">
        <f t="shared" si="4"/>
        <v>0</v>
      </c>
    </row>
    <row r="126" spans="1:21" ht="15.75" x14ac:dyDescent="0.25">
      <c r="A126" t="s">
        <v>402</v>
      </c>
      <c r="B126">
        <v>44345</v>
      </c>
      <c r="C126" t="s">
        <v>22</v>
      </c>
      <c r="D126" t="s">
        <v>23</v>
      </c>
      <c r="E126" t="s">
        <v>30</v>
      </c>
      <c r="F126" t="s">
        <v>30</v>
      </c>
      <c r="G126" t="s">
        <v>344</v>
      </c>
      <c r="H126" t="s">
        <v>345</v>
      </c>
      <c r="I126" t="s">
        <v>403</v>
      </c>
      <c r="J126">
        <v>0</v>
      </c>
      <c r="K126" t="s">
        <v>404</v>
      </c>
      <c r="L126" t="s">
        <v>36</v>
      </c>
      <c r="M126">
        <v>48000</v>
      </c>
      <c r="N126" t="s">
        <v>160</v>
      </c>
      <c r="O126">
        <v>95</v>
      </c>
      <c r="P126">
        <f t="shared" si="8"/>
        <v>4560000</v>
      </c>
      <c r="Q126" t="s">
        <v>30</v>
      </c>
      <c r="R126">
        <v>44345</v>
      </c>
      <c r="S126">
        <v>401768</v>
      </c>
      <c r="U126">
        <f t="shared" si="4"/>
        <v>0</v>
      </c>
    </row>
    <row r="127" spans="1:21" ht="15.75" x14ac:dyDescent="0.25">
      <c r="A127" t="s">
        <v>405</v>
      </c>
      <c r="B127">
        <v>44936</v>
      </c>
      <c r="C127" t="s">
        <v>22</v>
      </c>
      <c r="D127" t="s">
        <v>23</v>
      </c>
      <c r="E127" t="s">
        <v>22</v>
      </c>
      <c r="F127" t="s">
        <v>23</v>
      </c>
      <c r="G127" t="s">
        <v>344</v>
      </c>
      <c r="H127" t="s">
        <v>345</v>
      </c>
      <c r="I127" t="s">
        <v>406</v>
      </c>
      <c r="J127">
        <v>0</v>
      </c>
      <c r="K127" t="s">
        <v>407</v>
      </c>
      <c r="L127" t="s">
        <v>28</v>
      </c>
      <c r="M127">
        <v>2.78</v>
      </c>
      <c r="N127" t="s">
        <v>160</v>
      </c>
      <c r="O127">
        <v>95</v>
      </c>
      <c r="P127">
        <f t="shared" si="8"/>
        <v>264.09999999999997</v>
      </c>
      <c r="Q127" t="s">
        <v>30</v>
      </c>
      <c r="R127">
        <v>44936</v>
      </c>
      <c r="S127">
        <v>401768</v>
      </c>
      <c r="U127">
        <f t="shared" si="4"/>
        <v>0</v>
      </c>
    </row>
    <row r="128" spans="1:21" ht="15.75" x14ac:dyDescent="0.25">
      <c r="A128" t="s">
        <v>408</v>
      </c>
      <c r="B128">
        <v>45777</v>
      </c>
      <c r="C128" t="s">
        <v>22</v>
      </c>
      <c r="D128" t="s">
        <v>23</v>
      </c>
      <c r="E128" t="s">
        <v>30</v>
      </c>
      <c r="F128" t="s">
        <v>30</v>
      </c>
      <c r="G128" t="s">
        <v>344</v>
      </c>
      <c r="H128" t="s">
        <v>345</v>
      </c>
      <c r="I128" t="s">
        <v>409</v>
      </c>
      <c r="J128">
        <v>0</v>
      </c>
      <c r="K128" t="s">
        <v>410</v>
      </c>
      <c r="L128" t="s">
        <v>28</v>
      </c>
      <c r="M128">
        <v>5.3</v>
      </c>
      <c r="N128" t="s">
        <v>160</v>
      </c>
      <c r="O128">
        <v>95</v>
      </c>
      <c r="P128">
        <f t="shared" si="8"/>
        <v>503.5</v>
      </c>
      <c r="Q128" t="s">
        <v>30</v>
      </c>
      <c r="R128">
        <v>45777</v>
      </c>
      <c r="S128">
        <v>401768</v>
      </c>
      <c r="U128">
        <f t="shared" si="4"/>
        <v>0</v>
      </c>
    </row>
    <row r="129" spans="1:21" ht="15.75" x14ac:dyDescent="0.25">
      <c r="A129" t="s">
        <v>411</v>
      </c>
      <c r="B129">
        <v>46057</v>
      </c>
      <c r="C129" t="s">
        <v>22</v>
      </c>
      <c r="D129" t="s">
        <v>23</v>
      </c>
      <c r="E129" t="s">
        <v>22</v>
      </c>
      <c r="F129" t="s">
        <v>23</v>
      </c>
      <c r="G129" t="s">
        <v>344</v>
      </c>
      <c r="H129" t="s">
        <v>345</v>
      </c>
      <c r="I129" t="s">
        <v>412</v>
      </c>
      <c r="J129">
        <v>0</v>
      </c>
      <c r="K129" t="s">
        <v>413</v>
      </c>
      <c r="L129" t="s">
        <v>28</v>
      </c>
      <c r="M129">
        <v>8.2200000000000006</v>
      </c>
      <c r="N129" t="s">
        <v>160</v>
      </c>
      <c r="O129">
        <v>95</v>
      </c>
      <c r="P129">
        <f t="shared" si="8"/>
        <v>780.90000000000009</v>
      </c>
      <c r="Q129" t="s">
        <v>30</v>
      </c>
      <c r="R129">
        <v>46153</v>
      </c>
      <c r="S129">
        <v>401768</v>
      </c>
      <c r="U129">
        <f t="shared" si="4"/>
        <v>0</v>
      </c>
    </row>
    <row r="130" spans="1:21" ht="15.75" x14ac:dyDescent="0.25">
      <c r="A130" t="s">
        <v>414</v>
      </c>
      <c r="B130">
        <v>46057</v>
      </c>
      <c r="C130" t="s">
        <v>22</v>
      </c>
      <c r="D130" t="s">
        <v>23</v>
      </c>
      <c r="E130" t="s">
        <v>22</v>
      </c>
      <c r="F130" t="s">
        <v>23</v>
      </c>
      <c r="G130" t="s">
        <v>344</v>
      </c>
      <c r="H130" t="s">
        <v>345</v>
      </c>
      <c r="I130" t="s">
        <v>415</v>
      </c>
      <c r="J130">
        <v>0</v>
      </c>
      <c r="K130" t="s">
        <v>416</v>
      </c>
      <c r="L130" t="s">
        <v>28</v>
      </c>
      <c r="M130">
        <v>5.97</v>
      </c>
      <c r="N130" t="s">
        <v>160</v>
      </c>
      <c r="O130">
        <v>95</v>
      </c>
      <c r="P130">
        <f t="shared" si="8"/>
        <v>567.15</v>
      </c>
      <c r="Q130" t="s">
        <v>30</v>
      </c>
      <c r="R130">
        <v>46153</v>
      </c>
      <c r="S130">
        <v>401768</v>
      </c>
      <c r="U130">
        <f t="shared" si="4"/>
        <v>0</v>
      </c>
    </row>
    <row r="131" spans="1:21" ht="15.75" x14ac:dyDescent="0.25">
      <c r="A131" t="s">
        <v>417</v>
      </c>
      <c r="B131">
        <v>44895</v>
      </c>
      <c r="C131" t="s">
        <v>22</v>
      </c>
      <c r="D131" t="s">
        <v>23</v>
      </c>
      <c r="E131" t="s">
        <v>22</v>
      </c>
      <c r="F131" t="s">
        <v>23</v>
      </c>
      <c r="G131" t="s">
        <v>418</v>
      </c>
      <c r="H131" t="s">
        <v>419</v>
      </c>
      <c r="I131" t="s">
        <v>420</v>
      </c>
      <c r="J131">
        <v>0</v>
      </c>
      <c r="K131" t="s">
        <v>421</v>
      </c>
      <c r="L131" t="s">
        <v>28</v>
      </c>
      <c r="M131">
        <v>1178</v>
      </c>
      <c r="N131" t="s">
        <v>29</v>
      </c>
      <c r="O131">
        <f>M131</f>
        <v>1178</v>
      </c>
      <c r="P131">
        <f>O131</f>
        <v>1178</v>
      </c>
      <c r="Q131" t="s">
        <v>30</v>
      </c>
      <c r="R131">
        <v>46161</v>
      </c>
      <c r="S131">
        <v>401768</v>
      </c>
      <c r="T131">
        <v>1000</v>
      </c>
      <c r="U131">
        <f t="shared" ref="U131:U194" si="9">T131*P131/100000</f>
        <v>11.78</v>
      </c>
    </row>
    <row r="132" spans="1:21" ht="15.75" x14ac:dyDescent="0.25">
      <c r="A132" t="s">
        <v>422</v>
      </c>
      <c r="B132">
        <v>43959</v>
      </c>
      <c r="C132" t="s">
        <v>22</v>
      </c>
      <c r="D132" t="s">
        <v>23</v>
      </c>
      <c r="E132" t="s">
        <v>22</v>
      </c>
      <c r="F132" t="s">
        <v>23</v>
      </c>
      <c r="G132" t="s">
        <v>423</v>
      </c>
      <c r="H132" t="s">
        <v>424</v>
      </c>
      <c r="I132" t="s">
        <v>425</v>
      </c>
      <c r="J132">
        <v>0</v>
      </c>
      <c r="K132" t="s">
        <v>426</v>
      </c>
      <c r="L132" t="s">
        <v>28</v>
      </c>
      <c r="M132">
        <v>4.71</v>
      </c>
      <c r="N132" t="s">
        <v>160</v>
      </c>
      <c r="O132">
        <v>95</v>
      </c>
      <c r="P132">
        <f>O132*M132</f>
        <v>447.45</v>
      </c>
      <c r="Q132" t="s">
        <v>30</v>
      </c>
      <c r="R132">
        <v>44076</v>
      </c>
      <c r="S132">
        <v>401768</v>
      </c>
      <c r="U132">
        <f t="shared" si="9"/>
        <v>0</v>
      </c>
    </row>
    <row r="133" spans="1:21" ht="15.75" x14ac:dyDescent="0.25">
      <c r="A133" t="s">
        <v>427</v>
      </c>
      <c r="B133">
        <v>44522</v>
      </c>
      <c r="C133" t="s">
        <v>22</v>
      </c>
      <c r="D133" t="s">
        <v>23</v>
      </c>
      <c r="E133" t="s">
        <v>22</v>
      </c>
      <c r="F133" t="s">
        <v>23</v>
      </c>
      <c r="G133" t="s">
        <v>428</v>
      </c>
      <c r="H133" t="s">
        <v>429</v>
      </c>
      <c r="I133" t="s">
        <v>430</v>
      </c>
      <c r="J133">
        <v>0</v>
      </c>
      <c r="K133" t="s">
        <v>431</v>
      </c>
      <c r="L133" t="s">
        <v>28</v>
      </c>
      <c r="M133">
        <v>61.37</v>
      </c>
      <c r="N133" t="s">
        <v>29</v>
      </c>
      <c r="O133">
        <f t="shared" ref="O133:O164" si="10">M133</f>
        <v>61.37</v>
      </c>
      <c r="P133">
        <f t="shared" ref="P133:P164" si="11">O133</f>
        <v>61.37</v>
      </c>
      <c r="Q133" t="s">
        <v>30</v>
      </c>
      <c r="R133">
        <v>46151</v>
      </c>
      <c r="S133">
        <v>401768</v>
      </c>
      <c r="T133">
        <v>123</v>
      </c>
      <c r="U133">
        <f t="shared" si="9"/>
        <v>7.5485099999999999E-2</v>
      </c>
    </row>
    <row r="134" spans="1:21" ht="15.75" x14ac:dyDescent="0.25">
      <c r="A134" t="s">
        <v>432</v>
      </c>
      <c r="B134">
        <v>44522</v>
      </c>
      <c r="C134" t="s">
        <v>22</v>
      </c>
      <c r="D134" t="s">
        <v>23</v>
      </c>
      <c r="E134" t="s">
        <v>22</v>
      </c>
      <c r="F134" t="s">
        <v>23</v>
      </c>
      <c r="G134" t="s">
        <v>428</v>
      </c>
      <c r="H134" t="s">
        <v>429</v>
      </c>
      <c r="I134" t="s">
        <v>433</v>
      </c>
      <c r="J134">
        <v>0</v>
      </c>
      <c r="K134" t="s">
        <v>434</v>
      </c>
      <c r="L134" t="s">
        <v>28</v>
      </c>
      <c r="M134">
        <v>62.37</v>
      </c>
      <c r="N134" t="s">
        <v>29</v>
      </c>
      <c r="O134">
        <f t="shared" si="10"/>
        <v>62.37</v>
      </c>
      <c r="P134">
        <f t="shared" si="11"/>
        <v>62.37</v>
      </c>
      <c r="Q134" t="s">
        <v>30</v>
      </c>
      <c r="R134">
        <v>46151</v>
      </c>
      <c r="S134">
        <v>401768</v>
      </c>
      <c r="T134">
        <v>123</v>
      </c>
      <c r="U134">
        <f t="shared" si="9"/>
        <v>7.6715099999999994E-2</v>
      </c>
    </row>
    <row r="135" spans="1:21" ht="15.75" x14ac:dyDescent="0.25">
      <c r="A135" t="s">
        <v>435</v>
      </c>
      <c r="B135">
        <v>44531</v>
      </c>
      <c r="C135" t="s">
        <v>22</v>
      </c>
      <c r="D135" t="s">
        <v>23</v>
      </c>
      <c r="E135" t="s">
        <v>22</v>
      </c>
      <c r="F135" t="s">
        <v>23</v>
      </c>
      <c r="G135" t="s">
        <v>428</v>
      </c>
      <c r="H135" t="s">
        <v>429</v>
      </c>
      <c r="I135" t="s">
        <v>436</v>
      </c>
      <c r="J135">
        <v>0</v>
      </c>
      <c r="K135" t="s">
        <v>437</v>
      </c>
      <c r="L135" t="s">
        <v>28</v>
      </c>
      <c r="M135">
        <v>160.08000000000001</v>
      </c>
      <c r="N135" t="s">
        <v>29</v>
      </c>
      <c r="O135">
        <f t="shared" si="10"/>
        <v>160.08000000000001</v>
      </c>
      <c r="P135">
        <f t="shared" si="11"/>
        <v>160.08000000000001</v>
      </c>
      <c r="Q135" t="s">
        <v>30</v>
      </c>
      <c r="R135">
        <v>46151</v>
      </c>
      <c r="S135">
        <v>401768</v>
      </c>
      <c r="T135">
        <v>44682</v>
      </c>
      <c r="U135">
        <f t="shared" si="9"/>
        <v>71.526945600000005</v>
      </c>
    </row>
    <row r="136" spans="1:21" ht="15.75" x14ac:dyDescent="0.25">
      <c r="A136" t="s">
        <v>438</v>
      </c>
      <c r="B136">
        <v>44676</v>
      </c>
      <c r="C136" t="s">
        <v>22</v>
      </c>
      <c r="D136" t="s">
        <v>23</v>
      </c>
      <c r="E136" t="s">
        <v>22</v>
      </c>
      <c r="F136" t="s">
        <v>23</v>
      </c>
      <c r="G136" t="s">
        <v>428</v>
      </c>
      <c r="H136" t="s">
        <v>429</v>
      </c>
      <c r="I136" t="s">
        <v>439</v>
      </c>
      <c r="J136">
        <v>0</v>
      </c>
      <c r="K136" t="s">
        <v>440</v>
      </c>
      <c r="L136" t="s">
        <v>28</v>
      </c>
      <c r="M136">
        <v>146.66999999999999</v>
      </c>
      <c r="N136" t="s">
        <v>29</v>
      </c>
      <c r="O136">
        <f t="shared" si="10"/>
        <v>146.66999999999999</v>
      </c>
      <c r="P136">
        <f t="shared" si="11"/>
        <v>146.66999999999999</v>
      </c>
      <c r="Q136" t="s">
        <v>30</v>
      </c>
      <c r="R136">
        <v>46151</v>
      </c>
      <c r="S136">
        <v>401768</v>
      </c>
      <c r="T136">
        <v>6515</v>
      </c>
      <c r="U136">
        <f t="shared" si="9"/>
        <v>9.5555504999999989</v>
      </c>
    </row>
    <row r="137" spans="1:21" ht="15.75" x14ac:dyDescent="0.25">
      <c r="A137" t="s">
        <v>441</v>
      </c>
      <c r="B137">
        <v>44678</v>
      </c>
      <c r="C137" t="s">
        <v>22</v>
      </c>
      <c r="D137" t="s">
        <v>23</v>
      </c>
      <c r="E137" t="s">
        <v>22</v>
      </c>
      <c r="F137" t="s">
        <v>23</v>
      </c>
      <c r="G137" t="s">
        <v>428</v>
      </c>
      <c r="H137" t="s">
        <v>429</v>
      </c>
      <c r="I137" t="s">
        <v>442</v>
      </c>
      <c r="J137">
        <v>0</v>
      </c>
      <c r="K137" t="s">
        <v>443</v>
      </c>
      <c r="L137" t="s">
        <v>36</v>
      </c>
      <c r="M137">
        <v>1100000</v>
      </c>
      <c r="N137" t="s">
        <v>29</v>
      </c>
      <c r="O137">
        <f t="shared" si="10"/>
        <v>1100000</v>
      </c>
      <c r="P137">
        <f t="shared" si="11"/>
        <v>1100000</v>
      </c>
      <c r="Q137" t="s">
        <v>30</v>
      </c>
      <c r="R137">
        <v>44678</v>
      </c>
      <c r="S137">
        <v>401768</v>
      </c>
      <c r="U137">
        <f t="shared" si="9"/>
        <v>0</v>
      </c>
    </row>
    <row r="138" spans="1:21" ht="15.75" x14ac:dyDescent="0.25">
      <c r="A138" t="s">
        <v>444</v>
      </c>
      <c r="B138">
        <v>44930</v>
      </c>
      <c r="C138" t="s">
        <v>22</v>
      </c>
      <c r="D138" t="s">
        <v>23</v>
      </c>
      <c r="E138" t="s">
        <v>22</v>
      </c>
      <c r="F138" t="s">
        <v>23</v>
      </c>
      <c r="G138" t="s">
        <v>428</v>
      </c>
      <c r="H138" t="s">
        <v>429</v>
      </c>
      <c r="I138" t="s">
        <v>315</v>
      </c>
      <c r="J138">
        <v>0</v>
      </c>
      <c r="K138" t="s">
        <v>316</v>
      </c>
      <c r="L138" t="s">
        <v>28</v>
      </c>
      <c r="M138">
        <v>46502.2</v>
      </c>
      <c r="N138" t="s">
        <v>29</v>
      </c>
      <c r="O138">
        <f t="shared" si="10"/>
        <v>46502.2</v>
      </c>
      <c r="P138">
        <f t="shared" si="11"/>
        <v>46502.2</v>
      </c>
      <c r="Q138" t="s">
        <v>30</v>
      </c>
      <c r="R138">
        <v>45019</v>
      </c>
      <c r="S138">
        <v>401768</v>
      </c>
      <c r="U138">
        <f t="shared" si="9"/>
        <v>0</v>
      </c>
    </row>
    <row r="139" spans="1:21" ht="15.75" x14ac:dyDescent="0.25">
      <c r="A139" t="s">
        <v>445</v>
      </c>
      <c r="B139">
        <v>44992</v>
      </c>
      <c r="C139" t="s">
        <v>22</v>
      </c>
      <c r="D139" t="s">
        <v>23</v>
      </c>
      <c r="E139" t="s">
        <v>22</v>
      </c>
      <c r="F139" t="s">
        <v>23</v>
      </c>
      <c r="G139" t="s">
        <v>428</v>
      </c>
      <c r="H139" t="s">
        <v>429</v>
      </c>
      <c r="I139" t="s">
        <v>446</v>
      </c>
      <c r="J139">
        <v>0</v>
      </c>
      <c r="K139" t="s">
        <v>447</v>
      </c>
      <c r="L139" t="s">
        <v>28</v>
      </c>
      <c r="M139">
        <v>146.66999999999999</v>
      </c>
      <c r="N139" t="s">
        <v>29</v>
      </c>
      <c r="O139">
        <f t="shared" si="10"/>
        <v>146.66999999999999</v>
      </c>
      <c r="P139">
        <f t="shared" si="11"/>
        <v>146.66999999999999</v>
      </c>
      <c r="Q139" t="s">
        <v>30</v>
      </c>
      <c r="R139">
        <v>46151</v>
      </c>
      <c r="S139">
        <v>401768</v>
      </c>
      <c r="T139">
        <v>26583</v>
      </c>
      <c r="U139">
        <f t="shared" si="9"/>
        <v>38.989286100000001</v>
      </c>
    </row>
    <row r="140" spans="1:21" ht="15.75" x14ac:dyDescent="0.25">
      <c r="A140" t="s">
        <v>448</v>
      </c>
      <c r="B140">
        <v>45058</v>
      </c>
      <c r="C140" t="s">
        <v>22</v>
      </c>
      <c r="D140" t="s">
        <v>23</v>
      </c>
      <c r="E140" t="s">
        <v>22</v>
      </c>
      <c r="F140" t="s">
        <v>23</v>
      </c>
      <c r="G140" t="s">
        <v>428</v>
      </c>
      <c r="H140" t="s">
        <v>429</v>
      </c>
      <c r="I140" t="s">
        <v>449</v>
      </c>
      <c r="J140">
        <v>0</v>
      </c>
      <c r="K140" t="s">
        <v>450</v>
      </c>
      <c r="L140" t="s">
        <v>28</v>
      </c>
      <c r="M140">
        <v>67</v>
      </c>
      <c r="N140" t="s">
        <v>29</v>
      </c>
      <c r="O140">
        <f t="shared" si="10"/>
        <v>67</v>
      </c>
      <c r="P140">
        <f t="shared" si="11"/>
        <v>67</v>
      </c>
      <c r="Q140" t="s">
        <v>30</v>
      </c>
      <c r="R140">
        <v>46151</v>
      </c>
      <c r="S140">
        <v>401768</v>
      </c>
      <c r="T140">
        <v>17790</v>
      </c>
      <c r="U140">
        <f t="shared" si="9"/>
        <v>11.9193</v>
      </c>
    </row>
    <row r="141" spans="1:21" ht="15.75" x14ac:dyDescent="0.25">
      <c r="A141" t="s">
        <v>451</v>
      </c>
      <c r="B141">
        <v>45058</v>
      </c>
      <c r="C141" t="s">
        <v>22</v>
      </c>
      <c r="D141" t="s">
        <v>23</v>
      </c>
      <c r="E141" t="s">
        <v>22</v>
      </c>
      <c r="F141" t="s">
        <v>23</v>
      </c>
      <c r="G141" t="s">
        <v>428</v>
      </c>
      <c r="H141" t="s">
        <v>429</v>
      </c>
      <c r="I141" t="s">
        <v>452</v>
      </c>
      <c r="J141">
        <v>0</v>
      </c>
      <c r="K141" t="s">
        <v>453</v>
      </c>
      <c r="L141" t="s">
        <v>28</v>
      </c>
      <c r="M141">
        <v>66.98</v>
      </c>
      <c r="N141" t="s">
        <v>29</v>
      </c>
      <c r="O141">
        <f t="shared" si="10"/>
        <v>66.98</v>
      </c>
      <c r="P141">
        <f t="shared" si="11"/>
        <v>66.98</v>
      </c>
      <c r="Q141" t="s">
        <v>30</v>
      </c>
      <c r="R141">
        <v>46151</v>
      </c>
      <c r="S141">
        <v>401768</v>
      </c>
      <c r="T141">
        <v>17790</v>
      </c>
      <c r="U141">
        <f t="shared" si="9"/>
        <v>11.915742000000002</v>
      </c>
    </row>
    <row r="142" spans="1:21" ht="15.75" x14ac:dyDescent="0.25">
      <c r="A142" t="s">
        <v>454</v>
      </c>
      <c r="B142">
        <v>45058</v>
      </c>
      <c r="C142" t="s">
        <v>22</v>
      </c>
      <c r="D142" t="s">
        <v>23</v>
      </c>
      <c r="E142" t="s">
        <v>22</v>
      </c>
      <c r="F142" t="s">
        <v>23</v>
      </c>
      <c r="G142" t="s">
        <v>428</v>
      </c>
      <c r="H142" t="s">
        <v>429</v>
      </c>
      <c r="I142" t="s">
        <v>455</v>
      </c>
      <c r="J142">
        <v>0</v>
      </c>
      <c r="K142" t="s">
        <v>456</v>
      </c>
      <c r="L142" t="s">
        <v>28</v>
      </c>
      <c r="M142">
        <v>65.34</v>
      </c>
      <c r="N142" t="s">
        <v>29</v>
      </c>
      <c r="O142">
        <f t="shared" si="10"/>
        <v>65.34</v>
      </c>
      <c r="P142">
        <f t="shared" si="11"/>
        <v>65.34</v>
      </c>
      <c r="Q142" t="s">
        <v>30</v>
      </c>
      <c r="R142">
        <v>46151</v>
      </c>
      <c r="S142">
        <v>401768</v>
      </c>
      <c r="T142">
        <v>11433</v>
      </c>
      <c r="U142">
        <f t="shared" si="9"/>
        <v>7.4703222000000009</v>
      </c>
    </row>
    <row r="143" spans="1:21" ht="15.75" x14ac:dyDescent="0.25">
      <c r="A143" t="s">
        <v>457</v>
      </c>
      <c r="B143">
        <v>45058</v>
      </c>
      <c r="C143" t="s">
        <v>22</v>
      </c>
      <c r="D143" t="s">
        <v>23</v>
      </c>
      <c r="E143" t="s">
        <v>22</v>
      </c>
      <c r="F143" t="s">
        <v>23</v>
      </c>
      <c r="G143" t="s">
        <v>428</v>
      </c>
      <c r="H143" t="s">
        <v>429</v>
      </c>
      <c r="I143" t="s">
        <v>458</v>
      </c>
      <c r="J143">
        <v>0</v>
      </c>
      <c r="K143" t="s">
        <v>459</v>
      </c>
      <c r="L143" t="s">
        <v>28</v>
      </c>
      <c r="M143">
        <v>64.84</v>
      </c>
      <c r="N143" t="s">
        <v>29</v>
      </c>
      <c r="O143">
        <f t="shared" si="10"/>
        <v>64.84</v>
      </c>
      <c r="P143">
        <f t="shared" si="11"/>
        <v>64.84</v>
      </c>
      <c r="Q143" t="s">
        <v>30</v>
      </c>
      <c r="R143">
        <v>46151</v>
      </c>
      <c r="S143">
        <v>401768</v>
      </c>
      <c r="T143">
        <v>11433</v>
      </c>
      <c r="U143">
        <f t="shared" si="9"/>
        <v>7.4131572000000006</v>
      </c>
    </row>
    <row r="144" spans="1:21" ht="15.75" x14ac:dyDescent="0.25">
      <c r="A144" t="s">
        <v>460</v>
      </c>
      <c r="B144">
        <v>45100</v>
      </c>
      <c r="C144" t="s">
        <v>22</v>
      </c>
      <c r="D144" t="s">
        <v>23</v>
      </c>
      <c r="E144" t="s">
        <v>22</v>
      </c>
      <c r="F144" t="s">
        <v>23</v>
      </c>
      <c r="G144" t="s">
        <v>428</v>
      </c>
      <c r="H144" t="s">
        <v>429</v>
      </c>
      <c r="I144" t="s">
        <v>461</v>
      </c>
      <c r="J144">
        <v>0</v>
      </c>
      <c r="K144" t="s">
        <v>462</v>
      </c>
      <c r="L144" t="s">
        <v>28</v>
      </c>
      <c r="M144">
        <v>60.97</v>
      </c>
      <c r="N144" t="s">
        <v>29</v>
      </c>
      <c r="O144">
        <f t="shared" si="10"/>
        <v>60.97</v>
      </c>
      <c r="P144">
        <f t="shared" si="11"/>
        <v>60.97</v>
      </c>
      <c r="Q144" t="s">
        <v>30</v>
      </c>
      <c r="R144">
        <v>46151</v>
      </c>
      <c r="S144">
        <v>401768</v>
      </c>
      <c r="U144">
        <f t="shared" si="9"/>
        <v>0</v>
      </c>
    </row>
    <row r="145" spans="1:21" ht="15.75" x14ac:dyDescent="0.25">
      <c r="A145" t="s">
        <v>463</v>
      </c>
      <c r="B145">
        <v>45100</v>
      </c>
      <c r="C145" t="s">
        <v>22</v>
      </c>
      <c r="D145" t="s">
        <v>23</v>
      </c>
      <c r="E145" t="s">
        <v>22</v>
      </c>
      <c r="F145" t="s">
        <v>23</v>
      </c>
      <c r="G145" t="s">
        <v>428</v>
      </c>
      <c r="H145" t="s">
        <v>429</v>
      </c>
      <c r="I145" t="s">
        <v>464</v>
      </c>
      <c r="J145">
        <v>0</v>
      </c>
      <c r="K145" t="s">
        <v>465</v>
      </c>
      <c r="L145" t="s">
        <v>28</v>
      </c>
      <c r="M145">
        <v>62.38</v>
      </c>
      <c r="N145" t="s">
        <v>29</v>
      </c>
      <c r="O145">
        <f t="shared" si="10"/>
        <v>62.38</v>
      </c>
      <c r="P145">
        <f t="shared" si="11"/>
        <v>62.38</v>
      </c>
      <c r="Q145" t="s">
        <v>30</v>
      </c>
      <c r="R145">
        <v>46151</v>
      </c>
      <c r="S145">
        <v>401768</v>
      </c>
      <c r="U145">
        <f t="shared" si="9"/>
        <v>0</v>
      </c>
    </row>
    <row r="146" spans="1:21" ht="15.75" x14ac:dyDescent="0.25">
      <c r="A146" t="s">
        <v>466</v>
      </c>
      <c r="B146">
        <v>45100</v>
      </c>
      <c r="C146" t="s">
        <v>22</v>
      </c>
      <c r="D146" t="s">
        <v>23</v>
      </c>
      <c r="E146" t="s">
        <v>22</v>
      </c>
      <c r="F146" t="s">
        <v>23</v>
      </c>
      <c r="G146" t="s">
        <v>428</v>
      </c>
      <c r="H146" t="s">
        <v>429</v>
      </c>
      <c r="I146" t="s">
        <v>467</v>
      </c>
      <c r="J146">
        <v>0</v>
      </c>
      <c r="K146" t="s">
        <v>468</v>
      </c>
      <c r="L146" t="s">
        <v>28</v>
      </c>
      <c r="M146">
        <v>76</v>
      </c>
      <c r="N146" t="s">
        <v>29</v>
      </c>
      <c r="O146">
        <f t="shared" si="10"/>
        <v>76</v>
      </c>
      <c r="P146">
        <f t="shared" si="11"/>
        <v>76</v>
      </c>
      <c r="Q146" t="s">
        <v>30</v>
      </c>
      <c r="R146">
        <v>46151</v>
      </c>
      <c r="S146">
        <v>401768</v>
      </c>
      <c r="T146">
        <v>25276</v>
      </c>
      <c r="U146">
        <f t="shared" si="9"/>
        <v>19.209759999999999</v>
      </c>
    </row>
    <row r="147" spans="1:21" ht="15.75" x14ac:dyDescent="0.25">
      <c r="A147" t="s">
        <v>469</v>
      </c>
      <c r="B147">
        <v>45100</v>
      </c>
      <c r="C147" t="s">
        <v>22</v>
      </c>
      <c r="D147" t="s">
        <v>23</v>
      </c>
      <c r="E147" t="s">
        <v>22</v>
      </c>
      <c r="F147" t="s">
        <v>23</v>
      </c>
      <c r="G147" t="s">
        <v>428</v>
      </c>
      <c r="H147" t="s">
        <v>429</v>
      </c>
      <c r="I147" t="s">
        <v>470</v>
      </c>
      <c r="J147">
        <v>0</v>
      </c>
      <c r="K147" t="s">
        <v>471</v>
      </c>
      <c r="L147" t="s">
        <v>28</v>
      </c>
      <c r="M147">
        <v>75.88</v>
      </c>
      <c r="N147" t="s">
        <v>29</v>
      </c>
      <c r="O147">
        <f t="shared" si="10"/>
        <v>75.88</v>
      </c>
      <c r="P147">
        <f t="shared" si="11"/>
        <v>75.88</v>
      </c>
      <c r="Q147" t="s">
        <v>30</v>
      </c>
      <c r="R147">
        <v>46151</v>
      </c>
      <c r="S147">
        <v>401768</v>
      </c>
      <c r="T147">
        <v>25276</v>
      </c>
      <c r="U147">
        <f t="shared" si="9"/>
        <v>19.1794288</v>
      </c>
    </row>
    <row r="148" spans="1:21" ht="15.75" x14ac:dyDescent="0.25">
      <c r="A148" t="s">
        <v>472</v>
      </c>
      <c r="B148">
        <v>45100</v>
      </c>
      <c r="C148" t="s">
        <v>22</v>
      </c>
      <c r="D148" t="s">
        <v>23</v>
      </c>
      <c r="E148" t="s">
        <v>22</v>
      </c>
      <c r="F148" t="s">
        <v>23</v>
      </c>
      <c r="G148" t="s">
        <v>428</v>
      </c>
      <c r="H148" t="s">
        <v>429</v>
      </c>
      <c r="I148" t="s">
        <v>473</v>
      </c>
      <c r="J148">
        <v>0</v>
      </c>
      <c r="K148" t="s">
        <v>474</v>
      </c>
      <c r="L148" t="s">
        <v>28</v>
      </c>
      <c r="M148">
        <v>175</v>
      </c>
      <c r="N148" t="s">
        <v>29</v>
      </c>
      <c r="O148">
        <f t="shared" si="10"/>
        <v>175</v>
      </c>
      <c r="P148">
        <f t="shared" si="11"/>
        <v>175</v>
      </c>
      <c r="Q148" t="s">
        <v>30</v>
      </c>
      <c r="R148">
        <v>45100</v>
      </c>
      <c r="S148">
        <v>401768</v>
      </c>
      <c r="U148">
        <f t="shared" si="9"/>
        <v>0</v>
      </c>
    </row>
    <row r="149" spans="1:21" ht="15.75" x14ac:dyDescent="0.25">
      <c r="A149" t="s">
        <v>475</v>
      </c>
      <c r="B149">
        <v>45163</v>
      </c>
      <c r="C149" t="s">
        <v>22</v>
      </c>
      <c r="D149" t="s">
        <v>23</v>
      </c>
      <c r="E149" t="s">
        <v>22</v>
      </c>
      <c r="F149" t="s">
        <v>23</v>
      </c>
      <c r="G149" t="s">
        <v>428</v>
      </c>
      <c r="H149" t="s">
        <v>429</v>
      </c>
      <c r="I149" t="s">
        <v>476</v>
      </c>
      <c r="J149">
        <v>0</v>
      </c>
      <c r="K149" t="s">
        <v>477</v>
      </c>
      <c r="L149" t="s">
        <v>28</v>
      </c>
      <c r="M149">
        <v>106.75</v>
      </c>
      <c r="N149" t="s">
        <v>29</v>
      </c>
      <c r="O149">
        <f t="shared" si="10"/>
        <v>106.75</v>
      </c>
      <c r="P149">
        <f t="shared" si="11"/>
        <v>106.75</v>
      </c>
      <c r="Q149" t="s">
        <v>30</v>
      </c>
      <c r="R149">
        <v>45185</v>
      </c>
      <c r="S149">
        <v>401768</v>
      </c>
      <c r="T149">
        <v>5688</v>
      </c>
      <c r="U149">
        <f t="shared" si="9"/>
        <v>6.0719399999999997</v>
      </c>
    </row>
    <row r="150" spans="1:21" ht="15.75" x14ac:dyDescent="0.25">
      <c r="A150" t="s">
        <v>478</v>
      </c>
      <c r="B150">
        <v>45163</v>
      </c>
      <c r="C150" t="s">
        <v>22</v>
      </c>
      <c r="D150" t="s">
        <v>23</v>
      </c>
      <c r="E150" t="s">
        <v>22</v>
      </c>
      <c r="F150" t="s">
        <v>23</v>
      </c>
      <c r="G150" t="s">
        <v>428</v>
      </c>
      <c r="H150" t="s">
        <v>429</v>
      </c>
      <c r="I150" t="s">
        <v>479</v>
      </c>
      <c r="J150">
        <v>0</v>
      </c>
      <c r="K150" t="s">
        <v>480</v>
      </c>
      <c r="L150" t="s">
        <v>28</v>
      </c>
      <c r="M150">
        <v>106.75</v>
      </c>
      <c r="N150" t="s">
        <v>29</v>
      </c>
      <c r="O150">
        <f t="shared" si="10"/>
        <v>106.75</v>
      </c>
      <c r="P150">
        <f t="shared" si="11"/>
        <v>106.75</v>
      </c>
      <c r="Q150" t="s">
        <v>30</v>
      </c>
      <c r="R150">
        <v>45185</v>
      </c>
      <c r="S150">
        <v>401768</v>
      </c>
      <c r="U150">
        <f t="shared" si="9"/>
        <v>0</v>
      </c>
    </row>
    <row r="151" spans="1:21" ht="15.75" x14ac:dyDescent="0.25">
      <c r="A151" t="s">
        <v>481</v>
      </c>
      <c r="B151">
        <v>45292</v>
      </c>
      <c r="C151" t="s">
        <v>22</v>
      </c>
      <c r="D151" t="s">
        <v>23</v>
      </c>
      <c r="E151" t="s">
        <v>22</v>
      </c>
      <c r="F151" t="s">
        <v>23</v>
      </c>
      <c r="G151" t="s">
        <v>428</v>
      </c>
      <c r="H151" t="s">
        <v>429</v>
      </c>
      <c r="I151" t="s">
        <v>482</v>
      </c>
      <c r="J151">
        <v>0</v>
      </c>
      <c r="K151" t="s">
        <v>483</v>
      </c>
      <c r="L151" t="s">
        <v>28</v>
      </c>
      <c r="M151">
        <v>52</v>
      </c>
      <c r="N151" t="s">
        <v>29</v>
      </c>
      <c r="O151">
        <f t="shared" si="10"/>
        <v>52</v>
      </c>
      <c r="P151">
        <f t="shared" si="11"/>
        <v>52</v>
      </c>
      <c r="Q151" t="s">
        <v>30</v>
      </c>
      <c r="R151">
        <v>45292</v>
      </c>
      <c r="S151">
        <v>401768</v>
      </c>
      <c r="U151">
        <f t="shared" si="9"/>
        <v>0</v>
      </c>
    </row>
    <row r="152" spans="1:21" ht="15.75" x14ac:dyDescent="0.25">
      <c r="A152" t="s">
        <v>484</v>
      </c>
      <c r="B152">
        <v>45313</v>
      </c>
      <c r="C152" t="s">
        <v>22</v>
      </c>
      <c r="D152" t="s">
        <v>23</v>
      </c>
      <c r="E152" t="s">
        <v>22</v>
      </c>
      <c r="F152" t="s">
        <v>23</v>
      </c>
      <c r="G152" t="s">
        <v>428</v>
      </c>
      <c r="H152" t="s">
        <v>429</v>
      </c>
      <c r="I152" t="s">
        <v>485</v>
      </c>
      <c r="J152">
        <v>0</v>
      </c>
      <c r="K152" t="s">
        <v>486</v>
      </c>
      <c r="L152" t="s">
        <v>28</v>
      </c>
      <c r="M152">
        <v>150.91</v>
      </c>
      <c r="N152" t="s">
        <v>29</v>
      </c>
      <c r="O152">
        <f t="shared" si="10"/>
        <v>150.91</v>
      </c>
      <c r="P152">
        <f t="shared" si="11"/>
        <v>150.91</v>
      </c>
      <c r="Q152" t="s">
        <v>30</v>
      </c>
      <c r="R152">
        <v>46151</v>
      </c>
      <c r="S152">
        <v>401768</v>
      </c>
      <c r="U152">
        <f t="shared" si="9"/>
        <v>0</v>
      </c>
    </row>
    <row r="153" spans="1:21" ht="15.75" x14ac:dyDescent="0.25">
      <c r="A153" t="s">
        <v>487</v>
      </c>
      <c r="B153">
        <v>45314</v>
      </c>
      <c r="C153" t="s">
        <v>22</v>
      </c>
      <c r="D153" t="s">
        <v>23</v>
      </c>
      <c r="E153" t="s">
        <v>22</v>
      </c>
      <c r="F153" t="s">
        <v>23</v>
      </c>
      <c r="G153" t="s">
        <v>428</v>
      </c>
      <c r="H153" t="s">
        <v>429</v>
      </c>
      <c r="I153" t="s">
        <v>488</v>
      </c>
      <c r="J153">
        <v>0</v>
      </c>
      <c r="K153" t="s">
        <v>489</v>
      </c>
      <c r="L153" t="s">
        <v>28</v>
      </c>
      <c r="M153">
        <v>150.91</v>
      </c>
      <c r="N153" t="s">
        <v>29</v>
      </c>
      <c r="O153">
        <f t="shared" si="10"/>
        <v>150.91</v>
      </c>
      <c r="P153">
        <f t="shared" si="11"/>
        <v>150.91</v>
      </c>
      <c r="Q153" t="s">
        <v>30</v>
      </c>
      <c r="R153">
        <v>46151</v>
      </c>
      <c r="S153">
        <v>401768</v>
      </c>
      <c r="U153">
        <f t="shared" si="9"/>
        <v>0</v>
      </c>
    </row>
    <row r="154" spans="1:21" ht="15.75" x14ac:dyDescent="0.25">
      <c r="A154" t="s">
        <v>490</v>
      </c>
      <c r="B154">
        <v>45338</v>
      </c>
      <c r="C154" t="s">
        <v>22</v>
      </c>
      <c r="D154" t="s">
        <v>23</v>
      </c>
      <c r="E154" t="s">
        <v>22</v>
      </c>
      <c r="F154" t="s">
        <v>23</v>
      </c>
      <c r="G154" t="s">
        <v>428</v>
      </c>
      <c r="H154" t="s">
        <v>429</v>
      </c>
      <c r="I154" t="s">
        <v>491</v>
      </c>
      <c r="J154">
        <v>0</v>
      </c>
      <c r="K154" t="s">
        <v>492</v>
      </c>
      <c r="L154" t="s">
        <v>28</v>
      </c>
      <c r="M154">
        <v>185.09</v>
      </c>
      <c r="N154" t="s">
        <v>29</v>
      </c>
      <c r="O154">
        <f t="shared" si="10"/>
        <v>185.09</v>
      </c>
      <c r="P154">
        <f t="shared" si="11"/>
        <v>185.09</v>
      </c>
      <c r="Q154" t="s">
        <v>30</v>
      </c>
      <c r="R154">
        <v>45952</v>
      </c>
      <c r="S154">
        <v>401768</v>
      </c>
      <c r="U154">
        <f t="shared" si="9"/>
        <v>0</v>
      </c>
    </row>
    <row r="155" spans="1:21" ht="15.75" x14ac:dyDescent="0.25">
      <c r="A155" t="s">
        <v>493</v>
      </c>
      <c r="B155">
        <v>45464</v>
      </c>
      <c r="C155" t="s">
        <v>22</v>
      </c>
      <c r="D155" t="s">
        <v>23</v>
      </c>
      <c r="E155" t="s">
        <v>22</v>
      </c>
      <c r="F155" t="s">
        <v>23</v>
      </c>
      <c r="G155" t="s">
        <v>428</v>
      </c>
      <c r="H155" t="s">
        <v>429</v>
      </c>
      <c r="I155" t="s">
        <v>494</v>
      </c>
      <c r="J155">
        <v>0</v>
      </c>
      <c r="K155" t="s">
        <v>495</v>
      </c>
      <c r="L155" t="s">
        <v>28</v>
      </c>
      <c r="M155">
        <v>66.959999999999994</v>
      </c>
      <c r="N155" t="s">
        <v>29</v>
      </c>
      <c r="O155">
        <f t="shared" si="10"/>
        <v>66.959999999999994</v>
      </c>
      <c r="P155">
        <f t="shared" si="11"/>
        <v>66.959999999999994</v>
      </c>
      <c r="Q155" t="s">
        <v>30</v>
      </c>
      <c r="R155">
        <v>46151</v>
      </c>
      <c r="S155">
        <v>401768</v>
      </c>
      <c r="T155">
        <v>1156</v>
      </c>
      <c r="U155">
        <f t="shared" si="9"/>
        <v>0.7740575999999999</v>
      </c>
    </row>
    <row r="156" spans="1:21" ht="15.75" x14ac:dyDescent="0.25">
      <c r="A156" t="s">
        <v>496</v>
      </c>
      <c r="B156">
        <v>45464</v>
      </c>
      <c r="C156" t="s">
        <v>22</v>
      </c>
      <c r="D156" t="s">
        <v>23</v>
      </c>
      <c r="E156" t="s">
        <v>22</v>
      </c>
      <c r="F156" t="s">
        <v>23</v>
      </c>
      <c r="G156" t="s">
        <v>428</v>
      </c>
      <c r="H156" t="s">
        <v>429</v>
      </c>
      <c r="I156" t="s">
        <v>497</v>
      </c>
      <c r="J156">
        <v>0</v>
      </c>
      <c r="K156" t="s">
        <v>498</v>
      </c>
      <c r="L156" t="s">
        <v>28</v>
      </c>
      <c r="M156">
        <v>66.44</v>
      </c>
      <c r="N156" t="s">
        <v>29</v>
      </c>
      <c r="O156">
        <f t="shared" si="10"/>
        <v>66.44</v>
      </c>
      <c r="P156">
        <f t="shared" si="11"/>
        <v>66.44</v>
      </c>
      <c r="Q156" t="s">
        <v>30</v>
      </c>
      <c r="R156">
        <v>46151</v>
      </c>
      <c r="S156">
        <v>401768</v>
      </c>
      <c r="T156">
        <v>1156</v>
      </c>
      <c r="U156">
        <f t="shared" si="9"/>
        <v>0.76804640000000002</v>
      </c>
    </row>
    <row r="157" spans="1:21" ht="15.75" x14ac:dyDescent="0.25">
      <c r="A157" t="s">
        <v>499</v>
      </c>
      <c r="B157">
        <v>45541</v>
      </c>
      <c r="C157" t="s">
        <v>22</v>
      </c>
      <c r="D157" t="s">
        <v>23</v>
      </c>
      <c r="E157" t="s">
        <v>22</v>
      </c>
      <c r="F157" t="s">
        <v>23</v>
      </c>
      <c r="G157" t="s">
        <v>428</v>
      </c>
      <c r="H157" t="s">
        <v>429</v>
      </c>
      <c r="I157" t="s">
        <v>500</v>
      </c>
      <c r="J157">
        <v>0</v>
      </c>
      <c r="K157" t="s">
        <v>501</v>
      </c>
      <c r="L157" t="s">
        <v>28</v>
      </c>
      <c r="M157">
        <v>64.25</v>
      </c>
      <c r="N157" t="s">
        <v>29</v>
      </c>
      <c r="O157">
        <f t="shared" si="10"/>
        <v>64.25</v>
      </c>
      <c r="P157">
        <f t="shared" si="11"/>
        <v>64.25</v>
      </c>
      <c r="Q157" t="s">
        <v>30</v>
      </c>
      <c r="R157">
        <v>46151</v>
      </c>
      <c r="S157">
        <v>401768</v>
      </c>
      <c r="T157">
        <v>375</v>
      </c>
      <c r="U157">
        <f t="shared" si="9"/>
        <v>0.2409375</v>
      </c>
    </row>
    <row r="158" spans="1:21" ht="15.75" x14ac:dyDescent="0.25">
      <c r="A158" t="s">
        <v>502</v>
      </c>
      <c r="B158">
        <v>45541</v>
      </c>
      <c r="C158" t="s">
        <v>22</v>
      </c>
      <c r="D158" t="s">
        <v>23</v>
      </c>
      <c r="E158" t="s">
        <v>22</v>
      </c>
      <c r="F158" t="s">
        <v>23</v>
      </c>
      <c r="G158" t="s">
        <v>428</v>
      </c>
      <c r="H158" t="s">
        <v>429</v>
      </c>
      <c r="I158" t="s">
        <v>503</v>
      </c>
      <c r="J158">
        <v>0</v>
      </c>
      <c r="K158" t="s">
        <v>504</v>
      </c>
      <c r="L158" t="s">
        <v>28</v>
      </c>
      <c r="M158">
        <v>65.25</v>
      </c>
      <c r="N158" t="s">
        <v>29</v>
      </c>
      <c r="O158">
        <f t="shared" si="10"/>
        <v>65.25</v>
      </c>
      <c r="P158">
        <f t="shared" si="11"/>
        <v>65.25</v>
      </c>
      <c r="Q158" t="s">
        <v>30</v>
      </c>
      <c r="R158">
        <v>46151</v>
      </c>
      <c r="S158">
        <v>401768</v>
      </c>
      <c r="T158">
        <v>375</v>
      </c>
      <c r="U158">
        <f t="shared" si="9"/>
        <v>0.2446875</v>
      </c>
    </row>
    <row r="159" spans="1:21" ht="15.75" x14ac:dyDescent="0.25">
      <c r="A159" t="s">
        <v>505</v>
      </c>
      <c r="B159">
        <v>45541</v>
      </c>
      <c r="C159" t="s">
        <v>22</v>
      </c>
      <c r="D159" t="s">
        <v>23</v>
      </c>
      <c r="E159" t="s">
        <v>22</v>
      </c>
      <c r="F159" t="s">
        <v>23</v>
      </c>
      <c r="G159" t="s">
        <v>428</v>
      </c>
      <c r="H159" t="s">
        <v>429</v>
      </c>
      <c r="I159" t="s">
        <v>506</v>
      </c>
      <c r="J159">
        <v>0</v>
      </c>
      <c r="K159" t="s">
        <v>501</v>
      </c>
      <c r="L159" t="s">
        <v>28</v>
      </c>
      <c r="M159">
        <v>49</v>
      </c>
      <c r="N159" t="s">
        <v>29</v>
      </c>
      <c r="O159">
        <f t="shared" si="10"/>
        <v>49</v>
      </c>
      <c r="P159">
        <f t="shared" si="11"/>
        <v>49</v>
      </c>
      <c r="Q159" t="s">
        <v>30</v>
      </c>
      <c r="R159">
        <v>45541</v>
      </c>
      <c r="S159">
        <v>401768</v>
      </c>
      <c r="U159">
        <f t="shared" si="9"/>
        <v>0</v>
      </c>
    </row>
    <row r="160" spans="1:21" ht="15.75" x14ac:dyDescent="0.25">
      <c r="A160" t="s">
        <v>507</v>
      </c>
      <c r="B160">
        <v>45541</v>
      </c>
      <c r="C160" t="s">
        <v>22</v>
      </c>
      <c r="D160" t="s">
        <v>23</v>
      </c>
      <c r="E160" t="s">
        <v>22</v>
      </c>
      <c r="F160" t="s">
        <v>23</v>
      </c>
      <c r="G160" t="s">
        <v>428</v>
      </c>
      <c r="H160" t="s">
        <v>429</v>
      </c>
      <c r="I160" t="s">
        <v>508</v>
      </c>
      <c r="J160">
        <v>0</v>
      </c>
      <c r="K160" t="s">
        <v>504</v>
      </c>
      <c r="L160" t="s">
        <v>28</v>
      </c>
      <c r="M160">
        <v>49</v>
      </c>
      <c r="N160" t="s">
        <v>29</v>
      </c>
      <c r="O160">
        <f t="shared" si="10"/>
        <v>49</v>
      </c>
      <c r="P160">
        <f t="shared" si="11"/>
        <v>49</v>
      </c>
      <c r="Q160" t="s">
        <v>30</v>
      </c>
      <c r="R160">
        <v>45541</v>
      </c>
      <c r="S160">
        <v>401768</v>
      </c>
      <c r="U160">
        <f t="shared" si="9"/>
        <v>0</v>
      </c>
    </row>
    <row r="161" spans="1:21" ht="15.75" x14ac:dyDescent="0.25">
      <c r="A161" t="s">
        <v>509</v>
      </c>
      <c r="B161">
        <v>45653</v>
      </c>
      <c r="C161" t="s">
        <v>22</v>
      </c>
      <c r="D161" t="s">
        <v>23</v>
      </c>
      <c r="E161" t="s">
        <v>22</v>
      </c>
      <c r="F161" t="s">
        <v>23</v>
      </c>
      <c r="G161" t="s">
        <v>428</v>
      </c>
      <c r="H161" t="s">
        <v>429</v>
      </c>
      <c r="I161" t="s">
        <v>510</v>
      </c>
      <c r="J161">
        <v>0</v>
      </c>
      <c r="K161" t="s">
        <v>511</v>
      </c>
      <c r="L161" t="s">
        <v>28</v>
      </c>
      <c r="M161">
        <v>20</v>
      </c>
      <c r="N161" t="s">
        <v>29</v>
      </c>
      <c r="O161">
        <f t="shared" si="10"/>
        <v>20</v>
      </c>
      <c r="P161">
        <f t="shared" si="11"/>
        <v>20</v>
      </c>
      <c r="Q161" t="s">
        <v>30</v>
      </c>
      <c r="R161">
        <v>45653</v>
      </c>
      <c r="S161">
        <v>401768</v>
      </c>
      <c r="U161">
        <f t="shared" si="9"/>
        <v>0</v>
      </c>
    </row>
    <row r="162" spans="1:21" ht="15.75" x14ac:dyDescent="0.25">
      <c r="A162" t="s">
        <v>512</v>
      </c>
      <c r="B162">
        <v>45653</v>
      </c>
      <c r="C162" t="s">
        <v>22</v>
      </c>
      <c r="D162" t="s">
        <v>23</v>
      </c>
      <c r="E162" t="s">
        <v>22</v>
      </c>
      <c r="F162" t="s">
        <v>23</v>
      </c>
      <c r="G162" t="s">
        <v>428</v>
      </c>
      <c r="H162" t="s">
        <v>429</v>
      </c>
      <c r="I162" t="s">
        <v>513</v>
      </c>
      <c r="J162">
        <v>0</v>
      </c>
      <c r="K162" t="s">
        <v>514</v>
      </c>
      <c r="L162" t="s">
        <v>28</v>
      </c>
      <c r="M162">
        <v>20</v>
      </c>
      <c r="N162" t="s">
        <v>29</v>
      </c>
      <c r="O162">
        <f t="shared" si="10"/>
        <v>20</v>
      </c>
      <c r="P162">
        <f t="shared" si="11"/>
        <v>20</v>
      </c>
      <c r="Q162" t="s">
        <v>30</v>
      </c>
      <c r="R162">
        <v>45653</v>
      </c>
      <c r="S162">
        <v>401768</v>
      </c>
      <c r="U162">
        <f t="shared" si="9"/>
        <v>0</v>
      </c>
    </row>
    <row r="163" spans="1:21" ht="15.75" x14ac:dyDescent="0.25">
      <c r="A163" t="s">
        <v>515</v>
      </c>
      <c r="B163">
        <v>45706</v>
      </c>
      <c r="C163" t="s">
        <v>22</v>
      </c>
      <c r="D163" t="s">
        <v>23</v>
      </c>
      <c r="E163" t="s">
        <v>22</v>
      </c>
      <c r="F163" t="s">
        <v>23</v>
      </c>
      <c r="G163" t="s">
        <v>428</v>
      </c>
      <c r="H163" t="s">
        <v>429</v>
      </c>
      <c r="I163" t="s">
        <v>516</v>
      </c>
      <c r="J163">
        <v>0</v>
      </c>
      <c r="K163" t="s">
        <v>517</v>
      </c>
      <c r="L163" t="s">
        <v>28</v>
      </c>
      <c r="M163">
        <v>147.46</v>
      </c>
      <c r="N163" t="s">
        <v>29</v>
      </c>
      <c r="O163">
        <f t="shared" si="10"/>
        <v>147.46</v>
      </c>
      <c r="P163">
        <f t="shared" si="11"/>
        <v>147.46</v>
      </c>
      <c r="Q163" t="s">
        <v>30</v>
      </c>
      <c r="R163">
        <v>46121</v>
      </c>
      <c r="S163">
        <v>401768</v>
      </c>
      <c r="U163">
        <f t="shared" si="9"/>
        <v>0</v>
      </c>
    </row>
    <row r="164" spans="1:21" ht="15.75" x14ac:dyDescent="0.25">
      <c r="A164" t="s">
        <v>518</v>
      </c>
      <c r="B164">
        <v>45959</v>
      </c>
      <c r="C164" t="s">
        <v>22</v>
      </c>
      <c r="D164" t="s">
        <v>23</v>
      </c>
      <c r="E164" t="s">
        <v>22</v>
      </c>
      <c r="F164" t="s">
        <v>23</v>
      </c>
      <c r="G164" t="s">
        <v>428</v>
      </c>
      <c r="H164" t="s">
        <v>429</v>
      </c>
      <c r="I164" t="s">
        <v>519</v>
      </c>
      <c r="J164">
        <v>0</v>
      </c>
      <c r="K164" t="s">
        <v>520</v>
      </c>
      <c r="L164" t="s">
        <v>28</v>
      </c>
      <c r="M164">
        <v>216.47</v>
      </c>
      <c r="N164" t="s">
        <v>29</v>
      </c>
      <c r="O164">
        <f t="shared" si="10"/>
        <v>216.47</v>
      </c>
      <c r="P164">
        <f t="shared" si="11"/>
        <v>216.47</v>
      </c>
      <c r="Q164" t="s">
        <v>30</v>
      </c>
      <c r="R164">
        <v>46151</v>
      </c>
      <c r="S164">
        <v>401768</v>
      </c>
      <c r="T164">
        <f>312*25</f>
        <v>7800</v>
      </c>
      <c r="U164">
        <f t="shared" si="9"/>
        <v>16.88466</v>
      </c>
    </row>
    <row r="165" spans="1:21" ht="15.75" x14ac:dyDescent="0.25">
      <c r="A165" t="s">
        <v>521</v>
      </c>
      <c r="B165">
        <v>43959</v>
      </c>
      <c r="C165" t="s">
        <v>22</v>
      </c>
      <c r="D165" t="s">
        <v>23</v>
      </c>
      <c r="E165" t="s">
        <v>22</v>
      </c>
      <c r="F165" t="s">
        <v>23</v>
      </c>
      <c r="G165" t="s">
        <v>522</v>
      </c>
      <c r="H165" t="s">
        <v>523</v>
      </c>
      <c r="I165" t="s">
        <v>524</v>
      </c>
      <c r="J165">
        <v>0</v>
      </c>
      <c r="K165" t="s">
        <v>525</v>
      </c>
      <c r="L165" t="s">
        <v>28</v>
      </c>
      <c r="M165">
        <v>29</v>
      </c>
      <c r="N165" t="s">
        <v>160</v>
      </c>
      <c r="O165">
        <v>95</v>
      </c>
      <c r="P165">
        <f>O165*M165</f>
        <v>2755</v>
      </c>
      <c r="Q165" t="s">
        <v>30</v>
      </c>
      <c r="R165">
        <v>45131</v>
      </c>
      <c r="S165">
        <v>401768</v>
      </c>
      <c r="U165">
        <f t="shared" si="9"/>
        <v>0</v>
      </c>
    </row>
    <row r="166" spans="1:21" ht="15.75" x14ac:dyDescent="0.25">
      <c r="A166" t="s">
        <v>526</v>
      </c>
      <c r="B166">
        <v>43959</v>
      </c>
      <c r="C166" t="s">
        <v>22</v>
      </c>
      <c r="D166" t="s">
        <v>23</v>
      </c>
      <c r="E166" t="s">
        <v>22</v>
      </c>
      <c r="F166" t="s">
        <v>23</v>
      </c>
      <c r="G166" t="s">
        <v>522</v>
      </c>
      <c r="H166" t="s">
        <v>523</v>
      </c>
      <c r="I166" t="s">
        <v>527</v>
      </c>
      <c r="J166">
        <v>0</v>
      </c>
      <c r="K166" t="s">
        <v>528</v>
      </c>
      <c r="L166" t="s">
        <v>28</v>
      </c>
      <c r="M166">
        <v>26</v>
      </c>
      <c r="N166" t="s">
        <v>160</v>
      </c>
      <c r="O166">
        <v>95</v>
      </c>
      <c r="P166">
        <f>O166*M166</f>
        <v>2470</v>
      </c>
      <c r="Q166" t="s">
        <v>30</v>
      </c>
      <c r="R166">
        <v>45131</v>
      </c>
      <c r="S166">
        <v>401768</v>
      </c>
      <c r="U166">
        <f t="shared" si="9"/>
        <v>0</v>
      </c>
    </row>
    <row r="167" spans="1:21" ht="15.75" x14ac:dyDescent="0.25">
      <c r="A167" t="s">
        <v>529</v>
      </c>
      <c r="B167">
        <v>43959</v>
      </c>
      <c r="C167" t="s">
        <v>22</v>
      </c>
      <c r="D167" t="s">
        <v>23</v>
      </c>
      <c r="E167" t="s">
        <v>22</v>
      </c>
      <c r="F167" t="s">
        <v>23</v>
      </c>
      <c r="G167" t="s">
        <v>530</v>
      </c>
      <c r="H167" t="s">
        <v>531</v>
      </c>
      <c r="I167" t="s">
        <v>532</v>
      </c>
      <c r="J167">
        <v>0</v>
      </c>
      <c r="K167" t="s">
        <v>533</v>
      </c>
      <c r="L167" t="s">
        <v>28</v>
      </c>
      <c r="M167">
        <v>141.9</v>
      </c>
      <c r="N167" t="s">
        <v>29</v>
      </c>
      <c r="O167">
        <f>M167</f>
        <v>141.9</v>
      </c>
      <c r="P167">
        <f>O167</f>
        <v>141.9</v>
      </c>
      <c r="Q167" t="s">
        <v>30</v>
      </c>
      <c r="R167">
        <v>43061</v>
      </c>
      <c r="S167">
        <v>401768</v>
      </c>
      <c r="U167">
        <f t="shared" si="9"/>
        <v>0</v>
      </c>
    </row>
    <row r="168" spans="1:21" ht="15.75" x14ac:dyDescent="0.25">
      <c r="A168" t="s">
        <v>534</v>
      </c>
      <c r="B168">
        <v>43959</v>
      </c>
      <c r="C168" t="s">
        <v>22</v>
      </c>
      <c r="D168" t="s">
        <v>23</v>
      </c>
      <c r="E168" t="s">
        <v>22</v>
      </c>
      <c r="F168" t="s">
        <v>23</v>
      </c>
      <c r="G168" t="s">
        <v>530</v>
      </c>
      <c r="H168" t="s">
        <v>531</v>
      </c>
      <c r="I168" t="s">
        <v>535</v>
      </c>
      <c r="J168">
        <v>0</v>
      </c>
      <c r="K168" t="s">
        <v>536</v>
      </c>
      <c r="L168" t="s">
        <v>28</v>
      </c>
      <c r="M168">
        <v>14.5</v>
      </c>
      <c r="N168" t="s">
        <v>29</v>
      </c>
      <c r="O168">
        <f>M168</f>
        <v>14.5</v>
      </c>
      <c r="P168">
        <f>O168</f>
        <v>14.5</v>
      </c>
      <c r="Q168" t="s">
        <v>30</v>
      </c>
      <c r="R168">
        <v>42633</v>
      </c>
      <c r="S168">
        <v>401768</v>
      </c>
      <c r="U168">
        <f t="shared" si="9"/>
        <v>0</v>
      </c>
    </row>
    <row r="169" spans="1:21" ht="15.75" x14ac:dyDescent="0.25">
      <c r="A169" t="s">
        <v>537</v>
      </c>
      <c r="B169">
        <v>43959</v>
      </c>
      <c r="C169" t="s">
        <v>22</v>
      </c>
      <c r="D169" t="s">
        <v>23</v>
      </c>
      <c r="E169" t="s">
        <v>22</v>
      </c>
      <c r="F169" t="s">
        <v>23</v>
      </c>
      <c r="G169" t="s">
        <v>538</v>
      </c>
      <c r="H169" t="s">
        <v>539</v>
      </c>
      <c r="I169" t="s">
        <v>540</v>
      </c>
      <c r="J169">
        <v>0</v>
      </c>
      <c r="K169" t="s">
        <v>541</v>
      </c>
      <c r="L169" t="s">
        <v>28</v>
      </c>
      <c r="M169">
        <v>0.9</v>
      </c>
      <c r="N169" t="s">
        <v>151</v>
      </c>
      <c r="O169">
        <v>110</v>
      </c>
      <c r="P169">
        <f t="shared" ref="P169:P176" si="12">O169*M169</f>
        <v>99</v>
      </c>
      <c r="Q169" t="s">
        <v>30</v>
      </c>
      <c r="R169">
        <v>44469</v>
      </c>
      <c r="S169">
        <v>401768</v>
      </c>
      <c r="U169">
        <f t="shared" si="9"/>
        <v>0</v>
      </c>
    </row>
    <row r="170" spans="1:21" ht="15.75" x14ac:dyDescent="0.25">
      <c r="A170" t="s">
        <v>542</v>
      </c>
      <c r="B170">
        <v>43959</v>
      </c>
      <c r="C170" t="s">
        <v>22</v>
      </c>
      <c r="D170" t="s">
        <v>23</v>
      </c>
      <c r="E170" t="s">
        <v>22</v>
      </c>
      <c r="F170" t="s">
        <v>23</v>
      </c>
      <c r="G170" t="s">
        <v>538</v>
      </c>
      <c r="H170" t="s">
        <v>539</v>
      </c>
      <c r="I170" t="s">
        <v>543</v>
      </c>
      <c r="J170">
        <v>0</v>
      </c>
      <c r="K170" t="s">
        <v>544</v>
      </c>
      <c r="L170" t="s">
        <v>28</v>
      </c>
      <c r="M170">
        <v>1.79</v>
      </c>
      <c r="N170" t="s">
        <v>151</v>
      </c>
      <c r="O170">
        <v>110</v>
      </c>
      <c r="P170">
        <f t="shared" si="12"/>
        <v>196.9</v>
      </c>
      <c r="Q170" t="s">
        <v>30</v>
      </c>
      <c r="R170">
        <v>44469</v>
      </c>
      <c r="S170">
        <v>401768</v>
      </c>
      <c r="U170">
        <f t="shared" si="9"/>
        <v>0</v>
      </c>
    </row>
    <row r="171" spans="1:21" ht="15.75" x14ac:dyDescent="0.25">
      <c r="A171" t="s">
        <v>545</v>
      </c>
      <c r="B171">
        <v>43959</v>
      </c>
      <c r="C171" t="s">
        <v>22</v>
      </c>
      <c r="D171" t="s">
        <v>23</v>
      </c>
      <c r="E171" t="s">
        <v>22</v>
      </c>
      <c r="F171" t="s">
        <v>23</v>
      </c>
      <c r="G171" t="s">
        <v>538</v>
      </c>
      <c r="H171" t="s">
        <v>539</v>
      </c>
      <c r="I171" t="s">
        <v>546</v>
      </c>
      <c r="J171">
        <v>0</v>
      </c>
      <c r="K171" t="s">
        <v>547</v>
      </c>
      <c r="L171" t="s">
        <v>28</v>
      </c>
      <c r="M171">
        <v>1.18</v>
      </c>
      <c r="N171" t="s">
        <v>151</v>
      </c>
      <c r="O171">
        <v>110</v>
      </c>
      <c r="P171">
        <f t="shared" si="12"/>
        <v>129.79999999999998</v>
      </c>
      <c r="Q171" t="s">
        <v>30</v>
      </c>
      <c r="R171">
        <v>41275</v>
      </c>
      <c r="S171">
        <v>401768</v>
      </c>
      <c r="U171">
        <f t="shared" si="9"/>
        <v>0</v>
      </c>
    </row>
    <row r="172" spans="1:21" ht="15.75" x14ac:dyDescent="0.25">
      <c r="A172" t="s">
        <v>548</v>
      </c>
      <c r="B172">
        <v>43959</v>
      </c>
      <c r="C172" t="s">
        <v>22</v>
      </c>
      <c r="D172" t="s">
        <v>23</v>
      </c>
      <c r="E172" t="s">
        <v>22</v>
      </c>
      <c r="F172" t="s">
        <v>23</v>
      </c>
      <c r="G172" t="s">
        <v>538</v>
      </c>
      <c r="H172" t="s">
        <v>539</v>
      </c>
      <c r="I172" t="s">
        <v>549</v>
      </c>
      <c r="J172">
        <v>0</v>
      </c>
      <c r="K172" t="s">
        <v>550</v>
      </c>
      <c r="L172" t="s">
        <v>28</v>
      </c>
      <c r="M172">
        <v>3.36</v>
      </c>
      <c r="N172" t="s">
        <v>151</v>
      </c>
      <c r="O172">
        <v>110</v>
      </c>
      <c r="P172">
        <f t="shared" si="12"/>
        <v>369.59999999999997</v>
      </c>
      <c r="Q172" t="s">
        <v>30</v>
      </c>
      <c r="R172">
        <v>44469</v>
      </c>
      <c r="S172">
        <v>401768</v>
      </c>
      <c r="U172">
        <f t="shared" si="9"/>
        <v>0</v>
      </c>
    </row>
    <row r="173" spans="1:21" ht="15.75" x14ac:dyDescent="0.25">
      <c r="A173" t="s">
        <v>551</v>
      </c>
      <c r="B173">
        <v>43959</v>
      </c>
      <c r="C173" t="s">
        <v>22</v>
      </c>
      <c r="D173" t="s">
        <v>23</v>
      </c>
      <c r="E173" t="s">
        <v>22</v>
      </c>
      <c r="F173" t="s">
        <v>23</v>
      </c>
      <c r="G173" t="s">
        <v>538</v>
      </c>
      <c r="H173" t="s">
        <v>539</v>
      </c>
      <c r="I173" t="s">
        <v>552</v>
      </c>
      <c r="J173">
        <v>0</v>
      </c>
      <c r="K173" t="s">
        <v>553</v>
      </c>
      <c r="L173" t="s">
        <v>28</v>
      </c>
      <c r="M173">
        <v>3</v>
      </c>
      <c r="N173" t="s">
        <v>151</v>
      </c>
      <c r="O173">
        <v>110</v>
      </c>
      <c r="P173">
        <f t="shared" si="12"/>
        <v>330</v>
      </c>
      <c r="Q173" t="s">
        <v>30</v>
      </c>
      <c r="R173">
        <v>45728</v>
      </c>
      <c r="S173">
        <v>401768</v>
      </c>
      <c r="T173">
        <v>500</v>
      </c>
      <c r="U173">
        <f t="shared" si="9"/>
        <v>1.65</v>
      </c>
    </row>
    <row r="174" spans="1:21" ht="15.75" x14ac:dyDescent="0.25">
      <c r="A174" t="s">
        <v>554</v>
      </c>
      <c r="B174">
        <v>43959</v>
      </c>
      <c r="C174" t="s">
        <v>22</v>
      </c>
      <c r="D174" t="s">
        <v>23</v>
      </c>
      <c r="E174" t="s">
        <v>22</v>
      </c>
      <c r="F174" t="s">
        <v>23</v>
      </c>
      <c r="G174" t="s">
        <v>538</v>
      </c>
      <c r="H174" t="s">
        <v>539</v>
      </c>
      <c r="I174" t="s">
        <v>555</v>
      </c>
      <c r="J174">
        <v>0</v>
      </c>
      <c r="K174" t="s">
        <v>556</v>
      </c>
      <c r="L174" t="s">
        <v>28</v>
      </c>
      <c r="M174">
        <v>1.96</v>
      </c>
      <c r="N174" t="s">
        <v>151</v>
      </c>
      <c r="O174">
        <v>110</v>
      </c>
      <c r="P174">
        <f t="shared" si="12"/>
        <v>215.6</v>
      </c>
      <c r="Q174" t="s">
        <v>30</v>
      </c>
      <c r="R174">
        <v>44469</v>
      </c>
      <c r="S174">
        <v>401768</v>
      </c>
      <c r="U174">
        <f t="shared" si="9"/>
        <v>0</v>
      </c>
    </row>
    <row r="175" spans="1:21" ht="15.75" x14ac:dyDescent="0.25">
      <c r="A175" t="s">
        <v>557</v>
      </c>
      <c r="B175">
        <v>43959</v>
      </c>
      <c r="C175" t="s">
        <v>22</v>
      </c>
      <c r="D175" t="s">
        <v>23</v>
      </c>
      <c r="E175" t="s">
        <v>22</v>
      </c>
      <c r="F175" t="s">
        <v>23</v>
      </c>
      <c r="G175" t="s">
        <v>538</v>
      </c>
      <c r="H175" t="s">
        <v>539</v>
      </c>
      <c r="I175" t="s">
        <v>558</v>
      </c>
      <c r="J175">
        <v>0</v>
      </c>
      <c r="K175" t="s">
        <v>559</v>
      </c>
      <c r="L175" t="s">
        <v>28</v>
      </c>
      <c r="M175">
        <v>1.71</v>
      </c>
      <c r="N175" t="s">
        <v>151</v>
      </c>
      <c r="O175">
        <v>110</v>
      </c>
      <c r="P175">
        <f t="shared" si="12"/>
        <v>188.1</v>
      </c>
      <c r="Q175" t="s">
        <v>30</v>
      </c>
      <c r="R175">
        <v>43069</v>
      </c>
      <c r="S175">
        <v>401768</v>
      </c>
      <c r="U175">
        <f t="shared" si="9"/>
        <v>0</v>
      </c>
    </row>
    <row r="176" spans="1:21" ht="15.75" x14ac:dyDescent="0.25">
      <c r="A176" t="s">
        <v>560</v>
      </c>
      <c r="B176">
        <v>43959</v>
      </c>
      <c r="C176" t="s">
        <v>22</v>
      </c>
      <c r="D176" t="s">
        <v>23</v>
      </c>
      <c r="E176" t="s">
        <v>22</v>
      </c>
      <c r="F176" t="s">
        <v>23</v>
      </c>
      <c r="G176" t="s">
        <v>538</v>
      </c>
      <c r="H176" t="s">
        <v>539</v>
      </c>
      <c r="I176" t="s">
        <v>561</v>
      </c>
      <c r="J176">
        <v>0</v>
      </c>
      <c r="K176" t="s">
        <v>562</v>
      </c>
      <c r="L176" t="s">
        <v>36</v>
      </c>
      <c r="M176">
        <v>139492</v>
      </c>
      <c r="N176" t="s">
        <v>151</v>
      </c>
      <c r="O176">
        <v>110</v>
      </c>
      <c r="P176">
        <f t="shared" si="12"/>
        <v>15344120</v>
      </c>
      <c r="Q176" t="s">
        <v>30</v>
      </c>
      <c r="R176">
        <v>43434</v>
      </c>
      <c r="S176">
        <v>401768</v>
      </c>
      <c r="U176">
        <f t="shared" si="9"/>
        <v>0</v>
      </c>
    </row>
    <row r="177" spans="1:21" ht="15.75" x14ac:dyDescent="0.25">
      <c r="A177" t="s">
        <v>563</v>
      </c>
      <c r="B177">
        <v>43959</v>
      </c>
      <c r="C177" t="s">
        <v>22</v>
      </c>
      <c r="D177" t="s">
        <v>23</v>
      </c>
      <c r="E177" t="s">
        <v>22</v>
      </c>
      <c r="F177" t="s">
        <v>23</v>
      </c>
      <c r="G177" t="s">
        <v>564</v>
      </c>
      <c r="H177" t="s">
        <v>565</v>
      </c>
      <c r="I177" t="s">
        <v>566</v>
      </c>
      <c r="J177">
        <v>0</v>
      </c>
      <c r="K177" t="s">
        <v>567</v>
      </c>
      <c r="L177" t="s">
        <v>28</v>
      </c>
      <c r="M177">
        <v>646.70000000000005</v>
      </c>
      <c r="N177" t="s">
        <v>29</v>
      </c>
      <c r="O177">
        <f t="shared" ref="O177:O184" si="13">M177</f>
        <v>646.70000000000005</v>
      </c>
      <c r="P177">
        <f t="shared" ref="P177:P184" si="14">O177</f>
        <v>646.70000000000005</v>
      </c>
      <c r="Q177" t="s">
        <v>30</v>
      </c>
      <c r="R177">
        <v>41829</v>
      </c>
      <c r="S177">
        <v>401768</v>
      </c>
      <c r="U177">
        <f t="shared" si="9"/>
        <v>0</v>
      </c>
    </row>
    <row r="178" spans="1:21" ht="15.75" x14ac:dyDescent="0.25">
      <c r="A178" t="s">
        <v>568</v>
      </c>
      <c r="B178">
        <v>43959</v>
      </c>
      <c r="C178" t="s">
        <v>22</v>
      </c>
      <c r="D178" t="s">
        <v>23</v>
      </c>
      <c r="E178" t="s">
        <v>22</v>
      </c>
      <c r="F178" t="s">
        <v>23</v>
      </c>
      <c r="G178" t="s">
        <v>564</v>
      </c>
      <c r="H178" t="s">
        <v>565</v>
      </c>
      <c r="I178" t="s">
        <v>569</v>
      </c>
      <c r="J178">
        <v>0</v>
      </c>
      <c r="K178" t="s">
        <v>570</v>
      </c>
      <c r="L178" t="s">
        <v>28</v>
      </c>
      <c r="M178">
        <v>555.9</v>
      </c>
      <c r="N178" t="s">
        <v>29</v>
      </c>
      <c r="O178">
        <f t="shared" si="13"/>
        <v>555.9</v>
      </c>
      <c r="P178">
        <f t="shared" si="14"/>
        <v>555.9</v>
      </c>
      <c r="Q178" t="s">
        <v>30</v>
      </c>
      <c r="R178">
        <v>41829</v>
      </c>
      <c r="S178">
        <v>401768</v>
      </c>
      <c r="U178">
        <f t="shared" si="9"/>
        <v>0</v>
      </c>
    </row>
    <row r="179" spans="1:21" ht="15.75" x14ac:dyDescent="0.25">
      <c r="A179" t="s">
        <v>571</v>
      </c>
      <c r="B179">
        <v>43959</v>
      </c>
      <c r="C179" t="s">
        <v>22</v>
      </c>
      <c r="D179" t="s">
        <v>23</v>
      </c>
      <c r="E179" t="s">
        <v>22</v>
      </c>
      <c r="F179" t="s">
        <v>23</v>
      </c>
      <c r="G179" t="s">
        <v>564</v>
      </c>
      <c r="H179" t="s">
        <v>565</v>
      </c>
      <c r="I179" t="s">
        <v>572</v>
      </c>
      <c r="J179">
        <v>0</v>
      </c>
      <c r="K179" t="s">
        <v>573</v>
      </c>
      <c r="L179" t="s">
        <v>28</v>
      </c>
      <c r="M179">
        <v>555.9</v>
      </c>
      <c r="N179" t="s">
        <v>29</v>
      </c>
      <c r="O179">
        <f t="shared" si="13"/>
        <v>555.9</v>
      </c>
      <c r="P179">
        <f t="shared" si="14"/>
        <v>555.9</v>
      </c>
      <c r="Q179" t="s">
        <v>30</v>
      </c>
      <c r="R179">
        <v>41829</v>
      </c>
      <c r="S179">
        <v>401768</v>
      </c>
      <c r="U179">
        <f t="shared" si="9"/>
        <v>0</v>
      </c>
    </row>
    <row r="180" spans="1:21" ht="15.75" x14ac:dyDescent="0.25">
      <c r="A180" t="s">
        <v>574</v>
      </c>
      <c r="B180">
        <v>43959</v>
      </c>
      <c r="C180" t="s">
        <v>22</v>
      </c>
      <c r="D180" t="s">
        <v>23</v>
      </c>
      <c r="E180" t="s">
        <v>22</v>
      </c>
      <c r="F180" t="s">
        <v>23</v>
      </c>
      <c r="G180" t="s">
        <v>564</v>
      </c>
      <c r="H180" t="s">
        <v>565</v>
      </c>
      <c r="I180" t="s">
        <v>575</v>
      </c>
      <c r="J180">
        <v>0</v>
      </c>
      <c r="K180" t="s">
        <v>576</v>
      </c>
      <c r="L180" t="s">
        <v>28</v>
      </c>
      <c r="M180">
        <v>646.70000000000005</v>
      </c>
      <c r="N180" t="s">
        <v>29</v>
      </c>
      <c r="O180">
        <f t="shared" si="13"/>
        <v>646.70000000000005</v>
      </c>
      <c r="P180">
        <f t="shared" si="14"/>
        <v>646.70000000000005</v>
      </c>
      <c r="Q180" t="s">
        <v>30</v>
      </c>
      <c r="R180">
        <v>41829</v>
      </c>
      <c r="S180">
        <v>401768</v>
      </c>
      <c r="U180">
        <f t="shared" si="9"/>
        <v>0</v>
      </c>
    </row>
    <row r="181" spans="1:21" ht="15.75" x14ac:dyDescent="0.25">
      <c r="A181" t="s">
        <v>577</v>
      </c>
      <c r="B181">
        <v>43959</v>
      </c>
      <c r="C181" t="s">
        <v>22</v>
      </c>
      <c r="D181" t="s">
        <v>23</v>
      </c>
      <c r="E181" t="s">
        <v>22</v>
      </c>
      <c r="F181" t="s">
        <v>23</v>
      </c>
      <c r="G181" t="s">
        <v>564</v>
      </c>
      <c r="H181" t="s">
        <v>565</v>
      </c>
      <c r="I181" t="s">
        <v>578</v>
      </c>
      <c r="J181">
        <v>0</v>
      </c>
      <c r="K181" t="s">
        <v>579</v>
      </c>
      <c r="L181" t="s">
        <v>36</v>
      </c>
      <c r="M181">
        <v>1085118</v>
      </c>
      <c r="N181" t="s">
        <v>29</v>
      </c>
      <c r="O181">
        <f t="shared" si="13"/>
        <v>1085118</v>
      </c>
      <c r="P181">
        <f t="shared" si="14"/>
        <v>1085118</v>
      </c>
      <c r="Q181" t="s">
        <v>30</v>
      </c>
      <c r="R181">
        <v>42469</v>
      </c>
      <c r="S181">
        <v>401768</v>
      </c>
      <c r="U181">
        <f t="shared" si="9"/>
        <v>0</v>
      </c>
    </row>
    <row r="182" spans="1:21" ht="15.75" x14ac:dyDescent="0.25">
      <c r="A182" t="s">
        <v>580</v>
      </c>
      <c r="B182">
        <v>43959</v>
      </c>
      <c r="C182" t="s">
        <v>22</v>
      </c>
      <c r="D182" t="s">
        <v>23</v>
      </c>
      <c r="E182" t="s">
        <v>22</v>
      </c>
      <c r="F182" t="s">
        <v>23</v>
      </c>
      <c r="G182" t="s">
        <v>564</v>
      </c>
      <c r="H182" t="s">
        <v>565</v>
      </c>
      <c r="I182" t="s">
        <v>581</v>
      </c>
      <c r="J182">
        <v>0</v>
      </c>
      <c r="K182" t="s">
        <v>582</v>
      </c>
      <c r="L182" t="s">
        <v>36</v>
      </c>
      <c r="M182">
        <v>1085118</v>
      </c>
      <c r="N182" t="s">
        <v>29</v>
      </c>
      <c r="O182">
        <f t="shared" si="13"/>
        <v>1085118</v>
      </c>
      <c r="P182">
        <f t="shared" si="14"/>
        <v>1085118</v>
      </c>
      <c r="Q182" t="s">
        <v>30</v>
      </c>
      <c r="R182">
        <v>42469</v>
      </c>
      <c r="S182">
        <v>401768</v>
      </c>
      <c r="U182">
        <f t="shared" si="9"/>
        <v>0</v>
      </c>
    </row>
    <row r="183" spans="1:21" ht="15.75" x14ac:dyDescent="0.25">
      <c r="A183" t="s">
        <v>583</v>
      </c>
      <c r="B183">
        <v>43959</v>
      </c>
      <c r="C183" t="s">
        <v>22</v>
      </c>
      <c r="D183" t="s">
        <v>23</v>
      </c>
      <c r="E183" t="s">
        <v>22</v>
      </c>
      <c r="F183" t="s">
        <v>23</v>
      </c>
      <c r="G183" t="s">
        <v>564</v>
      </c>
      <c r="H183" t="s">
        <v>565</v>
      </c>
      <c r="I183" t="s">
        <v>584</v>
      </c>
      <c r="J183">
        <v>0</v>
      </c>
      <c r="K183" t="s">
        <v>585</v>
      </c>
      <c r="L183" t="s">
        <v>36</v>
      </c>
      <c r="M183">
        <v>1220752</v>
      </c>
      <c r="N183" t="s">
        <v>29</v>
      </c>
      <c r="O183">
        <f t="shared" si="13"/>
        <v>1220752</v>
      </c>
      <c r="P183">
        <f t="shared" si="14"/>
        <v>1220752</v>
      </c>
      <c r="Q183" t="s">
        <v>30</v>
      </c>
      <c r="R183">
        <v>42469</v>
      </c>
      <c r="S183">
        <v>401768</v>
      </c>
      <c r="U183">
        <f t="shared" si="9"/>
        <v>0</v>
      </c>
    </row>
    <row r="184" spans="1:21" ht="15.75" x14ac:dyDescent="0.25">
      <c r="A184" t="s">
        <v>586</v>
      </c>
      <c r="B184">
        <v>43959</v>
      </c>
      <c r="C184" t="s">
        <v>22</v>
      </c>
      <c r="D184" t="s">
        <v>23</v>
      </c>
      <c r="E184" t="s">
        <v>22</v>
      </c>
      <c r="F184" t="s">
        <v>23</v>
      </c>
      <c r="G184" t="s">
        <v>564</v>
      </c>
      <c r="H184" t="s">
        <v>565</v>
      </c>
      <c r="I184" t="s">
        <v>587</v>
      </c>
      <c r="J184">
        <v>0</v>
      </c>
      <c r="K184" t="s">
        <v>588</v>
      </c>
      <c r="L184" t="s">
        <v>36</v>
      </c>
      <c r="M184">
        <v>59663</v>
      </c>
      <c r="N184" t="s">
        <v>29</v>
      </c>
      <c r="O184">
        <f t="shared" si="13"/>
        <v>59663</v>
      </c>
      <c r="P184">
        <f t="shared" si="14"/>
        <v>59663</v>
      </c>
      <c r="Q184" t="s">
        <v>30</v>
      </c>
      <c r="R184">
        <v>42469</v>
      </c>
      <c r="S184">
        <v>401768</v>
      </c>
      <c r="U184">
        <f t="shared" si="9"/>
        <v>0</v>
      </c>
    </row>
    <row r="185" spans="1:21" ht="15.75" x14ac:dyDescent="0.25">
      <c r="A185" t="s">
        <v>589</v>
      </c>
      <c r="B185">
        <v>43959</v>
      </c>
      <c r="C185" t="s">
        <v>22</v>
      </c>
      <c r="D185" t="s">
        <v>23</v>
      </c>
      <c r="E185" t="s">
        <v>22</v>
      </c>
      <c r="F185" t="s">
        <v>23</v>
      </c>
      <c r="G185" t="s">
        <v>590</v>
      </c>
      <c r="H185" t="s">
        <v>591</v>
      </c>
      <c r="I185" t="s">
        <v>566</v>
      </c>
      <c r="J185">
        <v>0</v>
      </c>
      <c r="K185" t="s">
        <v>567</v>
      </c>
      <c r="L185" t="s">
        <v>28</v>
      </c>
      <c r="M185">
        <v>7.62</v>
      </c>
      <c r="N185" t="s">
        <v>151</v>
      </c>
      <c r="O185">
        <v>110</v>
      </c>
      <c r="P185">
        <f t="shared" ref="P185:P190" si="15">O185*M185</f>
        <v>838.2</v>
      </c>
      <c r="Q185" t="s">
        <v>30</v>
      </c>
      <c r="R185">
        <v>41453</v>
      </c>
      <c r="S185">
        <v>401768</v>
      </c>
      <c r="U185">
        <f t="shared" si="9"/>
        <v>0</v>
      </c>
    </row>
    <row r="186" spans="1:21" ht="15.75" x14ac:dyDescent="0.25">
      <c r="A186" t="s">
        <v>592</v>
      </c>
      <c r="B186">
        <v>43959</v>
      </c>
      <c r="C186" t="s">
        <v>22</v>
      </c>
      <c r="D186" t="s">
        <v>23</v>
      </c>
      <c r="E186" t="s">
        <v>22</v>
      </c>
      <c r="F186" t="s">
        <v>23</v>
      </c>
      <c r="G186" t="s">
        <v>590</v>
      </c>
      <c r="H186" t="s">
        <v>591</v>
      </c>
      <c r="I186" t="s">
        <v>569</v>
      </c>
      <c r="J186">
        <v>0</v>
      </c>
      <c r="K186" t="s">
        <v>570</v>
      </c>
      <c r="L186" t="s">
        <v>28</v>
      </c>
      <c r="M186">
        <v>8.6300000000000008</v>
      </c>
      <c r="N186" t="s">
        <v>151</v>
      </c>
      <c r="O186">
        <v>110</v>
      </c>
      <c r="P186">
        <f t="shared" si="15"/>
        <v>949.30000000000007</v>
      </c>
      <c r="Q186" t="s">
        <v>30</v>
      </c>
      <c r="R186">
        <v>41772</v>
      </c>
      <c r="S186">
        <v>401768</v>
      </c>
      <c r="U186">
        <f t="shared" si="9"/>
        <v>0</v>
      </c>
    </row>
    <row r="187" spans="1:21" ht="15.75" x14ac:dyDescent="0.25">
      <c r="A187" t="s">
        <v>593</v>
      </c>
      <c r="B187">
        <v>43959</v>
      </c>
      <c r="C187" t="s">
        <v>22</v>
      </c>
      <c r="D187" t="s">
        <v>23</v>
      </c>
      <c r="E187" t="s">
        <v>22</v>
      </c>
      <c r="F187" t="s">
        <v>23</v>
      </c>
      <c r="G187" t="s">
        <v>590</v>
      </c>
      <c r="H187" t="s">
        <v>591</v>
      </c>
      <c r="I187" t="s">
        <v>572</v>
      </c>
      <c r="J187">
        <v>0</v>
      </c>
      <c r="K187" t="s">
        <v>573</v>
      </c>
      <c r="L187" t="s">
        <v>28</v>
      </c>
      <c r="M187">
        <v>6.55</v>
      </c>
      <c r="N187" t="s">
        <v>151</v>
      </c>
      <c r="O187">
        <v>110</v>
      </c>
      <c r="P187">
        <f t="shared" si="15"/>
        <v>720.5</v>
      </c>
      <c r="Q187" t="s">
        <v>30</v>
      </c>
      <c r="R187">
        <v>41518</v>
      </c>
      <c r="S187">
        <v>401768</v>
      </c>
      <c r="U187">
        <f t="shared" si="9"/>
        <v>0</v>
      </c>
    </row>
    <row r="188" spans="1:21" ht="15.75" x14ac:dyDescent="0.25">
      <c r="A188" t="s">
        <v>594</v>
      </c>
      <c r="B188">
        <v>43959</v>
      </c>
      <c r="C188" t="s">
        <v>22</v>
      </c>
      <c r="D188" t="s">
        <v>23</v>
      </c>
      <c r="E188" t="s">
        <v>30</v>
      </c>
      <c r="F188" t="s">
        <v>30</v>
      </c>
      <c r="G188" t="s">
        <v>590</v>
      </c>
      <c r="H188" t="s">
        <v>591</v>
      </c>
      <c r="I188" t="s">
        <v>575</v>
      </c>
      <c r="J188">
        <v>0</v>
      </c>
      <c r="K188" t="s">
        <v>576</v>
      </c>
      <c r="L188" t="s">
        <v>28</v>
      </c>
      <c r="M188">
        <v>12.56</v>
      </c>
      <c r="N188" t="s">
        <v>151</v>
      </c>
      <c r="O188">
        <v>110</v>
      </c>
      <c r="P188">
        <f t="shared" si="15"/>
        <v>1381.6000000000001</v>
      </c>
      <c r="Q188" t="s">
        <v>30</v>
      </c>
      <c r="R188">
        <v>41608</v>
      </c>
      <c r="S188">
        <v>401768</v>
      </c>
      <c r="U188">
        <f t="shared" si="9"/>
        <v>0</v>
      </c>
    </row>
    <row r="189" spans="1:21" ht="15.75" x14ac:dyDescent="0.25">
      <c r="A189" t="s">
        <v>595</v>
      </c>
      <c r="B189">
        <v>43959</v>
      </c>
      <c r="C189" t="s">
        <v>22</v>
      </c>
      <c r="D189" t="s">
        <v>23</v>
      </c>
      <c r="E189" t="s">
        <v>22</v>
      </c>
      <c r="F189" t="s">
        <v>23</v>
      </c>
      <c r="G189" t="s">
        <v>590</v>
      </c>
      <c r="H189" t="s">
        <v>591</v>
      </c>
      <c r="I189" t="s">
        <v>596</v>
      </c>
      <c r="J189">
        <v>0</v>
      </c>
      <c r="K189" t="s">
        <v>597</v>
      </c>
      <c r="L189" t="s">
        <v>28</v>
      </c>
      <c r="M189">
        <v>25</v>
      </c>
      <c r="N189" t="s">
        <v>151</v>
      </c>
      <c r="O189">
        <v>110</v>
      </c>
      <c r="P189">
        <f t="shared" si="15"/>
        <v>2750</v>
      </c>
      <c r="Q189" t="s">
        <v>30</v>
      </c>
      <c r="R189">
        <v>41802</v>
      </c>
      <c r="S189">
        <v>401768</v>
      </c>
      <c r="U189">
        <f t="shared" si="9"/>
        <v>0</v>
      </c>
    </row>
    <row r="190" spans="1:21" ht="15.75" x14ac:dyDescent="0.25">
      <c r="A190" t="s">
        <v>598</v>
      </c>
      <c r="B190">
        <v>43959</v>
      </c>
      <c r="C190" t="s">
        <v>22</v>
      </c>
      <c r="D190" t="s">
        <v>23</v>
      </c>
      <c r="E190" t="s">
        <v>22</v>
      </c>
      <c r="F190" t="s">
        <v>23</v>
      </c>
      <c r="G190" t="s">
        <v>590</v>
      </c>
      <c r="H190" t="s">
        <v>591</v>
      </c>
      <c r="I190" t="s">
        <v>599</v>
      </c>
      <c r="J190">
        <v>0</v>
      </c>
      <c r="K190" t="s">
        <v>600</v>
      </c>
      <c r="L190" t="s">
        <v>28</v>
      </c>
      <c r="M190">
        <v>25</v>
      </c>
      <c r="N190" t="s">
        <v>151</v>
      </c>
      <c r="O190">
        <v>110</v>
      </c>
      <c r="P190">
        <f t="shared" si="15"/>
        <v>2750</v>
      </c>
      <c r="Q190" t="s">
        <v>30</v>
      </c>
      <c r="R190">
        <v>41802</v>
      </c>
      <c r="S190">
        <v>401768</v>
      </c>
      <c r="U190">
        <f t="shared" si="9"/>
        <v>0</v>
      </c>
    </row>
    <row r="191" spans="1:21" ht="15.75" x14ac:dyDescent="0.25">
      <c r="A191" t="s">
        <v>601</v>
      </c>
      <c r="B191">
        <v>43959</v>
      </c>
      <c r="C191" t="s">
        <v>22</v>
      </c>
      <c r="D191" t="s">
        <v>23</v>
      </c>
      <c r="E191" t="s">
        <v>22</v>
      </c>
      <c r="F191" t="s">
        <v>23</v>
      </c>
      <c r="G191" t="s">
        <v>602</v>
      </c>
      <c r="H191" t="s">
        <v>603</v>
      </c>
      <c r="I191" t="s">
        <v>604</v>
      </c>
      <c r="J191">
        <v>0</v>
      </c>
      <c r="K191" t="s">
        <v>605</v>
      </c>
      <c r="L191" t="s">
        <v>28</v>
      </c>
      <c r="M191">
        <v>56.5</v>
      </c>
      <c r="N191" t="s">
        <v>29</v>
      </c>
      <c r="O191">
        <f t="shared" ref="O191:O221" si="16">M191</f>
        <v>56.5</v>
      </c>
      <c r="P191">
        <f t="shared" ref="P191:P221" si="17">O191</f>
        <v>56.5</v>
      </c>
      <c r="Q191" t="s">
        <v>30</v>
      </c>
      <c r="R191">
        <v>41387</v>
      </c>
      <c r="S191">
        <v>401768</v>
      </c>
      <c r="U191">
        <f t="shared" si="9"/>
        <v>0</v>
      </c>
    </row>
    <row r="192" spans="1:21" ht="15.75" x14ac:dyDescent="0.25">
      <c r="A192" t="s">
        <v>606</v>
      </c>
      <c r="B192">
        <v>43959</v>
      </c>
      <c r="C192" t="s">
        <v>22</v>
      </c>
      <c r="D192" t="s">
        <v>23</v>
      </c>
      <c r="E192" t="s">
        <v>22</v>
      </c>
      <c r="F192" t="s">
        <v>23</v>
      </c>
      <c r="G192" t="s">
        <v>602</v>
      </c>
      <c r="H192" t="s">
        <v>603</v>
      </c>
      <c r="I192" t="s">
        <v>607</v>
      </c>
      <c r="J192">
        <v>0</v>
      </c>
      <c r="K192" t="s">
        <v>608</v>
      </c>
      <c r="L192" t="s">
        <v>28</v>
      </c>
      <c r="M192">
        <v>41.77</v>
      </c>
      <c r="N192" t="s">
        <v>29</v>
      </c>
      <c r="O192">
        <f t="shared" si="16"/>
        <v>41.77</v>
      </c>
      <c r="P192">
        <f t="shared" si="17"/>
        <v>41.77</v>
      </c>
      <c r="Q192" t="s">
        <v>30</v>
      </c>
      <c r="R192">
        <v>42123</v>
      </c>
      <c r="S192">
        <v>401768</v>
      </c>
      <c r="U192">
        <f t="shared" si="9"/>
        <v>0</v>
      </c>
    </row>
    <row r="193" spans="1:21" ht="15.75" x14ac:dyDescent="0.25">
      <c r="A193" t="s">
        <v>609</v>
      </c>
      <c r="B193">
        <v>43959</v>
      </c>
      <c r="C193" t="s">
        <v>22</v>
      </c>
      <c r="D193" t="s">
        <v>23</v>
      </c>
      <c r="E193" t="s">
        <v>22</v>
      </c>
      <c r="F193" t="s">
        <v>23</v>
      </c>
      <c r="G193" t="s">
        <v>602</v>
      </c>
      <c r="H193" t="s">
        <v>603</v>
      </c>
      <c r="I193" t="s">
        <v>610</v>
      </c>
      <c r="J193">
        <v>0</v>
      </c>
      <c r="K193" t="s">
        <v>611</v>
      </c>
      <c r="L193" t="s">
        <v>28</v>
      </c>
      <c r="M193">
        <v>25.08</v>
      </c>
      <c r="N193" t="s">
        <v>29</v>
      </c>
      <c r="O193">
        <f t="shared" si="16"/>
        <v>25.08</v>
      </c>
      <c r="P193">
        <f t="shared" si="17"/>
        <v>25.08</v>
      </c>
      <c r="Q193" t="s">
        <v>30</v>
      </c>
      <c r="R193">
        <v>42123</v>
      </c>
      <c r="S193">
        <v>401768</v>
      </c>
      <c r="U193">
        <f t="shared" si="9"/>
        <v>0</v>
      </c>
    </row>
    <row r="194" spans="1:21" ht="15.75" x14ac:dyDescent="0.25">
      <c r="A194" t="s">
        <v>612</v>
      </c>
      <c r="B194">
        <v>43959</v>
      </c>
      <c r="C194" t="s">
        <v>22</v>
      </c>
      <c r="D194" t="s">
        <v>23</v>
      </c>
      <c r="E194" t="s">
        <v>22</v>
      </c>
      <c r="F194" t="s">
        <v>23</v>
      </c>
      <c r="G194" t="s">
        <v>602</v>
      </c>
      <c r="H194" t="s">
        <v>603</v>
      </c>
      <c r="I194" t="s">
        <v>613</v>
      </c>
      <c r="J194">
        <v>0</v>
      </c>
      <c r="K194" t="s">
        <v>614</v>
      </c>
      <c r="L194" t="s">
        <v>28</v>
      </c>
      <c r="M194">
        <v>17.8</v>
      </c>
      <c r="N194" t="s">
        <v>29</v>
      </c>
      <c r="O194">
        <f t="shared" si="16"/>
        <v>17.8</v>
      </c>
      <c r="P194">
        <f t="shared" si="17"/>
        <v>17.8</v>
      </c>
      <c r="Q194" t="s">
        <v>30</v>
      </c>
      <c r="R194">
        <v>42123</v>
      </c>
      <c r="S194">
        <v>401768</v>
      </c>
      <c r="U194">
        <f t="shared" si="9"/>
        <v>0</v>
      </c>
    </row>
    <row r="195" spans="1:21" ht="15.75" x14ac:dyDescent="0.25">
      <c r="A195" t="s">
        <v>615</v>
      </c>
      <c r="B195">
        <v>43959</v>
      </c>
      <c r="C195" t="s">
        <v>22</v>
      </c>
      <c r="D195" t="s">
        <v>23</v>
      </c>
      <c r="E195" t="s">
        <v>22</v>
      </c>
      <c r="F195" t="s">
        <v>23</v>
      </c>
      <c r="G195" t="s">
        <v>602</v>
      </c>
      <c r="H195" t="s">
        <v>603</v>
      </c>
      <c r="I195" t="s">
        <v>616</v>
      </c>
      <c r="J195">
        <v>0</v>
      </c>
      <c r="K195" t="s">
        <v>617</v>
      </c>
      <c r="L195" t="s">
        <v>28</v>
      </c>
      <c r="M195">
        <v>52.5</v>
      </c>
      <c r="N195" t="s">
        <v>29</v>
      </c>
      <c r="O195">
        <f t="shared" si="16"/>
        <v>52.5</v>
      </c>
      <c r="P195">
        <f t="shared" si="17"/>
        <v>52.5</v>
      </c>
      <c r="Q195" t="s">
        <v>30</v>
      </c>
      <c r="R195">
        <v>41387</v>
      </c>
      <c r="S195">
        <v>401768</v>
      </c>
      <c r="U195">
        <f t="shared" ref="U195:U258" si="18">T195*P195/100000</f>
        <v>0</v>
      </c>
    </row>
    <row r="196" spans="1:21" ht="15.75" x14ac:dyDescent="0.25">
      <c r="A196" t="s">
        <v>618</v>
      </c>
      <c r="B196">
        <v>44609</v>
      </c>
      <c r="C196" t="s">
        <v>22</v>
      </c>
      <c r="D196" t="s">
        <v>23</v>
      </c>
      <c r="E196" t="s">
        <v>22</v>
      </c>
      <c r="F196" t="s">
        <v>23</v>
      </c>
      <c r="G196" t="s">
        <v>602</v>
      </c>
      <c r="H196" t="s">
        <v>603</v>
      </c>
      <c r="I196" t="s">
        <v>619</v>
      </c>
      <c r="J196">
        <v>0</v>
      </c>
      <c r="K196" t="s">
        <v>620</v>
      </c>
      <c r="L196" t="s">
        <v>28</v>
      </c>
      <c r="M196">
        <v>68.33</v>
      </c>
      <c r="N196" t="s">
        <v>29</v>
      </c>
      <c r="O196">
        <f t="shared" si="16"/>
        <v>68.33</v>
      </c>
      <c r="P196">
        <f t="shared" si="17"/>
        <v>68.33</v>
      </c>
      <c r="Q196" t="s">
        <v>30</v>
      </c>
      <c r="R196">
        <v>46144</v>
      </c>
      <c r="S196">
        <v>401768</v>
      </c>
      <c r="T196">
        <v>7000</v>
      </c>
      <c r="U196">
        <f t="shared" si="18"/>
        <v>4.7831000000000001</v>
      </c>
    </row>
    <row r="197" spans="1:21" ht="15.75" x14ac:dyDescent="0.25">
      <c r="A197" t="s">
        <v>621</v>
      </c>
      <c r="B197">
        <v>44609</v>
      </c>
      <c r="C197" t="s">
        <v>22</v>
      </c>
      <c r="D197" t="s">
        <v>23</v>
      </c>
      <c r="E197" t="s">
        <v>22</v>
      </c>
      <c r="F197" t="s">
        <v>23</v>
      </c>
      <c r="G197" t="s">
        <v>602</v>
      </c>
      <c r="H197" t="s">
        <v>603</v>
      </c>
      <c r="I197" t="s">
        <v>622</v>
      </c>
      <c r="J197">
        <v>0</v>
      </c>
      <c r="K197" t="s">
        <v>623</v>
      </c>
      <c r="L197" t="s">
        <v>28</v>
      </c>
      <c r="M197">
        <v>85.89</v>
      </c>
      <c r="N197" t="s">
        <v>29</v>
      </c>
      <c r="O197">
        <f t="shared" si="16"/>
        <v>85.89</v>
      </c>
      <c r="P197">
        <f t="shared" si="17"/>
        <v>85.89</v>
      </c>
      <c r="Q197" t="s">
        <v>30</v>
      </c>
      <c r="R197">
        <v>46144</v>
      </c>
      <c r="S197">
        <v>401768</v>
      </c>
      <c r="T197">
        <v>30000</v>
      </c>
      <c r="U197">
        <f t="shared" si="18"/>
        <v>25.766999999999999</v>
      </c>
    </row>
    <row r="198" spans="1:21" ht="15.75" x14ac:dyDescent="0.25">
      <c r="A198" t="s">
        <v>624</v>
      </c>
      <c r="B198">
        <v>44609</v>
      </c>
      <c r="C198" t="s">
        <v>22</v>
      </c>
      <c r="D198" t="s">
        <v>23</v>
      </c>
      <c r="E198" t="s">
        <v>22</v>
      </c>
      <c r="F198" t="s">
        <v>23</v>
      </c>
      <c r="G198" t="s">
        <v>602</v>
      </c>
      <c r="H198" t="s">
        <v>603</v>
      </c>
      <c r="I198" t="s">
        <v>625</v>
      </c>
      <c r="J198">
        <v>0</v>
      </c>
      <c r="K198" t="s">
        <v>626</v>
      </c>
      <c r="L198" t="s">
        <v>28</v>
      </c>
      <c r="M198">
        <v>108.91</v>
      </c>
      <c r="N198" t="s">
        <v>29</v>
      </c>
      <c r="O198">
        <f t="shared" si="16"/>
        <v>108.91</v>
      </c>
      <c r="P198">
        <f t="shared" si="17"/>
        <v>108.91</v>
      </c>
      <c r="Q198" t="s">
        <v>30</v>
      </c>
      <c r="R198">
        <v>46144</v>
      </c>
      <c r="S198">
        <v>401768</v>
      </c>
      <c r="T198">
        <v>3000</v>
      </c>
      <c r="U198">
        <f t="shared" si="18"/>
        <v>3.2673000000000001</v>
      </c>
    </row>
    <row r="199" spans="1:21" ht="15.75" x14ac:dyDescent="0.25">
      <c r="A199" t="s">
        <v>627</v>
      </c>
      <c r="B199">
        <v>44609</v>
      </c>
      <c r="C199" t="s">
        <v>22</v>
      </c>
      <c r="D199" t="s">
        <v>23</v>
      </c>
      <c r="E199" t="s">
        <v>22</v>
      </c>
      <c r="F199" t="s">
        <v>23</v>
      </c>
      <c r="G199" t="s">
        <v>602</v>
      </c>
      <c r="H199" t="s">
        <v>603</v>
      </c>
      <c r="I199" t="s">
        <v>628</v>
      </c>
      <c r="J199">
        <v>0</v>
      </c>
      <c r="K199" t="s">
        <v>629</v>
      </c>
      <c r="L199" t="s">
        <v>28</v>
      </c>
      <c r="M199">
        <v>387.88</v>
      </c>
      <c r="N199" t="s">
        <v>29</v>
      </c>
      <c r="O199">
        <f t="shared" si="16"/>
        <v>387.88</v>
      </c>
      <c r="P199">
        <f t="shared" si="17"/>
        <v>387.88</v>
      </c>
      <c r="Q199" t="s">
        <v>30</v>
      </c>
      <c r="R199">
        <v>46144</v>
      </c>
      <c r="S199">
        <v>401768</v>
      </c>
      <c r="U199">
        <f t="shared" si="18"/>
        <v>0</v>
      </c>
    </row>
    <row r="200" spans="1:21" ht="15.75" x14ac:dyDescent="0.25">
      <c r="A200" t="s">
        <v>630</v>
      </c>
      <c r="B200">
        <v>44723</v>
      </c>
      <c r="C200" t="s">
        <v>22</v>
      </c>
      <c r="D200" t="s">
        <v>23</v>
      </c>
      <c r="E200" t="s">
        <v>22</v>
      </c>
      <c r="F200" t="s">
        <v>23</v>
      </c>
      <c r="G200" t="s">
        <v>602</v>
      </c>
      <c r="H200" t="s">
        <v>603</v>
      </c>
      <c r="I200" t="s">
        <v>631</v>
      </c>
      <c r="J200">
        <v>0</v>
      </c>
      <c r="K200" t="s">
        <v>632</v>
      </c>
      <c r="L200" t="s">
        <v>28</v>
      </c>
      <c r="M200">
        <v>108.83</v>
      </c>
      <c r="N200" t="s">
        <v>29</v>
      </c>
      <c r="O200">
        <f t="shared" si="16"/>
        <v>108.83</v>
      </c>
      <c r="P200">
        <f t="shared" si="17"/>
        <v>108.83</v>
      </c>
      <c r="Q200" t="s">
        <v>30</v>
      </c>
      <c r="R200">
        <v>46144</v>
      </c>
      <c r="S200">
        <v>401768</v>
      </c>
      <c r="U200">
        <f t="shared" si="18"/>
        <v>0</v>
      </c>
    </row>
    <row r="201" spans="1:21" ht="15.75" x14ac:dyDescent="0.25">
      <c r="A201" t="s">
        <v>633</v>
      </c>
      <c r="B201">
        <v>44723</v>
      </c>
      <c r="C201" t="s">
        <v>22</v>
      </c>
      <c r="D201" t="s">
        <v>23</v>
      </c>
      <c r="E201" t="s">
        <v>22</v>
      </c>
      <c r="F201" t="s">
        <v>23</v>
      </c>
      <c r="G201" t="s">
        <v>602</v>
      </c>
      <c r="H201" t="s">
        <v>603</v>
      </c>
      <c r="I201" t="s">
        <v>634</v>
      </c>
      <c r="J201">
        <v>0</v>
      </c>
      <c r="K201" t="s">
        <v>635</v>
      </c>
      <c r="L201" t="s">
        <v>28</v>
      </c>
      <c r="M201">
        <v>126.39</v>
      </c>
      <c r="N201" t="s">
        <v>29</v>
      </c>
      <c r="O201">
        <f t="shared" si="16"/>
        <v>126.39</v>
      </c>
      <c r="P201">
        <f t="shared" si="17"/>
        <v>126.39</v>
      </c>
      <c r="Q201" t="s">
        <v>30</v>
      </c>
      <c r="R201">
        <v>46144</v>
      </c>
      <c r="S201">
        <v>401768</v>
      </c>
      <c r="U201">
        <f t="shared" si="18"/>
        <v>0</v>
      </c>
    </row>
    <row r="202" spans="1:21" ht="15.75" x14ac:dyDescent="0.25">
      <c r="A202" t="s">
        <v>636</v>
      </c>
      <c r="B202">
        <v>44723</v>
      </c>
      <c r="C202" t="s">
        <v>22</v>
      </c>
      <c r="D202" t="s">
        <v>23</v>
      </c>
      <c r="E202" t="s">
        <v>22</v>
      </c>
      <c r="F202" t="s">
        <v>23</v>
      </c>
      <c r="G202" t="s">
        <v>602</v>
      </c>
      <c r="H202" t="s">
        <v>603</v>
      </c>
      <c r="I202" t="s">
        <v>637</v>
      </c>
      <c r="J202">
        <v>0</v>
      </c>
      <c r="K202" t="s">
        <v>638</v>
      </c>
      <c r="L202" t="s">
        <v>28</v>
      </c>
      <c r="M202">
        <v>155.01</v>
      </c>
      <c r="N202" t="s">
        <v>29</v>
      </c>
      <c r="O202">
        <f t="shared" si="16"/>
        <v>155.01</v>
      </c>
      <c r="P202">
        <f t="shared" si="17"/>
        <v>155.01</v>
      </c>
      <c r="Q202" t="s">
        <v>30</v>
      </c>
      <c r="R202">
        <v>46144</v>
      </c>
      <c r="S202">
        <v>401768</v>
      </c>
      <c r="U202">
        <f t="shared" si="18"/>
        <v>0</v>
      </c>
    </row>
    <row r="203" spans="1:21" ht="15.75" x14ac:dyDescent="0.25">
      <c r="A203" t="s">
        <v>639</v>
      </c>
      <c r="B203">
        <v>44723</v>
      </c>
      <c r="C203" t="s">
        <v>22</v>
      </c>
      <c r="D203" t="s">
        <v>23</v>
      </c>
      <c r="E203" t="s">
        <v>22</v>
      </c>
      <c r="F203" t="s">
        <v>23</v>
      </c>
      <c r="G203" t="s">
        <v>602</v>
      </c>
      <c r="H203" t="s">
        <v>603</v>
      </c>
      <c r="I203" t="s">
        <v>640</v>
      </c>
      <c r="J203">
        <v>0</v>
      </c>
      <c r="K203" t="s">
        <v>641</v>
      </c>
      <c r="L203" t="s">
        <v>28</v>
      </c>
      <c r="M203">
        <v>533.38</v>
      </c>
      <c r="N203" t="s">
        <v>29</v>
      </c>
      <c r="O203">
        <f t="shared" si="16"/>
        <v>533.38</v>
      </c>
      <c r="P203">
        <f t="shared" si="17"/>
        <v>533.38</v>
      </c>
      <c r="Q203" t="s">
        <v>30</v>
      </c>
      <c r="R203">
        <v>46144</v>
      </c>
      <c r="S203">
        <v>401768</v>
      </c>
      <c r="U203">
        <f t="shared" si="18"/>
        <v>0</v>
      </c>
    </row>
    <row r="204" spans="1:21" ht="15.75" x14ac:dyDescent="0.25">
      <c r="A204" t="s">
        <v>642</v>
      </c>
      <c r="B204">
        <v>44905</v>
      </c>
      <c r="C204" t="s">
        <v>22</v>
      </c>
      <c r="D204" t="s">
        <v>23</v>
      </c>
      <c r="E204" t="s">
        <v>22</v>
      </c>
      <c r="F204" t="s">
        <v>23</v>
      </c>
      <c r="G204" t="s">
        <v>602</v>
      </c>
      <c r="H204" t="s">
        <v>603</v>
      </c>
      <c r="I204" t="s">
        <v>643</v>
      </c>
      <c r="J204">
        <v>0</v>
      </c>
      <c r="K204" t="s">
        <v>644</v>
      </c>
      <c r="L204" t="s">
        <v>28</v>
      </c>
      <c r="M204">
        <v>68.33</v>
      </c>
      <c r="N204" t="s">
        <v>29</v>
      </c>
      <c r="O204">
        <f t="shared" si="16"/>
        <v>68.33</v>
      </c>
      <c r="P204">
        <f t="shared" si="17"/>
        <v>68.33</v>
      </c>
      <c r="Q204" t="s">
        <v>30</v>
      </c>
      <c r="R204">
        <v>46144</v>
      </c>
      <c r="S204">
        <v>401768</v>
      </c>
      <c r="U204">
        <f t="shared" si="18"/>
        <v>0</v>
      </c>
    </row>
    <row r="205" spans="1:21" ht="15.75" x14ac:dyDescent="0.25">
      <c r="A205" t="s">
        <v>645</v>
      </c>
      <c r="B205">
        <v>44925</v>
      </c>
      <c r="C205" t="s">
        <v>22</v>
      </c>
      <c r="D205" t="s">
        <v>23</v>
      </c>
      <c r="E205" t="s">
        <v>22</v>
      </c>
      <c r="F205" t="s">
        <v>23</v>
      </c>
      <c r="G205" t="s">
        <v>602</v>
      </c>
      <c r="H205" t="s">
        <v>603</v>
      </c>
      <c r="I205" t="s">
        <v>646</v>
      </c>
      <c r="J205">
        <v>0</v>
      </c>
      <c r="K205" t="s">
        <v>647</v>
      </c>
      <c r="L205" t="s">
        <v>28</v>
      </c>
      <c r="M205">
        <v>63.25</v>
      </c>
      <c r="N205" t="s">
        <v>29</v>
      </c>
      <c r="O205">
        <f t="shared" si="16"/>
        <v>63.25</v>
      </c>
      <c r="P205">
        <f t="shared" si="17"/>
        <v>63.25</v>
      </c>
      <c r="Q205" t="s">
        <v>30</v>
      </c>
      <c r="R205">
        <v>44925</v>
      </c>
      <c r="S205">
        <v>401768</v>
      </c>
      <c r="U205">
        <f t="shared" si="18"/>
        <v>0</v>
      </c>
    </row>
    <row r="206" spans="1:21" ht="15.75" x14ac:dyDescent="0.25">
      <c r="A206" t="s">
        <v>648</v>
      </c>
      <c r="B206">
        <v>45013</v>
      </c>
      <c r="C206" t="s">
        <v>22</v>
      </c>
      <c r="D206" t="s">
        <v>23</v>
      </c>
      <c r="E206" t="s">
        <v>22</v>
      </c>
      <c r="F206" t="s">
        <v>23</v>
      </c>
      <c r="G206" t="s">
        <v>602</v>
      </c>
      <c r="H206" t="s">
        <v>603</v>
      </c>
      <c r="I206" t="s">
        <v>649</v>
      </c>
      <c r="J206">
        <v>0</v>
      </c>
      <c r="K206" t="s">
        <v>650</v>
      </c>
      <c r="L206" t="s">
        <v>28</v>
      </c>
      <c r="M206">
        <v>47.95</v>
      </c>
      <c r="N206" t="s">
        <v>29</v>
      </c>
      <c r="O206">
        <f t="shared" si="16"/>
        <v>47.95</v>
      </c>
      <c r="P206">
        <f t="shared" si="17"/>
        <v>47.95</v>
      </c>
      <c r="Q206" t="s">
        <v>30</v>
      </c>
      <c r="R206">
        <v>45013</v>
      </c>
      <c r="S206">
        <v>401768</v>
      </c>
      <c r="U206">
        <f t="shared" si="18"/>
        <v>0</v>
      </c>
    </row>
    <row r="207" spans="1:21" ht="15.75" x14ac:dyDescent="0.25">
      <c r="A207" t="s">
        <v>651</v>
      </c>
      <c r="B207">
        <v>45029</v>
      </c>
      <c r="C207" t="s">
        <v>22</v>
      </c>
      <c r="D207" t="s">
        <v>23</v>
      </c>
      <c r="E207" t="s">
        <v>22</v>
      </c>
      <c r="F207" t="s">
        <v>23</v>
      </c>
      <c r="G207" t="s">
        <v>602</v>
      </c>
      <c r="H207" t="s">
        <v>603</v>
      </c>
      <c r="I207" t="s">
        <v>652</v>
      </c>
      <c r="J207">
        <v>0</v>
      </c>
      <c r="K207" t="s">
        <v>653</v>
      </c>
      <c r="L207" t="s">
        <v>28</v>
      </c>
      <c r="M207">
        <v>85.89</v>
      </c>
      <c r="N207" t="s">
        <v>29</v>
      </c>
      <c r="O207">
        <f t="shared" si="16"/>
        <v>85.89</v>
      </c>
      <c r="P207">
        <f t="shared" si="17"/>
        <v>85.89</v>
      </c>
      <c r="Q207" t="s">
        <v>30</v>
      </c>
      <c r="R207">
        <v>46144</v>
      </c>
      <c r="S207">
        <v>401768</v>
      </c>
      <c r="U207">
        <f t="shared" si="18"/>
        <v>0</v>
      </c>
    </row>
    <row r="208" spans="1:21" ht="15.75" x14ac:dyDescent="0.25">
      <c r="A208" t="s">
        <v>654</v>
      </c>
      <c r="B208">
        <v>45029</v>
      </c>
      <c r="C208" t="s">
        <v>22</v>
      </c>
      <c r="D208" t="s">
        <v>23</v>
      </c>
      <c r="E208" t="s">
        <v>22</v>
      </c>
      <c r="F208" t="s">
        <v>23</v>
      </c>
      <c r="G208" t="s">
        <v>602</v>
      </c>
      <c r="H208" t="s">
        <v>603</v>
      </c>
      <c r="I208" t="s">
        <v>655</v>
      </c>
      <c r="J208">
        <v>0</v>
      </c>
      <c r="K208" t="s">
        <v>656</v>
      </c>
      <c r="L208" t="s">
        <v>28</v>
      </c>
      <c r="M208">
        <v>108.91</v>
      </c>
      <c r="N208" t="s">
        <v>29</v>
      </c>
      <c r="O208">
        <f t="shared" si="16"/>
        <v>108.91</v>
      </c>
      <c r="P208">
        <f t="shared" si="17"/>
        <v>108.91</v>
      </c>
      <c r="Q208" t="s">
        <v>30</v>
      </c>
      <c r="R208">
        <v>46144</v>
      </c>
      <c r="S208">
        <v>401768</v>
      </c>
      <c r="T208">
        <v>200</v>
      </c>
      <c r="U208">
        <f t="shared" si="18"/>
        <v>0.21782000000000001</v>
      </c>
    </row>
    <row r="209" spans="1:21" ht="15.75" x14ac:dyDescent="0.25">
      <c r="A209" t="s">
        <v>657</v>
      </c>
      <c r="B209">
        <v>45103</v>
      </c>
      <c r="C209" t="s">
        <v>22</v>
      </c>
      <c r="D209" t="s">
        <v>23</v>
      </c>
      <c r="E209" t="s">
        <v>22</v>
      </c>
      <c r="F209" t="s">
        <v>23</v>
      </c>
      <c r="G209" t="s">
        <v>602</v>
      </c>
      <c r="H209" t="s">
        <v>603</v>
      </c>
      <c r="I209" t="s">
        <v>658</v>
      </c>
      <c r="J209">
        <v>0</v>
      </c>
      <c r="K209" t="s">
        <v>659</v>
      </c>
      <c r="L209" t="s">
        <v>28</v>
      </c>
      <c r="M209">
        <v>387.88</v>
      </c>
      <c r="N209" t="s">
        <v>29</v>
      </c>
      <c r="O209">
        <f t="shared" si="16"/>
        <v>387.88</v>
      </c>
      <c r="P209">
        <f t="shared" si="17"/>
        <v>387.88</v>
      </c>
      <c r="Q209" t="s">
        <v>30</v>
      </c>
      <c r="R209">
        <v>46144</v>
      </c>
      <c r="S209">
        <v>401768</v>
      </c>
      <c r="U209">
        <f t="shared" si="18"/>
        <v>0</v>
      </c>
    </row>
    <row r="210" spans="1:21" ht="15.75" x14ac:dyDescent="0.25">
      <c r="A210" t="s">
        <v>660</v>
      </c>
      <c r="B210">
        <v>45146</v>
      </c>
      <c r="C210" t="s">
        <v>22</v>
      </c>
      <c r="D210" t="s">
        <v>23</v>
      </c>
      <c r="E210" t="s">
        <v>22</v>
      </c>
      <c r="F210" t="s">
        <v>23</v>
      </c>
      <c r="G210" t="s">
        <v>602</v>
      </c>
      <c r="H210" t="s">
        <v>603</v>
      </c>
      <c r="I210" t="s">
        <v>661</v>
      </c>
      <c r="J210">
        <v>0</v>
      </c>
      <c r="K210" t="s">
        <v>632</v>
      </c>
      <c r="L210" t="s">
        <v>28</v>
      </c>
      <c r="M210">
        <v>14</v>
      </c>
      <c r="N210" t="s">
        <v>29</v>
      </c>
      <c r="O210">
        <f t="shared" si="16"/>
        <v>14</v>
      </c>
      <c r="P210">
        <f t="shared" si="17"/>
        <v>14</v>
      </c>
      <c r="Q210" t="s">
        <v>30</v>
      </c>
      <c r="R210">
        <v>45146</v>
      </c>
      <c r="S210">
        <v>401768</v>
      </c>
      <c r="U210">
        <f t="shared" si="18"/>
        <v>0</v>
      </c>
    </row>
    <row r="211" spans="1:21" ht="15.75" x14ac:dyDescent="0.25">
      <c r="A211" t="s">
        <v>662</v>
      </c>
      <c r="B211">
        <v>45146</v>
      </c>
      <c r="C211" t="s">
        <v>22</v>
      </c>
      <c r="D211" t="s">
        <v>23</v>
      </c>
      <c r="E211" t="s">
        <v>22</v>
      </c>
      <c r="F211" t="s">
        <v>23</v>
      </c>
      <c r="G211" t="s">
        <v>602</v>
      </c>
      <c r="H211" t="s">
        <v>603</v>
      </c>
      <c r="I211" t="s">
        <v>663</v>
      </c>
      <c r="J211">
        <v>0</v>
      </c>
      <c r="K211" t="s">
        <v>635</v>
      </c>
      <c r="L211" t="s">
        <v>28</v>
      </c>
      <c r="M211">
        <v>18</v>
      </c>
      <c r="N211" t="s">
        <v>29</v>
      </c>
      <c r="O211">
        <f t="shared" si="16"/>
        <v>18</v>
      </c>
      <c r="P211">
        <f t="shared" si="17"/>
        <v>18</v>
      </c>
      <c r="Q211" t="s">
        <v>30</v>
      </c>
      <c r="R211">
        <v>45146</v>
      </c>
      <c r="S211">
        <v>401768</v>
      </c>
      <c r="U211">
        <f t="shared" si="18"/>
        <v>0</v>
      </c>
    </row>
    <row r="212" spans="1:21" ht="15.75" x14ac:dyDescent="0.25">
      <c r="A212" t="s">
        <v>664</v>
      </c>
      <c r="B212">
        <v>45164</v>
      </c>
      <c r="C212" t="s">
        <v>22</v>
      </c>
      <c r="D212" t="s">
        <v>23</v>
      </c>
      <c r="E212" t="s">
        <v>22</v>
      </c>
      <c r="F212" t="s">
        <v>23</v>
      </c>
      <c r="G212" t="s">
        <v>602</v>
      </c>
      <c r="H212" t="s">
        <v>603</v>
      </c>
      <c r="I212" t="s">
        <v>665</v>
      </c>
      <c r="J212">
        <v>0</v>
      </c>
      <c r="K212" t="s">
        <v>666</v>
      </c>
      <c r="L212" t="s">
        <v>28</v>
      </c>
      <c r="M212">
        <v>5.5</v>
      </c>
      <c r="N212" t="s">
        <v>29</v>
      </c>
      <c r="O212">
        <f t="shared" si="16"/>
        <v>5.5</v>
      </c>
      <c r="P212">
        <f t="shared" si="17"/>
        <v>5.5</v>
      </c>
      <c r="Q212" t="s">
        <v>30</v>
      </c>
      <c r="R212">
        <v>45164</v>
      </c>
      <c r="S212">
        <v>401768</v>
      </c>
      <c r="U212">
        <f t="shared" si="18"/>
        <v>0</v>
      </c>
    </row>
    <row r="213" spans="1:21" ht="15.75" x14ac:dyDescent="0.25">
      <c r="A213" t="s">
        <v>667</v>
      </c>
      <c r="B213">
        <v>45164</v>
      </c>
      <c r="C213" t="s">
        <v>22</v>
      </c>
      <c r="D213" t="s">
        <v>23</v>
      </c>
      <c r="E213" t="s">
        <v>22</v>
      </c>
      <c r="F213" t="s">
        <v>23</v>
      </c>
      <c r="G213" t="s">
        <v>602</v>
      </c>
      <c r="H213" t="s">
        <v>603</v>
      </c>
      <c r="I213" t="s">
        <v>668</v>
      </c>
      <c r="J213">
        <v>0</v>
      </c>
      <c r="K213" t="s">
        <v>669</v>
      </c>
      <c r="L213" t="s">
        <v>28</v>
      </c>
      <c r="M213">
        <v>5.5</v>
      </c>
      <c r="N213" t="s">
        <v>29</v>
      </c>
      <c r="O213">
        <f t="shared" si="16"/>
        <v>5.5</v>
      </c>
      <c r="P213">
        <f t="shared" si="17"/>
        <v>5.5</v>
      </c>
      <c r="Q213" t="s">
        <v>30</v>
      </c>
      <c r="R213">
        <v>45164</v>
      </c>
      <c r="S213">
        <v>401768</v>
      </c>
      <c r="U213">
        <f t="shared" si="18"/>
        <v>0</v>
      </c>
    </row>
    <row r="214" spans="1:21" ht="15.75" x14ac:dyDescent="0.25">
      <c r="A214" t="s">
        <v>670</v>
      </c>
      <c r="B214">
        <v>45224</v>
      </c>
      <c r="C214" t="s">
        <v>22</v>
      </c>
      <c r="D214" t="s">
        <v>23</v>
      </c>
      <c r="E214" t="s">
        <v>22</v>
      </c>
      <c r="F214" t="s">
        <v>23</v>
      </c>
      <c r="G214" t="s">
        <v>602</v>
      </c>
      <c r="H214" t="s">
        <v>603</v>
      </c>
      <c r="I214" t="s">
        <v>671</v>
      </c>
      <c r="J214">
        <v>0</v>
      </c>
      <c r="K214" t="s">
        <v>638</v>
      </c>
      <c r="L214" t="s">
        <v>28</v>
      </c>
      <c r="M214">
        <v>26</v>
      </c>
      <c r="N214" t="s">
        <v>29</v>
      </c>
      <c r="O214">
        <f t="shared" si="16"/>
        <v>26</v>
      </c>
      <c r="P214">
        <f t="shared" si="17"/>
        <v>26</v>
      </c>
      <c r="Q214" t="s">
        <v>30</v>
      </c>
      <c r="R214">
        <v>45224</v>
      </c>
      <c r="S214">
        <v>401768</v>
      </c>
      <c r="U214">
        <f t="shared" si="18"/>
        <v>0</v>
      </c>
    </row>
    <row r="215" spans="1:21" ht="15.75" x14ac:dyDescent="0.25">
      <c r="A215" t="s">
        <v>672</v>
      </c>
      <c r="B215">
        <v>45224</v>
      </c>
      <c r="C215" t="s">
        <v>22</v>
      </c>
      <c r="D215" t="s">
        <v>23</v>
      </c>
      <c r="E215" t="s">
        <v>22</v>
      </c>
      <c r="F215" t="s">
        <v>23</v>
      </c>
      <c r="G215" t="s">
        <v>602</v>
      </c>
      <c r="H215" t="s">
        <v>603</v>
      </c>
      <c r="I215" t="s">
        <v>673</v>
      </c>
      <c r="J215">
        <v>0</v>
      </c>
      <c r="K215" t="s">
        <v>674</v>
      </c>
      <c r="L215" t="s">
        <v>28</v>
      </c>
      <c r="M215">
        <v>98</v>
      </c>
      <c r="N215" t="s">
        <v>29</v>
      </c>
      <c r="O215">
        <f t="shared" si="16"/>
        <v>98</v>
      </c>
      <c r="P215">
        <f t="shared" si="17"/>
        <v>98</v>
      </c>
      <c r="Q215" t="s">
        <v>30</v>
      </c>
      <c r="R215">
        <v>45224</v>
      </c>
      <c r="S215">
        <v>401768</v>
      </c>
      <c r="U215">
        <f t="shared" si="18"/>
        <v>0</v>
      </c>
    </row>
    <row r="216" spans="1:21" ht="15.75" x14ac:dyDescent="0.25">
      <c r="A216" t="s">
        <v>675</v>
      </c>
      <c r="B216">
        <v>43959</v>
      </c>
      <c r="C216" t="s">
        <v>22</v>
      </c>
      <c r="D216" t="s">
        <v>23</v>
      </c>
      <c r="E216" t="s">
        <v>22</v>
      </c>
      <c r="F216" t="s">
        <v>23</v>
      </c>
      <c r="G216" t="s">
        <v>676</v>
      </c>
      <c r="H216" t="s">
        <v>677</v>
      </c>
      <c r="I216" t="s">
        <v>678</v>
      </c>
      <c r="J216">
        <v>0</v>
      </c>
      <c r="K216" t="s">
        <v>679</v>
      </c>
      <c r="L216" t="s">
        <v>28</v>
      </c>
      <c r="M216">
        <v>0</v>
      </c>
      <c r="N216" t="s">
        <v>29</v>
      </c>
      <c r="O216">
        <f t="shared" si="16"/>
        <v>0</v>
      </c>
      <c r="P216">
        <f t="shared" si="17"/>
        <v>0</v>
      </c>
      <c r="Q216" t="s">
        <v>30</v>
      </c>
      <c r="R216">
        <v>41275</v>
      </c>
      <c r="S216">
        <v>401768</v>
      </c>
      <c r="U216">
        <f t="shared" si="18"/>
        <v>0</v>
      </c>
    </row>
    <row r="217" spans="1:21" ht="15.75" x14ac:dyDescent="0.25">
      <c r="A217" t="s">
        <v>680</v>
      </c>
      <c r="B217">
        <v>43959</v>
      </c>
      <c r="C217" t="s">
        <v>22</v>
      </c>
      <c r="D217" t="s">
        <v>23</v>
      </c>
      <c r="E217" t="s">
        <v>22</v>
      </c>
      <c r="F217" t="s">
        <v>23</v>
      </c>
      <c r="G217" t="s">
        <v>676</v>
      </c>
      <c r="H217" t="s">
        <v>677</v>
      </c>
      <c r="I217" t="s">
        <v>681</v>
      </c>
      <c r="J217">
        <v>0</v>
      </c>
      <c r="K217" t="s">
        <v>682</v>
      </c>
      <c r="L217" t="s">
        <v>28</v>
      </c>
      <c r="M217">
        <v>0</v>
      </c>
      <c r="N217" t="s">
        <v>29</v>
      </c>
      <c r="O217">
        <f t="shared" si="16"/>
        <v>0</v>
      </c>
      <c r="P217">
        <f t="shared" si="17"/>
        <v>0</v>
      </c>
      <c r="Q217" t="s">
        <v>30</v>
      </c>
      <c r="R217">
        <v>41275</v>
      </c>
      <c r="S217">
        <v>401768</v>
      </c>
      <c r="U217">
        <f t="shared" si="18"/>
        <v>0</v>
      </c>
    </row>
    <row r="218" spans="1:21" ht="15.75" x14ac:dyDescent="0.25">
      <c r="A218" t="s">
        <v>683</v>
      </c>
      <c r="B218">
        <v>43959</v>
      </c>
      <c r="C218" t="s">
        <v>22</v>
      </c>
      <c r="D218" t="s">
        <v>23</v>
      </c>
      <c r="E218" t="s">
        <v>22</v>
      </c>
      <c r="F218" t="s">
        <v>23</v>
      </c>
      <c r="G218" t="s">
        <v>676</v>
      </c>
      <c r="H218" t="s">
        <v>677</v>
      </c>
      <c r="I218" t="s">
        <v>684</v>
      </c>
      <c r="J218">
        <v>0</v>
      </c>
      <c r="K218" t="s">
        <v>685</v>
      </c>
      <c r="L218" t="s">
        <v>28</v>
      </c>
      <c r="M218">
        <v>5.13</v>
      </c>
      <c r="N218" t="s">
        <v>29</v>
      </c>
      <c r="O218">
        <f t="shared" si="16"/>
        <v>5.13</v>
      </c>
      <c r="P218">
        <f t="shared" si="17"/>
        <v>5.13</v>
      </c>
      <c r="Q218" t="s">
        <v>30</v>
      </c>
      <c r="R218">
        <v>41426</v>
      </c>
      <c r="S218">
        <v>401768</v>
      </c>
      <c r="U218">
        <f t="shared" si="18"/>
        <v>0</v>
      </c>
    </row>
    <row r="219" spans="1:21" ht="15.75" x14ac:dyDescent="0.25">
      <c r="A219" t="s">
        <v>686</v>
      </c>
      <c r="B219">
        <v>43959</v>
      </c>
      <c r="C219" t="s">
        <v>22</v>
      </c>
      <c r="D219" t="s">
        <v>23</v>
      </c>
      <c r="E219" t="s">
        <v>22</v>
      </c>
      <c r="F219" t="s">
        <v>23</v>
      </c>
      <c r="G219" t="s">
        <v>676</v>
      </c>
      <c r="H219" t="s">
        <v>677</v>
      </c>
      <c r="I219" t="s">
        <v>687</v>
      </c>
      <c r="J219">
        <v>0</v>
      </c>
      <c r="K219" t="s">
        <v>688</v>
      </c>
      <c r="L219" t="s">
        <v>28</v>
      </c>
      <c r="M219">
        <v>7.6</v>
      </c>
      <c r="N219" t="s">
        <v>29</v>
      </c>
      <c r="O219">
        <f t="shared" si="16"/>
        <v>7.6</v>
      </c>
      <c r="P219">
        <f t="shared" si="17"/>
        <v>7.6</v>
      </c>
      <c r="Q219" t="s">
        <v>30</v>
      </c>
      <c r="R219">
        <v>41426</v>
      </c>
      <c r="S219">
        <v>401768</v>
      </c>
      <c r="U219">
        <f t="shared" si="18"/>
        <v>0</v>
      </c>
    </row>
    <row r="220" spans="1:21" ht="15.75" x14ac:dyDescent="0.25">
      <c r="A220" t="s">
        <v>689</v>
      </c>
      <c r="B220">
        <v>44086</v>
      </c>
      <c r="C220" t="s">
        <v>22</v>
      </c>
      <c r="D220" t="s">
        <v>23</v>
      </c>
      <c r="E220" t="s">
        <v>22</v>
      </c>
      <c r="F220" t="s">
        <v>23</v>
      </c>
      <c r="G220" t="s">
        <v>676</v>
      </c>
      <c r="H220" t="s">
        <v>677</v>
      </c>
      <c r="I220" t="s">
        <v>690</v>
      </c>
      <c r="J220">
        <v>0</v>
      </c>
      <c r="K220" t="s">
        <v>691</v>
      </c>
      <c r="L220" t="s">
        <v>28</v>
      </c>
      <c r="M220">
        <v>1400</v>
      </c>
      <c r="N220" t="s">
        <v>29</v>
      </c>
      <c r="O220">
        <f t="shared" si="16"/>
        <v>1400</v>
      </c>
      <c r="P220">
        <f t="shared" si="17"/>
        <v>1400</v>
      </c>
      <c r="Q220" t="s">
        <v>30</v>
      </c>
      <c r="R220">
        <v>43922</v>
      </c>
      <c r="S220">
        <v>401768</v>
      </c>
      <c r="T220">
        <v>360</v>
      </c>
      <c r="U220">
        <f t="shared" si="18"/>
        <v>5.04</v>
      </c>
    </row>
    <row r="221" spans="1:21" ht="15.75" x14ac:dyDescent="0.25">
      <c r="A221" t="s">
        <v>692</v>
      </c>
      <c r="B221">
        <v>45758</v>
      </c>
      <c r="C221" t="s">
        <v>22</v>
      </c>
      <c r="D221" t="s">
        <v>23</v>
      </c>
      <c r="E221" t="s">
        <v>22</v>
      </c>
      <c r="F221" t="s">
        <v>23</v>
      </c>
      <c r="G221" t="s">
        <v>676</v>
      </c>
      <c r="H221" t="s">
        <v>677</v>
      </c>
      <c r="I221" t="s">
        <v>693</v>
      </c>
      <c r="J221">
        <v>0</v>
      </c>
      <c r="K221" t="s">
        <v>694</v>
      </c>
      <c r="L221" t="s">
        <v>28</v>
      </c>
      <c r="M221">
        <v>8000</v>
      </c>
      <c r="N221" t="s">
        <v>29</v>
      </c>
      <c r="O221">
        <f t="shared" si="16"/>
        <v>8000</v>
      </c>
      <c r="P221">
        <f t="shared" si="17"/>
        <v>8000</v>
      </c>
      <c r="Q221" t="s">
        <v>30</v>
      </c>
      <c r="R221">
        <v>45758</v>
      </c>
      <c r="S221">
        <v>401768</v>
      </c>
      <c r="T221">
        <v>40</v>
      </c>
      <c r="U221">
        <f t="shared" si="18"/>
        <v>3.2</v>
      </c>
    </row>
    <row r="222" spans="1:21" ht="15.75" x14ac:dyDescent="0.25">
      <c r="A222" t="s">
        <v>695</v>
      </c>
      <c r="B222">
        <v>45827</v>
      </c>
      <c r="C222" t="s">
        <v>22</v>
      </c>
      <c r="D222" t="s">
        <v>23</v>
      </c>
      <c r="E222" t="s">
        <v>22</v>
      </c>
      <c r="F222" t="s">
        <v>23</v>
      </c>
      <c r="G222" t="s">
        <v>696</v>
      </c>
      <c r="H222" t="s">
        <v>697</v>
      </c>
      <c r="I222" t="s">
        <v>698</v>
      </c>
      <c r="J222">
        <v>0</v>
      </c>
      <c r="K222" t="s">
        <v>699</v>
      </c>
      <c r="L222" t="s">
        <v>28</v>
      </c>
      <c r="M222">
        <v>1.39</v>
      </c>
      <c r="N222" t="s">
        <v>160</v>
      </c>
      <c r="O222">
        <v>95</v>
      </c>
      <c r="P222">
        <f>O222*M222</f>
        <v>132.04999999999998</v>
      </c>
      <c r="Q222" t="s">
        <v>30</v>
      </c>
      <c r="R222">
        <v>45827</v>
      </c>
      <c r="S222">
        <v>401768</v>
      </c>
      <c r="U222">
        <f t="shared" si="18"/>
        <v>0</v>
      </c>
    </row>
    <row r="223" spans="1:21" ht="15.75" x14ac:dyDescent="0.25">
      <c r="A223" t="s">
        <v>700</v>
      </c>
      <c r="B223">
        <v>45827</v>
      </c>
      <c r="C223" t="s">
        <v>22</v>
      </c>
      <c r="D223" t="s">
        <v>23</v>
      </c>
      <c r="E223" t="s">
        <v>22</v>
      </c>
      <c r="F223" t="s">
        <v>23</v>
      </c>
      <c r="G223" t="s">
        <v>696</v>
      </c>
      <c r="H223" t="s">
        <v>697</v>
      </c>
      <c r="I223" t="s">
        <v>701</v>
      </c>
      <c r="J223">
        <v>0</v>
      </c>
      <c r="K223" t="s">
        <v>702</v>
      </c>
      <c r="L223" t="s">
        <v>28</v>
      </c>
      <c r="M223">
        <v>1.75</v>
      </c>
      <c r="N223" t="s">
        <v>160</v>
      </c>
      <c r="O223">
        <v>95</v>
      </c>
      <c r="P223">
        <f>O223*M223</f>
        <v>166.25</v>
      </c>
      <c r="Q223" t="s">
        <v>30</v>
      </c>
      <c r="R223">
        <v>45827</v>
      </c>
      <c r="S223">
        <v>401768</v>
      </c>
      <c r="U223">
        <f t="shared" si="18"/>
        <v>0</v>
      </c>
    </row>
    <row r="224" spans="1:21" ht="15.75" x14ac:dyDescent="0.25">
      <c r="A224" t="s">
        <v>703</v>
      </c>
      <c r="B224">
        <v>45997</v>
      </c>
      <c r="C224" t="s">
        <v>22</v>
      </c>
      <c r="D224" t="s">
        <v>23</v>
      </c>
      <c r="E224" t="s">
        <v>22</v>
      </c>
      <c r="F224" t="s">
        <v>23</v>
      </c>
      <c r="G224" t="s">
        <v>696</v>
      </c>
      <c r="H224" t="s">
        <v>697</v>
      </c>
      <c r="I224" t="s">
        <v>704</v>
      </c>
      <c r="J224">
        <v>0</v>
      </c>
      <c r="K224" t="s">
        <v>705</v>
      </c>
      <c r="L224" t="s">
        <v>28</v>
      </c>
      <c r="M224">
        <v>1.39</v>
      </c>
      <c r="N224" t="s">
        <v>160</v>
      </c>
      <c r="O224">
        <v>95</v>
      </c>
      <c r="P224">
        <f>O224*M224</f>
        <v>132.04999999999998</v>
      </c>
      <c r="Q224" t="s">
        <v>30</v>
      </c>
      <c r="R224">
        <v>45997</v>
      </c>
      <c r="S224">
        <v>401768</v>
      </c>
      <c r="U224">
        <f t="shared" si="18"/>
        <v>0</v>
      </c>
    </row>
    <row r="225" spans="1:21" ht="15.75" x14ac:dyDescent="0.25">
      <c r="A225" t="s">
        <v>706</v>
      </c>
      <c r="B225">
        <v>46099</v>
      </c>
      <c r="C225" t="s">
        <v>22</v>
      </c>
      <c r="D225" t="s">
        <v>23</v>
      </c>
      <c r="E225" t="s">
        <v>30</v>
      </c>
      <c r="F225" t="s">
        <v>30</v>
      </c>
      <c r="G225" t="s">
        <v>696</v>
      </c>
      <c r="H225" t="s">
        <v>697</v>
      </c>
      <c r="I225" t="s">
        <v>707</v>
      </c>
      <c r="J225">
        <v>0</v>
      </c>
      <c r="K225" t="s">
        <v>708</v>
      </c>
      <c r="L225" t="s">
        <v>28</v>
      </c>
      <c r="M225">
        <v>0.41</v>
      </c>
      <c r="N225" t="s">
        <v>160</v>
      </c>
      <c r="O225">
        <v>95</v>
      </c>
      <c r="P225">
        <f>O225*M225</f>
        <v>38.949999999999996</v>
      </c>
      <c r="Q225" t="s">
        <v>30</v>
      </c>
      <c r="R225">
        <v>46099</v>
      </c>
      <c r="S225">
        <v>401768</v>
      </c>
      <c r="U225">
        <f t="shared" si="18"/>
        <v>0</v>
      </c>
    </row>
    <row r="226" spans="1:21" ht="15.75" x14ac:dyDescent="0.25">
      <c r="A226" t="s">
        <v>709</v>
      </c>
      <c r="B226">
        <v>44296</v>
      </c>
      <c r="C226" t="s">
        <v>22</v>
      </c>
      <c r="D226" t="s">
        <v>23</v>
      </c>
      <c r="E226" t="s">
        <v>22</v>
      </c>
      <c r="F226" t="s">
        <v>23</v>
      </c>
      <c r="G226" t="s">
        <v>710</v>
      </c>
      <c r="H226" t="s">
        <v>711</v>
      </c>
      <c r="I226" t="s">
        <v>712</v>
      </c>
      <c r="J226">
        <v>0</v>
      </c>
      <c r="K226" t="s">
        <v>713</v>
      </c>
      <c r="L226" t="s">
        <v>28</v>
      </c>
      <c r="M226">
        <v>107.15</v>
      </c>
      <c r="N226" t="s">
        <v>29</v>
      </c>
      <c r="O226">
        <f t="shared" ref="O226:O242" si="19">M226</f>
        <v>107.15</v>
      </c>
      <c r="P226">
        <f t="shared" ref="P226:P242" si="20">O226</f>
        <v>107.15</v>
      </c>
      <c r="Q226" t="s">
        <v>30</v>
      </c>
      <c r="R226">
        <v>46141</v>
      </c>
      <c r="S226">
        <v>401768</v>
      </c>
      <c r="T226">
        <v>40000</v>
      </c>
      <c r="U226">
        <f t="shared" si="18"/>
        <v>42.86</v>
      </c>
    </row>
    <row r="227" spans="1:21" ht="15.75" x14ac:dyDescent="0.25">
      <c r="A227" t="s">
        <v>714</v>
      </c>
      <c r="B227">
        <v>44296</v>
      </c>
      <c r="C227" t="s">
        <v>22</v>
      </c>
      <c r="D227" t="s">
        <v>23</v>
      </c>
      <c r="E227" t="s">
        <v>22</v>
      </c>
      <c r="F227" t="s">
        <v>23</v>
      </c>
      <c r="G227" t="s">
        <v>710</v>
      </c>
      <c r="H227" t="s">
        <v>711</v>
      </c>
      <c r="I227" t="s">
        <v>715</v>
      </c>
      <c r="J227">
        <v>0</v>
      </c>
      <c r="K227" t="s">
        <v>716</v>
      </c>
      <c r="L227" t="s">
        <v>28</v>
      </c>
      <c r="M227">
        <v>142.54</v>
      </c>
      <c r="N227" t="s">
        <v>29</v>
      </c>
      <c r="O227">
        <f t="shared" si="19"/>
        <v>142.54</v>
      </c>
      <c r="P227">
        <f t="shared" si="20"/>
        <v>142.54</v>
      </c>
      <c r="Q227" t="s">
        <v>30</v>
      </c>
      <c r="R227">
        <v>46141</v>
      </c>
      <c r="S227">
        <v>401768</v>
      </c>
      <c r="T227">
        <v>40000</v>
      </c>
      <c r="U227">
        <f t="shared" si="18"/>
        <v>57.015999999999998</v>
      </c>
    </row>
    <row r="228" spans="1:21" ht="15.75" x14ac:dyDescent="0.25">
      <c r="A228" t="s">
        <v>717</v>
      </c>
      <c r="B228">
        <v>44341</v>
      </c>
      <c r="C228" t="s">
        <v>22</v>
      </c>
      <c r="D228" t="s">
        <v>23</v>
      </c>
      <c r="E228" t="s">
        <v>22</v>
      </c>
      <c r="F228" t="s">
        <v>23</v>
      </c>
      <c r="G228" t="s">
        <v>710</v>
      </c>
      <c r="H228" t="s">
        <v>711</v>
      </c>
      <c r="I228" t="s">
        <v>718</v>
      </c>
      <c r="J228">
        <v>0</v>
      </c>
      <c r="K228" t="s">
        <v>719</v>
      </c>
      <c r="L228" t="s">
        <v>28</v>
      </c>
      <c r="M228">
        <v>114.8</v>
      </c>
      <c r="N228" t="s">
        <v>29</v>
      </c>
      <c r="O228">
        <f t="shared" si="19"/>
        <v>114.8</v>
      </c>
      <c r="P228">
        <f t="shared" si="20"/>
        <v>114.8</v>
      </c>
      <c r="Q228" t="s">
        <v>30</v>
      </c>
      <c r="R228">
        <v>46141</v>
      </c>
      <c r="S228">
        <v>401768</v>
      </c>
      <c r="T228">
        <v>20000</v>
      </c>
      <c r="U228">
        <f t="shared" si="18"/>
        <v>22.96</v>
      </c>
    </row>
    <row r="229" spans="1:21" ht="15.75" x14ac:dyDescent="0.25">
      <c r="A229" t="s">
        <v>720</v>
      </c>
      <c r="B229">
        <v>44341</v>
      </c>
      <c r="C229" t="s">
        <v>22</v>
      </c>
      <c r="D229" t="s">
        <v>23</v>
      </c>
      <c r="E229" t="s">
        <v>22</v>
      </c>
      <c r="F229" t="s">
        <v>23</v>
      </c>
      <c r="G229" t="s">
        <v>710</v>
      </c>
      <c r="H229" t="s">
        <v>711</v>
      </c>
      <c r="I229" t="s">
        <v>721</v>
      </c>
      <c r="J229">
        <v>0</v>
      </c>
      <c r="K229" t="s">
        <v>722</v>
      </c>
      <c r="L229" t="s">
        <v>28</v>
      </c>
      <c r="M229">
        <v>136.44</v>
      </c>
      <c r="N229" t="s">
        <v>29</v>
      </c>
      <c r="O229">
        <f t="shared" si="19"/>
        <v>136.44</v>
      </c>
      <c r="P229">
        <f t="shared" si="20"/>
        <v>136.44</v>
      </c>
      <c r="Q229" t="s">
        <v>30</v>
      </c>
      <c r="R229">
        <v>46141</v>
      </c>
      <c r="S229">
        <v>401768</v>
      </c>
      <c r="T229">
        <v>20000</v>
      </c>
      <c r="U229">
        <f t="shared" si="18"/>
        <v>27.288</v>
      </c>
    </row>
    <row r="230" spans="1:21" ht="15.75" x14ac:dyDescent="0.25">
      <c r="A230" t="s">
        <v>723</v>
      </c>
      <c r="B230">
        <v>44693</v>
      </c>
      <c r="C230" t="s">
        <v>22</v>
      </c>
      <c r="D230" t="s">
        <v>23</v>
      </c>
      <c r="E230" t="s">
        <v>22</v>
      </c>
      <c r="F230" t="s">
        <v>23</v>
      </c>
      <c r="G230" t="s">
        <v>710</v>
      </c>
      <c r="H230" t="s">
        <v>711</v>
      </c>
      <c r="I230" t="s">
        <v>724</v>
      </c>
      <c r="J230">
        <v>0</v>
      </c>
      <c r="K230" t="s">
        <v>725</v>
      </c>
      <c r="L230" t="s">
        <v>28</v>
      </c>
      <c r="M230">
        <v>4575</v>
      </c>
      <c r="N230" t="s">
        <v>29</v>
      </c>
      <c r="O230">
        <f t="shared" si="19"/>
        <v>4575</v>
      </c>
      <c r="P230">
        <f t="shared" si="20"/>
        <v>4575</v>
      </c>
      <c r="Q230" t="s">
        <v>30</v>
      </c>
      <c r="R230">
        <v>44854</v>
      </c>
      <c r="S230">
        <v>401768</v>
      </c>
      <c r="U230">
        <f t="shared" si="18"/>
        <v>0</v>
      </c>
    </row>
    <row r="231" spans="1:21" ht="15.75" x14ac:dyDescent="0.25">
      <c r="A231" t="s">
        <v>726</v>
      </c>
      <c r="B231">
        <v>44854</v>
      </c>
      <c r="C231" t="s">
        <v>22</v>
      </c>
      <c r="D231" t="s">
        <v>23</v>
      </c>
      <c r="E231" t="s">
        <v>22</v>
      </c>
      <c r="F231" t="s">
        <v>23</v>
      </c>
      <c r="G231" t="s">
        <v>710</v>
      </c>
      <c r="H231" t="s">
        <v>711</v>
      </c>
      <c r="I231" t="s">
        <v>315</v>
      </c>
      <c r="J231">
        <v>0</v>
      </c>
      <c r="K231" t="s">
        <v>316</v>
      </c>
      <c r="L231" t="s">
        <v>28</v>
      </c>
      <c r="M231">
        <v>177466.61</v>
      </c>
      <c r="N231" t="s">
        <v>29</v>
      </c>
      <c r="O231">
        <f t="shared" si="19"/>
        <v>177466.61</v>
      </c>
      <c r="P231">
        <f t="shared" si="20"/>
        <v>177466.61</v>
      </c>
      <c r="Q231" t="s">
        <v>30</v>
      </c>
      <c r="R231">
        <v>44957</v>
      </c>
      <c r="S231">
        <v>401768</v>
      </c>
      <c r="U231">
        <f t="shared" si="18"/>
        <v>0</v>
      </c>
    </row>
    <row r="232" spans="1:21" ht="15.75" x14ac:dyDescent="0.25">
      <c r="A232" t="s">
        <v>727</v>
      </c>
      <c r="B232">
        <v>45082</v>
      </c>
      <c r="C232" t="s">
        <v>22</v>
      </c>
      <c r="D232" t="s">
        <v>23</v>
      </c>
      <c r="E232" t="s">
        <v>22</v>
      </c>
      <c r="F232" t="s">
        <v>23</v>
      </c>
      <c r="G232" t="s">
        <v>710</v>
      </c>
      <c r="H232" t="s">
        <v>711</v>
      </c>
      <c r="I232" t="s">
        <v>728</v>
      </c>
      <c r="J232">
        <v>0</v>
      </c>
      <c r="K232" t="s">
        <v>729</v>
      </c>
      <c r="L232" t="s">
        <v>28</v>
      </c>
      <c r="M232">
        <v>93.76</v>
      </c>
      <c r="N232" t="s">
        <v>29</v>
      </c>
      <c r="O232">
        <f t="shared" si="19"/>
        <v>93.76</v>
      </c>
      <c r="P232">
        <f t="shared" si="20"/>
        <v>93.76</v>
      </c>
      <c r="Q232" t="s">
        <v>30</v>
      </c>
      <c r="R232">
        <v>45082</v>
      </c>
      <c r="S232">
        <v>401768</v>
      </c>
      <c r="U232">
        <f t="shared" si="18"/>
        <v>0</v>
      </c>
    </row>
    <row r="233" spans="1:21" ht="15.75" x14ac:dyDescent="0.25">
      <c r="A233" t="s">
        <v>730</v>
      </c>
      <c r="B233">
        <v>45411</v>
      </c>
      <c r="C233" t="s">
        <v>22</v>
      </c>
      <c r="D233" t="s">
        <v>23</v>
      </c>
      <c r="E233" t="s">
        <v>22</v>
      </c>
      <c r="F233" t="s">
        <v>23</v>
      </c>
      <c r="G233" t="s">
        <v>710</v>
      </c>
      <c r="H233" t="s">
        <v>711</v>
      </c>
      <c r="I233" t="s">
        <v>731</v>
      </c>
      <c r="J233">
        <v>0</v>
      </c>
      <c r="K233" t="s">
        <v>732</v>
      </c>
      <c r="L233" t="s">
        <v>28</v>
      </c>
      <c r="M233">
        <v>6.4</v>
      </c>
      <c r="N233" t="s">
        <v>29</v>
      </c>
      <c r="O233">
        <f t="shared" si="19"/>
        <v>6.4</v>
      </c>
      <c r="P233">
        <f t="shared" si="20"/>
        <v>6.4</v>
      </c>
      <c r="Q233" t="s">
        <v>30</v>
      </c>
      <c r="R233">
        <v>45411</v>
      </c>
      <c r="S233">
        <v>401768</v>
      </c>
      <c r="U233">
        <f t="shared" si="18"/>
        <v>0</v>
      </c>
    </row>
    <row r="234" spans="1:21" ht="15.75" x14ac:dyDescent="0.25">
      <c r="A234" t="s">
        <v>733</v>
      </c>
      <c r="B234">
        <v>45721</v>
      </c>
      <c r="C234" t="s">
        <v>22</v>
      </c>
      <c r="D234" t="s">
        <v>23</v>
      </c>
      <c r="E234" t="s">
        <v>22</v>
      </c>
      <c r="F234" t="s">
        <v>23</v>
      </c>
      <c r="G234" t="s">
        <v>710</v>
      </c>
      <c r="H234" t="s">
        <v>711</v>
      </c>
      <c r="I234" t="s">
        <v>734</v>
      </c>
      <c r="J234">
        <v>0</v>
      </c>
      <c r="K234" t="s">
        <v>735</v>
      </c>
      <c r="L234" t="s">
        <v>28</v>
      </c>
      <c r="M234">
        <v>760</v>
      </c>
      <c r="N234" t="s">
        <v>29</v>
      </c>
      <c r="O234">
        <f t="shared" si="19"/>
        <v>760</v>
      </c>
      <c r="P234">
        <f t="shared" si="20"/>
        <v>760</v>
      </c>
      <c r="Q234" t="s">
        <v>30</v>
      </c>
      <c r="R234">
        <v>45721</v>
      </c>
      <c r="S234">
        <v>401768</v>
      </c>
      <c r="U234">
        <f t="shared" si="18"/>
        <v>0</v>
      </c>
    </row>
    <row r="235" spans="1:21" ht="15.75" x14ac:dyDescent="0.25">
      <c r="A235" t="s">
        <v>736</v>
      </c>
      <c r="B235">
        <v>46065</v>
      </c>
      <c r="C235" t="s">
        <v>22</v>
      </c>
      <c r="D235" t="s">
        <v>23</v>
      </c>
      <c r="E235" t="s">
        <v>22</v>
      </c>
      <c r="F235" t="s">
        <v>23</v>
      </c>
      <c r="G235" t="s">
        <v>710</v>
      </c>
      <c r="H235" t="s">
        <v>711</v>
      </c>
      <c r="I235" t="s">
        <v>737</v>
      </c>
      <c r="J235">
        <v>0</v>
      </c>
      <c r="K235" t="s">
        <v>738</v>
      </c>
      <c r="L235" t="s">
        <v>28</v>
      </c>
      <c r="M235">
        <v>4.0599999999999996</v>
      </c>
      <c r="N235" t="s">
        <v>29</v>
      </c>
      <c r="O235">
        <f t="shared" si="19"/>
        <v>4.0599999999999996</v>
      </c>
      <c r="P235">
        <f t="shared" si="20"/>
        <v>4.0599999999999996</v>
      </c>
      <c r="Q235" t="s">
        <v>30</v>
      </c>
      <c r="R235">
        <v>46065</v>
      </c>
      <c r="S235">
        <v>401768</v>
      </c>
      <c r="U235">
        <f t="shared" si="18"/>
        <v>0</v>
      </c>
    </row>
    <row r="236" spans="1:21" ht="15.75" x14ac:dyDescent="0.25">
      <c r="A236" t="s">
        <v>739</v>
      </c>
      <c r="B236">
        <v>46065</v>
      </c>
      <c r="C236" t="s">
        <v>22</v>
      </c>
      <c r="D236" t="s">
        <v>23</v>
      </c>
      <c r="E236" t="s">
        <v>22</v>
      </c>
      <c r="F236" t="s">
        <v>23</v>
      </c>
      <c r="G236" t="s">
        <v>710</v>
      </c>
      <c r="H236" t="s">
        <v>711</v>
      </c>
      <c r="I236" t="s">
        <v>740</v>
      </c>
      <c r="J236">
        <v>0</v>
      </c>
      <c r="K236" t="s">
        <v>738</v>
      </c>
      <c r="L236" t="s">
        <v>28</v>
      </c>
      <c r="M236">
        <v>2.0099999999999998</v>
      </c>
      <c r="N236" t="s">
        <v>29</v>
      </c>
      <c r="O236">
        <f t="shared" si="19"/>
        <v>2.0099999999999998</v>
      </c>
      <c r="P236">
        <f t="shared" si="20"/>
        <v>2.0099999999999998</v>
      </c>
      <c r="Q236" t="s">
        <v>30</v>
      </c>
      <c r="R236">
        <v>46065</v>
      </c>
      <c r="S236">
        <v>401768</v>
      </c>
      <c r="U236">
        <f t="shared" si="18"/>
        <v>0</v>
      </c>
    </row>
    <row r="237" spans="1:21" ht="15.75" x14ac:dyDescent="0.25">
      <c r="A237" t="s">
        <v>741</v>
      </c>
      <c r="B237">
        <v>46065</v>
      </c>
      <c r="C237" t="s">
        <v>22</v>
      </c>
      <c r="D237" t="s">
        <v>23</v>
      </c>
      <c r="E237" t="s">
        <v>22</v>
      </c>
      <c r="F237" t="s">
        <v>23</v>
      </c>
      <c r="G237" t="s">
        <v>710</v>
      </c>
      <c r="H237" t="s">
        <v>711</v>
      </c>
      <c r="I237" t="s">
        <v>742</v>
      </c>
      <c r="J237">
        <v>0</v>
      </c>
      <c r="K237" t="s">
        <v>743</v>
      </c>
      <c r="L237" t="s">
        <v>28</v>
      </c>
      <c r="M237">
        <v>4.88</v>
      </c>
      <c r="N237" t="s">
        <v>29</v>
      </c>
      <c r="O237">
        <f t="shared" si="19"/>
        <v>4.88</v>
      </c>
      <c r="P237">
        <f t="shared" si="20"/>
        <v>4.88</v>
      </c>
      <c r="Q237" t="s">
        <v>30</v>
      </c>
      <c r="R237">
        <v>46065</v>
      </c>
      <c r="S237">
        <v>401768</v>
      </c>
      <c r="U237">
        <f t="shared" si="18"/>
        <v>0</v>
      </c>
    </row>
    <row r="238" spans="1:21" ht="15.75" x14ac:dyDescent="0.25">
      <c r="A238" t="s">
        <v>744</v>
      </c>
      <c r="B238">
        <v>46065</v>
      </c>
      <c r="C238" t="s">
        <v>22</v>
      </c>
      <c r="D238" t="s">
        <v>23</v>
      </c>
      <c r="E238" t="s">
        <v>22</v>
      </c>
      <c r="F238" t="s">
        <v>23</v>
      </c>
      <c r="G238" t="s">
        <v>710</v>
      </c>
      <c r="H238" t="s">
        <v>711</v>
      </c>
      <c r="I238" t="s">
        <v>745</v>
      </c>
      <c r="J238">
        <v>0</v>
      </c>
      <c r="K238" t="s">
        <v>743</v>
      </c>
      <c r="L238" t="s">
        <v>28</v>
      </c>
      <c r="M238">
        <v>2.42</v>
      </c>
      <c r="N238" t="s">
        <v>29</v>
      </c>
      <c r="O238">
        <f t="shared" si="19"/>
        <v>2.42</v>
      </c>
      <c r="P238">
        <f t="shared" si="20"/>
        <v>2.42</v>
      </c>
      <c r="Q238" t="s">
        <v>30</v>
      </c>
      <c r="R238">
        <v>46065</v>
      </c>
      <c r="S238">
        <v>401768</v>
      </c>
      <c r="U238">
        <f t="shared" si="18"/>
        <v>0</v>
      </c>
    </row>
    <row r="239" spans="1:21" ht="15.75" x14ac:dyDescent="0.25">
      <c r="A239" t="s">
        <v>746</v>
      </c>
      <c r="B239">
        <v>46065</v>
      </c>
      <c r="C239" t="s">
        <v>22</v>
      </c>
      <c r="D239" t="s">
        <v>23</v>
      </c>
      <c r="E239" t="s">
        <v>22</v>
      </c>
      <c r="F239" t="s">
        <v>23</v>
      </c>
      <c r="G239" t="s">
        <v>710</v>
      </c>
      <c r="H239" t="s">
        <v>711</v>
      </c>
      <c r="I239" t="s">
        <v>747</v>
      </c>
      <c r="J239">
        <v>0</v>
      </c>
      <c r="K239" t="s">
        <v>748</v>
      </c>
      <c r="L239" t="s">
        <v>28</v>
      </c>
      <c r="M239">
        <v>3.65</v>
      </c>
      <c r="N239" t="s">
        <v>29</v>
      </c>
      <c r="O239">
        <f t="shared" si="19"/>
        <v>3.65</v>
      </c>
      <c r="P239">
        <f t="shared" si="20"/>
        <v>3.65</v>
      </c>
      <c r="Q239" t="s">
        <v>30</v>
      </c>
      <c r="R239">
        <v>46065</v>
      </c>
      <c r="S239">
        <v>401768</v>
      </c>
      <c r="U239">
        <f t="shared" si="18"/>
        <v>0</v>
      </c>
    </row>
    <row r="240" spans="1:21" ht="15.75" x14ac:dyDescent="0.25">
      <c r="A240" t="s">
        <v>749</v>
      </c>
      <c r="B240">
        <v>46065</v>
      </c>
      <c r="C240" t="s">
        <v>22</v>
      </c>
      <c r="D240" t="s">
        <v>23</v>
      </c>
      <c r="E240" t="s">
        <v>22</v>
      </c>
      <c r="F240" t="s">
        <v>23</v>
      </c>
      <c r="G240" t="s">
        <v>710</v>
      </c>
      <c r="H240" t="s">
        <v>711</v>
      </c>
      <c r="I240" t="s">
        <v>750</v>
      </c>
      <c r="J240">
        <v>0</v>
      </c>
      <c r="K240" t="s">
        <v>748</v>
      </c>
      <c r="L240" t="s">
        <v>28</v>
      </c>
      <c r="M240">
        <v>1.81</v>
      </c>
      <c r="N240" t="s">
        <v>29</v>
      </c>
      <c r="O240">
        <f t="shared" si="19"/>
        <v>1.81</v>
      </c>
      <c r="P240">
        <f t="shared" si="20"/>
        <v>1.81</v>
      </c>
      <c r="Q240" t="s">
        <v>30</v>
      </c>
      <c r="R240">
        <v>46065</v>
      </c>
      <c r="S240">
        <v>401768</v>
      </c>
      <c r="U240">
        <f t="shared" si="18"/>
        <v>0</v>
      </c>
    </row>
    <row r="241" spans="1:21" ht="15.75" x14ac:dyDescent="0.25">
      <c r="A241" t="s">
        <v>751</v>
      </c>
      <c r="B241">
        <v>46065</v>
      </c>
      <c r="C241" t="s">
        <v>22</v>
      </c>
      <c r="D241" t="s">
        <v>23</v>
      </c>
      <c r="E241" t="s">
        <v>22</v>
      </c>
      <c r="F241" t="s">
        <v>23</v>
      </c>
      <c r="G241" t="s">
        <v>710</v>
      </c>
      <c r="H241" t="s">
        <v>711</v>
      </c>
      <c r="I241" t="s">
        <v>752</v>
      </c>
      <c r="J241">
        <v>0</v>
      </c>
      <c r="K241" t="s">
        <v>753</v>
      </c>
      <c r="L241" t="s">
        <v>28</v>
      </c>
      <c r="M241">
        <v>5.0599999999999996</v>
      </c>
      <c r="N241" t="s">
        <v>29</v>
      </c>
      <c r="O241">
        <f t="shared" si="19"/>
        <v>5.0599999999999996</v>
      </c>
      <c r="P241">
        <f t="shared" si="20"/>
        <v>5.0599999999999996</v>
      </c>
      <c r="Q241" t="s">
        <v>30</v>
      </c>
      <c r="R241">
        <v>46065</v>
      </c>
      <c r="S241">
        <v>401768</v>
      </c>
      <c r="U241">
        <f t="shared" si="18"/>
        <v>0</v>
      </c>
    </row>
    <row r="242" spans="1:21" ht="15.75" x14ac:dyDescent="0.25">
      <c r="A242" t="s">
        <v>754</v>
      </c>
      <c r="B242">
        <v>46065</v>
      </c>
      <c r="C242" t="s">
        <v>22</v>
      </c>
      <c r="D242" t="s">
        <v>23</v>
      </c>
      <c r="E242" t="s">
        <v>22</v>
      </c>
      <c r="F242" t="s">
        <v>23</v>
      </c>
      <c r="G242" t="s">
        <v>710</v>
      </c>
      <c r="H242" t="s">
        <v>711</v>
      </c>
      <c r="I242" t="s">
        <v>755</v>
      </c>
      <c r="J242">
        <v>0</v>
      </c>
      <c r="K242" t="s">
        <v>753</v>
      </c>
      <c r="L242" t="s">
        <v>28</v>
      </c>
      <c r="M242">
        <v>2.5099999999999998</v>
      </c>
      <c r="N242" t="s">
        <v>29</v>
      </c>
      <c r="O242">
        <f t="shared" si="19"/>
        <v>2.5099999999999998</v>
      </c>
      <c r="P242">
        <f t="shared" si="20"/>
        <v>2.5099999999999998</v>
      </c>
      <c r="Q242" t="s">
        <v>30</v>
      </c>
      <c r="R242">
        <v>46065</v>
      </c>
      <c r="S242">
        <v>401768</v>
      </c>
      <c r="U242">
        <f t="shared" si="18"/>
        <v>0</v>
      </c>
    </row>
    <row r="243" spans="1:21" ht="15.75" x14ac:dyDescent="0.25">
      <c r="A243" t="s">
        <v>756</v>
      </c>
      <c r="B243">
        <v>43959</v>
      </c>
      <c r="C243" t="s">
        <v>22</v>
      </c>
      <c r="D243" t="s">
        <v>23</v>
      </c>
      <c r="E243" t="s">
        <v>22</v>
      </c>
      <c r="F243" t="s">
        <v>23</v>
      </c>
      <c r="G243" t="s">
        <v>757</v>
      </c>
      <c r="H243" t="s">
        <v>758</v>
      </c>
      <c r="I243" t="s">
        <v>759</v>
      </c>
      <c r="J243">
        <v>0</v>
      </c>
      <c r="K243" t="s">
        <v>760</v>
      </c>
      <c r="L243" t="s">
        <v>28</v>
      </c>
      <c r="M243">
        <v>4.74</v>
      </c>
      <c r="N243" t="s">
        <v>160</v>
      </c>
      <c r="O243">
        <v>95</v>
      </c>
      <c r="P243">
        <f t="shared" ref="P243:P248" si="21">O243*M243</f>
        <v>450.3</v>
      </c>
      <c r="Q243" t="s">
        <v>30</v>
      </c>
      <c r="R243">
        <v>41275</v>
      </c>
      <c r="S243">
        <v>401768</v>
      </c>
      <c r="U243">
        <f t="shared" si="18"/>
        <v>0</v>
      </c>
    </row>
    <row r="244" spans="1:21" ht="15.75" x14ac:dyDescent="0.25">
      <c r="A244" t="s">
        <v>761</v>
      </c>
      <c r="B244">
        <v>43959</v>
      </c>
      <c r="C244" t="s">
        <v>22</v>
      </c>
      <c r="D244" t="s">
        <v>23</v>
      </c>
      <c r="E244" t="s">
        <v>22</v>
      </c>
      <c r="F244" t="s">
        <v>23</v>
      </c>
      <c r="G244" t="s">
        <v>757</v>
      </c>
      <c r="H244" t="s">
        <v>758</v>
      </c>
      <c r="I244" t="s">
        <v>762</v>
      </c>
      <c r="J244">
        <v>0</v>
      </c>
      <c r="K244" t="s">
        <v>763</v>
      </c>
      <c r="L244" t="s">
        <v>28</v>
      </c>
      <c r="M244">
        <v>5</v>
      </c>
      <c r="N244" t="s">
        <v>160</v>
      </c>
      <c r="O244">
        <v>95</v>
      </c>
      <c r="P244">
        <f t="shared" si="21"/>
        <v>475</v>
      </c>
      <c r="Q244" t="s">
        <v>30</v>
      </c>
      <c r="R244">
        <v>41275</v>
      </c>
      <c r="S244">
        <v>401768</v>
      </c>
      <c r="U244">
        <f t="shared" si="18"/>
        <v>0</v>
      </c>
    </row>
    <row r="245" spans="1:21" ht="15.75" x14ac:dyDescent="0.25">
      <c r="A245" t="s">
        <v>764</v>
      </c>
      <c r="B245">
        <v>43959</v>
      </c>
      <c r="C245" t="s">
        <v>22</v>
      </c>
      <c r="D245" t="s">
        <v>23</v>
      </c>
      <c r="E245" t="s">
        <v>22</v>
      </c>
      <c r="F245" t="s">
        <v>23</v>
      </c>
      <c r="G245" t="s">
        <v>765</v>
      </c>
      <c r="H245" t="s">
        <v>766</v>
      </c>
      <c r="I245" t="s">
        <v>158</v>
      </c>
      <c r="J245">
        <v>0</v>
      </c>
      <c r="K245" t="s">
        <v>159</v>
      </c>
      <c r="L245" t="s">
        <v>28</v>
      </c>
      <c r="M245">
        <v>9.5</v>
      </c>
      <c r="N245" t="s">
        <v>160</v>
      </c>
      <c r="O245">
        <v>95</v>
      </c>
      <c r="P245">
        <f t="shared" si="21"/>
        <v>902.5</v>
      </c>
      <c r="Q245" t="s">
        <v>30</v>
      </c>
      <c r="R245">
        <v>41275</v>
      </c>
      <c r="S245">
        <v>401768</v>
      </c>
      <c r="U245">
        <f t="shared" si="18"/>
        <v>0</v>
      </c>
    </row>
    <row r="246" spans="1:21" ht="15.75" x14ac:dyDescent="0.25">
      <c r="A246" t="s">
        <v>767</v>
      </c>
      <c r="B246">
        <v>43959</v>
      </c>
      <c r="C246" t="s">
        <v>22</v>
      </c>
      <c r="D246" t="s">
        <v>23</v>
      </c>
      <c r="E246" t="s">
        <v>22</v>
      </c>
      <c r="F246" t="s">
        <v>23</v>
      </c>
      <c r="G246" t="s">
        <v>765</v>
      </c>
      <c r="H246" t="s">
        <v>766</v>
      </c>
      <c r="I246" t="s">
        <v>162</v>
      </c>
      <c r="J246">
        <v>0</v>
      </c>
      <c r="K246" t="s">
        <v>163</v>
      </c>
      <c r="L246" t="s">
        <v>28</v>
      </c>
      <c r="M246">
        <v>9.5</v>
      </c>
      <c r="N246" t="s">
        <v>160</v>
      </c>
      <c r="O246">
        <v>95</v>
      </c>
      <c r="P246">
        <f t="shared" si="21"/>
        <v>902.5</v>
      </c>
      <c r="Q246" t="s">
        <v>30</v>
      </c>
      <c r="R246">
        <v>41275</v>
      </c>
      <c r="S246">
        <v>401768</v>
      </c>
      <c r="U246">
        <f t="shared" si="18"/>
        <v>0</v>
      </c>
    </row>
    <row r="247" spans="1:21" ht="15.75" x14ac:dyDescent="0.25">
      <c r="A247" t="s">
        <v>768</v>
      </c>
      <c r="B247">
        <v>43959</v>
      </c>
      <c r="C247" t="s">
        <v>22</v>
      </c>
      <c r="D247" t="s">
        <v>23</v>
      </c>
      <c r="E247" t="s">
        <v>22</v>
      </c>
      <c r="F247" t="s">
        <v>23</v>
      </c>
      <c r="G247" t="s">
        <v>769</v>
      </c>
      <c r="H247" t="s">
        <v>770</v>
      </c>
      <c r="I247" t="s">
        <v>158</v>
      </c>
      <c r="J247">
        <v>0</v>
      </c>
      <c r="K247" t="s">
        <v>159</v>
      </c>
      <c r="L247" t="s">
        <v>28</v>
      </c>
      <c r="M247">
        <v>10</v>
      </c>
      <c r="N247" t="s">
        <v>160</v>
      </c>
      <c r="O247">
        <v>95</v>
      </c>
      <c r="P247">
        <f t="shared" si="21"/>
        <v>950</v>
      </c>
      <c r="Q247" t="s">
        <v>30</v>
      </c>
      <c r="R247">
        <v>42355</v>
      </c>
      <c r="S247">
        <v>401768</v>
      </c>
      <c r="U247">
        <f t="shared" si="18"/>
        <v>0</v>
      </c>
    </row>
    <row r="248" spans="1:21" ht="15.75" x14ac:dyDescent="0.25">
      <c r="A248" t="s">
        <v>771</v>
      </c>
      <c r="B248">
        <v>43959</v>
      </c>
      <c r="C248" t="s">
        <v>22</v>
      </c>
      <c r="D248" t="s">
        <v>23</v>
      </c>
      <c r="E248" t="s">
        <v>22</v>
      </c>
      <c r="F248" t="s">
        <v>23</v>
      </c>
      <c r="G248" t="s">
        <v>769</v>
      </c>
      <c r="H248" t="s">
        <v>770</v>
      </c>
      <c r="I248" t="s">
        <v>162</v>
      </c>
      <c r="J248">
        <v>0</v>
      </c>
      <c r="K248" t="s">
        <v>163</v>
      </c>
      <c r="L248" t="s">
        <v>28</v>
      </c>
      <c r="M248">
        <v>10</v>
      </c>
      <c r="N248" t="s">
        <v>160</v>
      </c>
      <c r="O248">
        <v>95</v>
      </c>
      <c r="P248">
        <f t="shared" si="21"/>
        <v>950</v>
      </c>
      <c r="Q248" t="s">
        <v>30</v>
      </c>
      <c r="R248">
        <v>42355</v>
      </c>
      <c r="S248">
        <v>401768</v>
      </c>
      <c r="U248">
        <f t="shared" si="18"/>
        <v>0</v>
      </c>
    </row>
    <row r="249" spans="1:21" ht="15.75" x14ac:dyDescent="0.25">
      <c r="A249" t="s">
        <v>772</v>
      </c>
      <c r="B249">
        <v>43959</v>
      </c>
      <c r="C249" t="s">
        <v>22</v>
      </c>
      <c r="D249" t="s">
        <v>23</v>
      </c>
      <c r="E249" t="s">
        <v>22</v>
      </c>
      <c r="F249" t="s">
        <v>23</v>
      </c>
      <c r="G249" t="s">
        <v>773</v>
      </c>
      <c r="H249" t="s">
        <v>774</v>
      </c>
      <c r="I249" t="s">
        <v>775</v>
      </c>
      <c r="J249">
        <v>0</v>
      </c>
      <c r="K249" t="s">
        <v>776</v>
      </c>
      <c r="L249" t="s">
        <v>28</v>
      </c>
      <c r="M249">
        <v>67.2</v>
      </c>
      <c r="N249" t="s">
        <v>29</v>
      </c>
      <c r="O249">
        <f>M249</f>
        <v>67.2</v>
      </c>
      <c r="P249">
        <f>O249</f>
        <v>67.2</v>
      </c>
      <c r="Q249" t="s">
        <v>30</v>
      </c>
      <c r="R249">
        <v>42143</v>
      </c>
      <c r="S249">
        <v>401768</v>
      </c>
      <c r="U249">
        <f t="shared" si="18"/>
        <v>0</v>
      </c>
    </row>
    <row r="250" spans="1:21" ht="15.75" x14ac:dyDescent="0.25">
      <c r="A250" t="s">
        <v>777</v>
      </c>
      <c r="B250">
        <v>45204</v>
      </c>
      <c r="C250" t="s">
        <v>22</v>
      </c>
      <c r="D250" t="s">
        <v>23</v>
      </c>
      <c r="E250" t="s">
        <v>22</v>
      </c>
      <c r="F250" t="s">
        <v>23</v>
      </c>
      <c r="G250" t="s">
        <v>778</v>
      </c>
      <c r="H250" t="s">
        <v>779</v>
      </c>
      <c r="I250" t="s">
        <v>780</v>
      </c>
      <c r="J250">
        <v>0</v>
      </c>
      <c r="K250" t="s">
        <v>781</v>
      </c>
      <c r="L250" t="s">
        <v>28</v>
      </c>
      <c r="M250">
        <v>0.49</v>
      </c>
      <c r="N250" t="s">
        <v>160</v>
      </c>
      <c r="O250">
        <v>95</v>
      </c>
      <c r="P250">
        <f>O250*M250</f>
        <v>46.55</v>
      </c>
      <c r="Q250" t="s">
        <v>30</v>
      </c>
      <c r="R250">
        <v>45204</v>
      </c>
      <c r="S250">
        <v>401768</v>
      </c>
      <c r="U250">
        <f t="shared" si="18"/>
        <v>0</v>
      </c>
    </row>
    <row r="251" spans="1:21" ht="15.75" x14ac:dyDescent="0.25">
      <c r="A251" t="s">
        <v>782</v>
      </c>
      <c r="B251">
        <v>45204</v>
      </c>
      <c r="C251" t="s">
        <v>22</v>
      </c>
      <c r="D251" t="s">
        <v>23</v>
      </c>
      <c r="E251" t="s">
        <v>22</v>
      </c>
      <c r="F251" t="s">
        <v>23</v>
      </c>
      <c r="G251" t="s">
        <v>778</v>
      </c>
      <c r="H251" t="s">
        <v>779</v>
      </c>
      <c r="I251" t="s">
        <v>780</v>
      </c>
      <c r="J251">
        <v>0</v>
      </c>
      <c r="K251" t="s">
        <v>781</v>
      </c>
      <c r="L251" t="s">
        <v>28</v>
      </c>
      <c r="M251">
        <v>0.49</v>
      </c>
      <c r="N251" t="s">
        <v>160</v>
      </c>
      <c r="O251">
        <v>95</v>
      </c>
      <c r="P251">
        <f>O251*M251</f>
        <v>46.55</v>
      </c>
      <c r="Q251" t="s">
        <v>30</v>
      </c>
      <c r="R251">
        <v>45204</v>
      </c>
      <c r="S251">
        <v>401768</v>
      </c>
      <c r="U251">
        <f t="shared" si="18"/>
        <v>0</v>
      </c>
    </row>
    <row r="252" spans="1:21" ht="15.75" x14ac:dyDescent="0.25">
      <c r="A252" t="s">
        <v>783</v>
      </c>
      <c r="B252">
        <v>43959</v>
      </c>
      <c r="C252" t="s">
        <v>22</v>
      </c>
      <c r="D252" t="s">
        <v>23</v>
      </c>
      <c r="E252" t="s">
        <v>22</v>
      </c>
      <c r="F252" t="s">
        <v>23</v>
      </c>
      <c r="G252" t="s">
        <v>784</v>
      </c>
      <c r="H252" t="s">
        <v>785</v>
      </c>
      <c r="I252" t="s">
        <v>786</v>
      </c>
      <c r="J252">
        <v>0</v>
      </c>
      <c r="K252" t="s">
        <v>787</v>
      </c>
      <c r="L252" t="s">
        <v>28</v>
      </c>
      <c r="M252">
        <v>39.93</v>
      </c>
      <c r="N252" t="s">
        <v>29</v>
      </c>
      <c r="O252">
        <f t="shared" ref="O252:O274" si="22">M252</f>
        <v>39.93</v>
      </c>
      <c r="P252">
        <f t="shared" ref="P252:P274" si="23">O252</f>
        <v>39.93</v>
      </c>
      <c r="Q252" t="s">
        <v>30</v>
      </c>
      <c r="R252">
        <v>42683</v>
      </c>
      <c r="S252">
        <v>401768</v>
      </c>
      <c r="U252">
        <f t="shared" si="18"/>
        <v>0</v>
      </c>
    </row>
    <row r="253" spans="1:21" ht="15.75" x14ac:dyDescent="0.25">
      <c r="A253" t="s">
        <v>788</v>
      </c>
      <c r="B253">
        <v>43959</v>
      </c>
      <c r="C253" t="s">
        <v>22</v>
      </c>
      <c r="D253" t="s">
        <v>23</v>
      </c>
      <c r="E253" t="s">
        <v>22</v>
      </c>
      <c r="F253" t="s">
        <v>23</v>
      </c>
      <c r="G253" t="s">
        <v>784</v>
      </c>
      <c r="H253" t="s">
        <v>785</v>
      </c>
      <c r="I253" t="s">
        <v>789</v>
      </c>
      <c r="J253">
        <v>0</v>
      </c>
      <c r="K253" t="s">
        <v>790</v>
      </c>
      <c r="L253" t="s">
        <v>28</v>
      </c>
      <c r="M253">
        <v>88.48</v>
      </c>
      <c r="N253" t="s">
        <v>29</v>
      </c>
      <c r="O253">
        <f t="shared" si="22"/>
        <v>88.48</v>
      </c>
      <c r="P253">
        <f t="shared" si="23"/>
        <v>88.48</v>
      </c>
      <c r="Q253" t="s">
        <v>30</v>
      </c>
      <c r="R253">
        <v>45320</v>
      </c>
      <c r="S253">
        <v>401768</v>
      </c>
      <c r="U253">
        <f t="shared" si="18"/>
        <v>0</v>
      </c>
    </row>
    <row r="254" spans="1:21" ht="15.75" x14ac:dyDescent="0.25">
      <c r="A254" t="s">
        <v>791</v>
      </c>
      <c r="B254">
        <v>43959</v>
      </c>
      <c r="C254" t="s">
        <v>22</v>
      </c>
      <c r="D254" t="s">
        <v>23</v>
      </c>
      <c r="E254" t="s">
        <v>22</v>
      </c>
      <c r="F254" t="s">
        <v>23</v>
      </c>
      <c r="G254" t="s">
        <v>784</v>
      </c>
      <c r="H254" t="s">
        <v>785</v>
      </c>
      <c r="I254" t="s">
        <v>792</v>
      </c>
      <c r="J254">
        <v>0</v>
      </c>
      <c r="K254" t="s">
        <v>793</v>
      </c>
      <c r="L254" t="s">
        <v>28</v>
      </c>
      <c r="M254">
        <v>6.56</v>
      </c>
      <c r="N254" t="s">
        <v>29</v>
      </c>
      <c r="O254">
        <f t="shared" si="22"/>
        <v>6.56</v>
      </c>
      <c r="P254">
        <f t="shared" si="23"/>
        <v>6.56</v>
      </c>
      <c r="Q254" t="s">
        <v>30</v>
      </c>
      <c r="R254">
        <v>45320</v>
      </c>
      <c r="S254">
        <v>401768</v>
      </c>
      <c r="U254">
        <f t="shared" si="18"/>
        <v>0</v>
      </c>
    </row>
    <row r="255" spans="1:21" ht="15.75" x14ac:dyDescent="0.25">
      <c r="A255" t="s">
        <v>794</v>
      </c>
      <c r="B255">
        <v>44530</v>
      </c>
      <c r="C255" t="s">
        <v>22</v>
      </c>
      <c r="D255" t="s">
        <v>23</v>
      </c>
      <c r="E255" t="s">
        <v>22</v>
      </c>
      <c r="F255" t="s">
        <v>23</v>
      </c>
      <c r="G255" t="s">
        <v>784</v>
      </c>
      <c r="H255" t="s">
        <v>785</v>
      </c>
      <c r="I255" t="s">
        <v>795</v>
      </c>
      <c r="J255">
        <v>0</v>
      </c>
      <c r="K255" t="s">
        <v>796</v>
      </c>
      <c r="L255" t="s">
        <v>28</v>
      </c>
      <c r="M255">
        <v>48.08</v>
      </c>
      <c r="N255" t="s">
        <v>29</v>
      </c>
      <c r="O255">
        <f t="shared" si="22"/>
        <v>48.08</v>
      </c>
      <c r="P255">
        <f t="shared" si="23"/>
        <v>48.08</v>
      </c>
      <c r="Q255" t="s">
        <v>30</v>
      </c>
      <c r="R255">
        <v>44532</v>
      </c>
      <c r="S255">
        <v>401768</v>
      </c>
      <c r="U255">
        <f t="shared" si="18"/>
        <v>0</v>
      </c>
    </row>
    <row r="256" spans="1:21" ht="15.75" x14ac:dyDescent="0.25">
      <c r="A256" t="s">
        <v>797</v>
      </c>
      <c r="B256">
        <v>43959</v>
      </c>
      <c r="C256" t="s">
        <v>22</v>
      </c>
      <c r="D256" t="s">
        <v>23</v>
      </c>
      <c r="E256" t="s">
        <v>22</v>
      </c>
      <c r="F256" t="s">
        <v>23</v>
      </c>
      <c r="G256" t="s">
        <v>798</v>
      </c>
      <c r="H256" t="s">
        <v>799</v>
      </c>
      <c r="I256" t="s">
        <v>800</v>
      </c>
      <c r="J256">
        <v>0</v>
      </c>
      <c r="K256" t="s">
        <v>801</v>
      </c>
      <c r="L256" t="s">
        <v>28</v>
      </c>
      <c r="M256">
        <v>61.07</v>
      </c>
      <c r="N256" t="s">
        <v>29</v>
      </c>
      <c r="O256">
        <f t="shared" si="22"/>
        <v>61.07</v>
      </c>
      <c r="P256">
        <f t="shared" si="23"/>
        <v>61.07</v>
      </c>
      <c r="Q256" t="s">
        <v>30</v>
      </c>
      <c r="R256">
        <v>42244</v>
      </c>
      <c r="S256">
        <v>401768</v>
      </c>
      <c r="U256">
        <f t="shared" si="18"/>
        <v>0</v>
      </c>
    </row>
    <row r="257" spans="1:21" ht="15.75" x14ac:dyDescent="0.25">
      <c r="A257" t="s">
        <v>802</v>
      </c>
      <c r="B257">
        <v>43959</v>
      </c>
      <c r="C257" t="s">
        <v>22</v>
      </c>
      <c r="D257" t="s">
        <v>23</v>
      </c>
      <c r="E257" t="s">
        <v>22</v>
      </c>
      <c r="F257" t="s">
        <v>23</v>
      </c>
      <c r="G257" t="s">
        <v>798</v>
      </c>
      <c r="H257" t="s">
        <v>799</v>
      </c>
      <c r="I257" t="s">
        <v>786</v>
      </c>
      <c r="J257">
        <v>0</v>
      </c>
      <c r="K257" t="s">
        <v>787</v>
      </c>
      <c r="L257" t="s">
        <v>28</v>
      </c>
      <c r="M257">
        <v>39.93</v>
      </c>
      <c r="N257" t="s">
        <v>29</v>
      </c>
      <c r="O257">
        <f t="shared" si="22"/>
        <v>39.93</v>
      </c>
      <c r="P257">
        <f t="shared" si="23"/>
        <v>39.93</v>
      </c>
      <c r="Q257" t="s">
        <v>30</v>
      </c>
      <c r="R257">
        <v>42244</v>
      </c>
      <c r="S257">
        <v>401768</v>
      </c>
      <c r="U257">
        <f t="shared" si="18"/>
        <v>0</v>
      </c>
    </row>
    <row r="258" spans="1:21" ht="15.75" x14ac:dyDescent="0.25">
      <c r="A258" t="s">
        <v>803</v>
      </c>
      <c r="B258">
        <v>43959</v>
      </c>
      <c r="C258" t="s">
        <v>22</v>
      </c>
      <c r="D258" t="s">
        <v>23</v>
      </c>
      <c r="E258" t="s">
        <v>22</v>
      </c>
      <c r="F258" t="s">
        <v>23</v>
      </c>
      <c r="G258" t="s">
        <v>798</v>
      </c>
      <c r="H258" t="s">
        <v>799</v>
      </c>
      <c r="I258" t="s">
        <v>804</v>
      </c>
      <c r="J258">
        <v>0</v>
      </c>
      <c r="K258" t="s">
        <v>805</v>
      </c>
      <c r="L258" t="s">
        <v>28</v>
      </c>
      <c r="M258">
        <v>44.93</v>
      </c>
      <c r="N258" t="s">
        <v>29</v>
      </c>
      <c r="O258">
        <f t="shared" si="22"/>
        <v>44.93</v>
      </c>
      <c r="P258">
        <f t="shared" si="23"/>
        <v>44.93</v>
      </c>
      <c r="Q258" t="s">
        <v>30</v>
      </c>
      <c r="R258">
        <v>45967</v>
      </c>
      <c r="S258">
        <v>401768</v>
      </c>
      <c r="U258">
        <f t="shared" si="18"/>
        <v>0</v>
      </c>
    </row>
    <row r="259" spans="1:21" ht="15.75" x14ac:dyDescent="0.25">
      <c r="A259" t="s">
        <v>806</v>
      </c>
      <c r="B259">
        <v>43959</v>
      </c>
      <c r="C259" t="s">
        <v>22</v>
      </c>
      <c r="D259" t="s">
        <v>23</v>
      </c>
      <c r="E259" t="s">
        <v>22</v>
      </c>
      <c r="F259" t="s">
        <v>23</v>
      </c>
      <c r="G259" t="s">
        <v>798</v>
      </c>
      <c r="H259" t="s">
        <v>799</v>
      </c>
      <c r="I259" t="s">
        <v>807</v>
      </c>
      <c r="J259">
        <v>0</v>
      </c>
      <c r="K259" t="s">
        <v>808</v>
      </c>
      <c r="L259" t="s">
        <v>28</v>
      </c>
      <c r="M259">
        <v>93.09</v>
      </c>
      <c r="N259" t="s">
        <v>29</v>
      </c>
      <c r="O259">
        <f t="shared" si="22"/>
        <v>93.09</v>
      </c>
      <c r="P259">
        <f t="shared" si="23"/>
        <v>93.09</v>
      </c>
      <c r="Q259" t="s">
        <v>30</v>
      </c>
      <c r="R259">
        <v>45967</v>
      </c>
      <c r="S259">
        <v>401768</v>
      </c>
      <c r="U259">
        <f t="shared" ref="U259:U322" si="24">T259*P259/100000</f>
        <v>0</v>
      </c>
    </row>
    <row r="260" spans="1:21" ht="15.75" x14ac:dyDescent="0.25">
      <c r="A260" t="s">
        <v>809</v>
      </c>
      <c r="B260">
        <v>43959</v>
      </c>
      <c r="C260" t="s">
        <v>22</v>
      </c>
      <c r="D260" t="s">
        <v>23</v>
      </c>
      <c r="E260" t="s">
        <v>22</v>
      </c>
      <c r="F260" t="s">
        <v>23</v>
      </c>
      <c r="G260" t="s">
        <v>798</v>
      </c>
      <c r="H260" t="s">
        <v>799</v>
      </c>
      <c r="I260" t="s">
        <v>789</v>
      </c>
      <c r="J260">
        <v>0</v>
      </c>
      <c r="K260" t="s">
        <v>790</v>
      </c>
      <c r="L260" t="s">
        <v>28</v>
      </c>
      <c r="M260">
        <v>98.13</v>
      </c>
      <c r="N260" t="s">
        <v>29</v>
      </c>
      <c r="O260">
        <f t="shared" si="22"/>
        <v>98.13</v>
      </c>
      <c r="P260">
        <f t="shared" si="23"/>
        <v>98.13</v>
      </c>
      <c r="Q260" t="s">
        <v>30</v>
      </c>
      <c r="R260">
        <v>45967</v>
      </c>
      <c r="S260">
        <v>401768</v>
      </c>
      <c r="U260">
        <f t="shared" si="24"/>
        <v>0</v>
      </c>
    </row>
    <row r="261" spans="1:21" ht="15.75" x14ac:dyDescent="0.25">
      <c r="A261" t="s">
        <v>810</v>
      </c>
      <c r="B261">
        <v>43959</v>
      </c>
      <c r="C261" t="s">
        <v>22</v>
      </c>
      <c r="D261" t="s">
        <v>23</v>
      </c>
      <c r="E261" t="s">
        <v>22</v>
      </c>
      <c r="F261" t="s">
        <v>23</v>
      </c>
      <c r="G261" t="s">
        <v>798</v>
      </c>
      <c r="H261" t="s">
        <v>799</v>
      </c>
      <c r="I261" t="s">
        <v>811</v>
      </c>
      <c r="J261">
        <v>0</v>
      </c>
      <c r="K261" t="s">
        <v>812</v>
      </c>
      <c r="L261" t="s">
        <v>28</v>
      </c>
      <c r="M261">
        <v>110.64</v>
      </c>
      <c r="N261" t="s">
        <v>29</v>
      </c>
      <c r="O261">
        <f t="shared" si="22"/>
        <v>110.64</v>
      </c>
      <c r="P261">
        <f t="shared" si="23"/>
        <v>110.64</v>
      </c>
      <c r="Q261" t="s">
        <v>30</v>
      </c>
      <c r="R261">
        <v>45967</v>
      </c>
      <c r="S261">
        <v>401768</v>
      </c>
      <c r="U261">
        <f t="shared" si="24"/>
        <v>0</v>
      </c>
    </row>
    <row r="262" spans="1:21" ht="15.75" x14ac:dyDescent="0.25">
      <c r="A262" t="s">
        <v>813</v>
      </c>
      <c r="B262">
        <v>43959</v>
      </c>
      <c r="C262" t="s">
        <v>22</v>
      </c>
      <c r="D262" t="s">
        <v>23</v>
      </c>
      <c r="E262" t="s">
        <v>22</v>
      </c>
      <c r="F262" t="s">
        <v>23</v>
      </c>
      <c r="G262" t="s">
        <v>798</v>
      </c>
      <c r="H262" t="s">
        <v>799</v>
      </c>
      <c r="I262" t="s">
        <v>792</v>
      </c>
      <c r="J262">
        <v>0</v>
      </c>
      <c r="K262" t="s">
        <v>793</v>
      </c>
      <c r="L262" t="s">
        <v>28</v>
      </c>
      <c r="M262">
        <v>6.78</v>
      </c>
      <c r="N262" t="s">
        <v>29</v>
      </c>
      <c r="O262">
        <f t="shared" si="22"/>
        <v>6.78</v>
      </c>
      <c r="P262">
        <f t="shared" si="23"/>
        <v>6.78</v>
      </c>
      <c r="Q262" t="s">
        <v>30</v>
      </c>
      <c r="R262">
        <v>45967</v>
      </c>
      <c r="S262">
        <v>401768</v>
      </c>
      <c r="U262">
        <f t="shared" si="24"/>
        <v>0</v>
      </c>
    </row>
    <row r="263" spans="1:21" ht="15.75" x14ac:dyDescent="0.25">
      <c r="A263" t="s">
        <v>814</v>
      </c>
      <c r="B263">
        <v>43959</v>
      </c>
      <c r="C263" t="s">
        <v>22</v>
      </c>
      <c r="D263" t="s">
        <v>23</v>
      </c>
      <c r="E263" t="s">
        <v>22</v>
      </c>
      <c r="F263" t="s">
        <v>23</v>
      </c>
      <c r="G263" t="s">
        <v>798</v>
      </c>
      <c r="H263" t="s">
        <v>799</v>
      </c>
      <c r="I263" t="s">
        <v>815</v>
      </c>
      <c r="J263">
        <v>0</v>
      </c>
      <c r="K263" t="s">
        <v>816</v>
      </c>
      <c r="L263" t="s">
        <v>28</v>
      </c>
      <c r="M263">
        <v>115.13</v>
      </c>
      <c r="N263" t="s">
        <v>29</v>
      </c>
      <c r="O263">
        <f t="shared" si="22"/>
        <v>115.13</v>
      </c>
      <c r="P263">
        <f t="shared" si="23"/>
        <v>115.13</v>
      </c>
      <c r="Q263" t="s">
        <v>30</v>
      </c>
      <c r="R263">
        <v>45967</v>
      </c>
      <c r="S263">
        <v>401768</v>
      </c>
      <c r="U263">
        <f t="shared" si="24"/>
        <v>0</v>
      </c>
    </row>
    <row r="264" spans="1:21" ht="15.75" x14ac:dyDescent="0.25">
      <c r="A264" t="s">
        <v>817</v>
      </c>
      <c r="B264">
        <v>43959</v>
      </c>
      <c r="C264" t="s">
        <v>22</v>
      </c>
      <c r="D264" t="s">
        <v>23</v>
      </c>
      <c r="E264" t="s">
        <v>22</v>
      </c>
      <c r="F264" t="s">
        <v>23</v>
      </c>
      <c r="G264" t="s">
        <v>798</v>
      </c>
      <c r="H264" t="s">
        <v>799</v>
      </c>
      <c r="I264" t="s">
        <v>818</v>
      </c>
      <c r="J264">
        <v>0</v>
      </c>
      <c r="K264" t="s">
        <v>819</v>
      </c>
      <c r="L264" t="s">
        <v>28</v>
      </c>
      <c r="M264">
        <v>114.45</v>
      </c>
      <c r="N264" t="s">
        <v>29</v>
      </c>
      <c r="O264">
        <f t="shared" si="22"/>
        <v>114.45</v>
      </c>
      <c r="P264">
        <f t="shared" si="23"/>
        <v>114.45</v>
      </c>
      <c r="Q264" t="s">
        <v>30</v>
      </c>
      <c r="R264">
        <v>44578</v>
      </c>
      <c r="S264">
        <v>401768</v>
      </c>
      <c r="U264">
        <f t="shared" si="24"/>
        <v>0</v>
      </c>
    </row>
    <row r="265" spans="1:21" ht="15.75" x14ac:dyDescent="0.25">
      <c r="A265" t="s">
        <v>820</v>
      </c>
      <c r="B265">
        <v>44824</v>
      </c>
      <c r="C265" t="s">
        <v>22</v>
      </c>
      <c r="D265" t="s">
        <v>23</v>
      </c>
      <c r="E265" t="s">
        <v>22</v>
      </c>
      <c r="F265" t="s">
        <v>23</v>
      </c>
      <c r="G265" t="s">
        <v>798</v>
      </c>
      <c r="H265" t="s">
        <v>799</v>
      </c>
      <c r="I265" t="s">
        <v>315</v>
      </c>
      <c r="J265">
        <v>0</v>
      </c>
      <c r="K265" t="s">
        <v>316</v>
      </c>
      <c r="L265" t="s">
        <v>28</v>
      </c>
      <c r="M265">
        <v>5755</v>
      </c>
      <c r="N265" t="s">
        <v>29</v>
      </c>
      <c r="O265">
        <f t="shared" si="22"/>
        <v>5755</v>
      </c>
      <c r="P265">
        <f t="shared" si="23"/>
        <v>5755</v>
      </c>
      <c r="Q265" t="s">
        <v>30</v>
      </c>
      <c r="R265">
        <v>44824</v>
      </c>
      <c r="S265">
        <v>401768</v>
      </c>
      <c r="U265">
        <f t="shared" si="24"/>
        <v>0</v>
      </c>
    </row>
    <row r="266" spans="1:21" ht="15.75" x14ac:dyDescent="0.25">
      <c r="A266" t="s">
        <v>821</v>
      </c>
      <c r="B266">
        <v>45211</v>
      </c>
      <c r="C266" t="s">
        <v>22</v>
      </c>
      <c r="D266" t="s">
        <v>23</v>
      </c>
      <c r="E266" t="s">
        <v>22</v>
      </c>
      <c r="F266" t="s">
        <v>23</v>
      </c>
      <c r="G266" t="s">
        <v>798</v>
      </c>
      <c r="H266" t="s">
        <v>799</v>
      </c>
      <c r="I266" t="s">
        <v>780</v>
      </c>
      <c r="J266">
        <v>0</v>
      </c>
      <c r="K266" t="s">
        <v>781</v>
      </c>
      <c r="L266" t="s">
        <v>28</v>
      </c>
      <c r="M266">
        <v>40</v>
      </c>
      <c r="N266" t="s">
        <v>29</v>
      </c>
      <c r="O266">
        <f t="shared" si="22"/>
        <v>40</v>
      </c>
      <c r="P266">
        <f t="shared" si="23"/>
        <v>40</v>
      </c>
      <c r="Q266" t="s">
        <v>30</v>
      </c>
      <c r="R266">
        <v>45211</v>
      </c>
      <c r="S266">
        <v>401768</v>
      </c>
      <c r="U266">
        <f t="shared" si="24"/>
        <v>0</v>
      </c>
    </row>
    <row r="267" spans="1:21" ht="15.75" x14ac:dyDescent="0.25">
      <c r="A267" t="s">
        <v>822</v>
      </c>
      <c r="B267">
        <v>43959</v>
      </c>
      <c r="C267" t="s">
        <v>22</v>
      </c>
      <c r="D267" t="s">
        <v>23</v>
      </c>
      <c r="E267" t="s">
        <v>22</v>
      </c>
      <c r="F267" t="s">
        <v>23</v>
      </c>
      <c r="G267" t="s">
        <v>823</v>
      </c>
      <c r="H267" t="s">
        <v>824</v>
      </c>
      <c r="I267" t="s">
        <v>800</v>
      </c>
      <c r="J267">
        <v>0</v>
      </c>
      <c r="K267" t="s">
        <v>801</v>
      </c>
      <c r="L267" t="s">
        <v>28</v>
      </c>
      <c r="M267">
        <v>66.67</v>
      </c>
      <c r="N267" t="s">
        <v>29</v>
      </c>
      <c r="O267">
        <f t="shared" si="22"/>
        <v>66.67</v>
      </c>
      <c r="P267">
        <f t="shared" si="23"/>
        <v>66.67</v>
      </c>
      <c r="Q267" t="s">
        <v>30</v>
      </c>
      <c r="R267">
        <v>43239</v>
      </c>
      <c r="S267">
        <v>401768</v>
      </c>
      <c r="U267">
        <f t="shared" si="24"/>
        <v>0</v>
      </c>
    </row>
    <row r="268" spans="1:21" ht="15.75" x14ac:dyDescent="0.25">
      <c r="A268" t="s">
        <v>825</v>
      </c>
      <c r="B268">
        <v>43959</v>
      </c>
      <c r="C268" t="s">
        <v>22</v>
      </c>
      <c r="D268" t="s">
        <v>23</v>
      </c>
      <c r="E268" t="s">
        <v>22</v>
      </c>
      <c r="F268" t="s">
        <v>23</v>
      </c>
      <c r="G268" t="s">
        <v>823</v>
      </c>
      <c r="H268" t="s">
        <v>824</v>
      </c>
      <c r="I268" t="s">
        <v>786</v>
      </c>
      <c r="J268">
        <v>0</v>
      </c>
      <c r="K268" t="s">
        <v>787</v>
      </c>
      <c r="L268" t="s">
        <v>28</v>
      </c>
      <c r="M268">
        <v>39.93</v>
      </c>
      <c r="N268" t="s">
        <v>29</v>
      </c>
      <c r="O268">
        <f t="shared" si="22"/>
        <v>39.93</v>
      </c>
      <c r="P268">
        <f t="shared" si="23"/>
        <v>39.93</v>
      </c>
      <c r="Q268" t="s">
        <v>30</v>
      </c>
      <c r="R268">
        <v>42244</v>
      </c>
      <c r="S268">
        <v>401768</v>
      </c>
      <c r="U268">
        <f t="shared" si="24"/>
        <v>0</v>
      </c>
    </row>
    <row r="269" spans="1:21" ht="15.75" x14ac:dyDescent="0.25">
      <c r="A269" t="s">
        <v>826</v>
      </c>
      <c r="B269">
        <v>43959</v>
      </c>
      <c r="C269" t="s">
        <v>22</v>
      </c>
      <c r="D269" t="s">
        <v>23</v>
      </c>
      <c r="E269" t="s">
        <v>22</v>
      </c>
      <c r="F269" t="s">
        <v>23</v>
      </c>
      <c r="G269" t="s">
        <v>823</v>
      </c>
      <c r="H269" t="s">
        <v>824</v>
      </c>
      <c r="I269" t="s">
        <v>795</v>
      </c>
      <c r="J269">
        <v>0</v>
      </c>
      <c r="K269" t="s">
        <v>796</v>
      </c>
      <c r="L269" t="s">
        <v>28</v>
      </c>
      <c r="M269">
        <v>48.08</v>
      </c>
      <c r="N269" t="s">
        <v>29</v>
      </c>
      <c r="O269">
        <f t="shared" si="22"/>
        <v>48.08</v>
      </c>
      <c r="P269">
        <f t="shared" si="23"/>
        <v>48.08</v>
      </c>
      <c r="Q269" t="s">
        <v>30</v>
      </c>
      <c r="R269">
        <v>44532</v>
      </c>
      <c r="S269">
        <v>401768</v>
      </c>
      <c r="U269">
        <f t="shared" si="24"/>
        <v>0</v>
      </c>
    </row>
    <row r="270" spans="1:21" ht="15.75" x14ac:dyDescent="0.25">
      <c r="A270" t="s">
        <v>827</v>
      </c>
      <c r="B270">
        <v>43959</v>
      </c>
      <c r="C270" t="s">
        <v>22</v>
      </c>
      <c r="D270" t="s">
        <v>23</v>
      </c>
      <c r="E270" t="s">
        <v>22</v>
      </c>
      <c r="F270" t="s">
        <v>23</v>
      </c>
      <c r="G270" t="s">
        <v>823</v>
      </c>
      <c r="H270" t="s">
        <v>824</v>
      </c>
      <c r="I270" t="s">
        <v>828</v>
      </c>
      <c r="J270">
        <v>0</v>
      </c>
      <c r="K270" t="s">
        <v>829</v>
      </c>
      <c r="L270" t="s">
        <v>28</v>
      </c>
      <c r="M270">
        <v>36.46</v>
      </c>
      <c r="N270" t="s">
        <v>29</v>
      </c>
      <c r="O270">
        <f t="shared" si="22"/>
        <v>36.46</v>
      </c>
      <c r="P270">
        <f t="shared" si="23"/>
        <v>36.46</v>
      </c>
      <c r="Q270" t="s">
        <v>30</v>
      </c>
      <c r="R270">
        <v>44679</v>
      </c>
      <c r="S270">
        <v>401768</v>
      </c>
      <c r="U270">
        <f t="shared" si="24"/>
        <v>0</v>
      </c>
    </row>
    <row r="271" spans="1:21" ht="15.75" x14ac:dyDescent="0.25">
      <c r="A271" t="s">
        <v>830</v>
      </c>
      <c r="B271">
        <v>43959</v>
      </c>
      <c r="C271" t="s">
        <v>22</v>
      </c>
      <c r="D271" t="s">
        <v>23</v>
      </c>
      <c r="E271" t="s">
        <v>22</v>
      </c>
      <c r="F271" t="s">
        <v>23</v>
      </c>
      <c r="G271" t="s">
        <v>823</v>
      </c>
      <c r="H271" t="s">
        <v>824</v>
      </c>
      <c r="I271" t="s">
        <v>815</v>
      </c>
      <c r="J271">
        <v>0</v>
      </c>
      <c r="K271" t="s">
        <v>816</v>
      </c>
      <c r="L271" t="s">
        <v>28</v>
      </c>
      <c r="M271">
        <v>105.47</v>
      </c>
      <c r="N271" t="s">
        <v>29</v>
      </c>
      <c r="O271">
        <f t="shared" si="22"/>
        <v>105.47</v>
      </c>
      <c r="P271">
        <f t="shared" si="23"/>
        <v>105.47</v>
      </c>
      <c r="Q271" t="s">
        <v>30</v>
      </c>
      <c r="R271">
        <v>45320</v>
      </c>
      <c r="S271">
        <v>401768</v>
      </c>
      <c r="U271">
        <f t="shared" si="24"/>
        <v>0</v>
      </c>
    </row>
    <row r="272" spans="1:21" ht="15.75" x14ac:dyDescent="0.25">
      <c r="A272" t="s">
        <v>831</v>
      </c>
      <c r="B272">
        <v>43959</v>
      </c>
      <c r="C272" t="s">
        <v>22</v>
      </c>
      <c r="D272" t="s">
        <v>23</v>
      </c>
      <c r="E272" t="s">
        <v>30</v>
      </c>
      <c r="F272" t="s">
        <v>30</v>
      </c>
      <c r="G272" t="s">
        <v>823</v>
      </c>
      <c r="H272" t="s">
        <v>824</v>
      </c>
      <c r="I272" t="s">
        <v>832</v>
      </c>
      <c r="J272">
        <v>0</v>
      </c>
      <c r="K272" t="s">
        <v>833</v>
      </c>
      <c r="L272" t="s">
        <v>28</v>
      </c>
      <c r="M272">
        <v>83.76</v>
      </c>
      <c r="N272" t="s">
        <v>29</v>
      </c>
      <c r="O272">
        <f t="shared" si="22"/>
        <v>83.76</v>
      </c>
      <c r="P272">
        <f t="shared" si="23"/>
        <v>83.76</v>
      </c>
      <c r="Q272" t="s">
        <v>30</v>
      </c>
      <c r="R272">
        <v>42387</v>
      </c>
      <c r="S272">
        <v>401768</v>
      </c>
      <c r="U272">
        <f t="shared" si="24"/>
        <v>0</v>
      </c>
    </row>
    <row r="273" spans="1:21" ht="15.75" x14ac:dyDescent="0.25">
      <c r="A273" t="s">
        <v>834</v>
      </c>
      <c r="B273">
        <v>45211</v>
      </c>
      <c r="C273" t="s">
        <v>22</v>
      </c>
      <c r="D273" t="s">
        <v>23</v>
      </c>
      <c r="E273" t="s">
        <v>22</v>
      </c>
      <c r="F273" t="s">
        <v>23</v>
      </c>
      <c r="G273" t="s">
        <v>823</v>
      </c>
      <c r="H273" t="s">
        <v>824</v>
      </c>
      <c r="I273" t="s">
        <v>780</v>
      </c>
      <c r="J273">
        <v>0</v>
      </c>
      <c r="K273" t="s">
        <v>781</v>
      </c>
      <c r="L273" t="s">
        <v>28</v>
      </c>
      <c r="M273">
        <v>40</v>
      </c>
      <c r="N273" t="s">
        <v>29</v>
      </c>
      <c r="O273">
        <f t="shared" si="22"/>
        <v>40</v>
      </c>
      <c r="P273">
        <f t="shared" si="23"/>
        <v>40</v>
      </c>
      <c r="Q273" t="s">
        <v>30</v>
      </c>
      <c r="R273">
        <v>45211</v>
      </c>
      <c r="S273">
        <v>401768</v>
      </c>
      <c r="U273">
        <f t="shared" si="24"/>
        <v>0</v>
      </c>
    </row>
    <row r="274" spans="1:21" ht="15.75" x14ac:dyDescent="0.25">
      <c r="A274" t="s">
        <v>835</v>
      </c>
      <c r="B274">
        <v>45211</v>
      </c>
      <c r="C274" t="s">
        <v>22</v>
      </c>
      <c r="D274" t="s">
        <v>23</v>
      </c>
      <c r="E274" t="s">
        <v>22</v>
      </c>
      <c r="F274" t="s">
        <v>23</v>
      </c>
      <c r="G274" t="s">
        <v>823</v>
      </c>
      <c r="H274" t="s">
        <v>824</v>
      </c>
      <c r="I274" t="s">
        <v>780</v>
      </c>
      <c r="J274">
        <v>0</v>
      </c>
      <c r="K274" t="s">
        <v>781</v>
      </c>
      <c r="L274" t="s">
        <v>28</v>
      </c>
      <c r="M274">
        <v>40</v>
      </c>
      <c r="N274" t="s">
        <v>29</v>
      </c>
      <c r="O274">
        <f t="shared" si="22"/>
        <v>40</v>
      </c>
      <c r="P274">
        <f t="shared" si="23"/>
        <v>40</v>
      </c>
      <c r="Q274" t="s">
        <v>30</v>
      </c>
      <c r="R274">
        <v>45211</v>
      </c>
      <c r="S274">
        <v>401768</v>
      </c>
      <c r="U274">
        <f t="shared" si="24"/>
        <v>0</v>
      </c>
    </row>
    <row r="275" spans="1:21" ht="15.75" x14ac:dyDescent="0.25">
      <c r="A275" t="s">
        <v>836</v>
      </c>
      <c r="B275">
        <v>44011</v>
      </c>
      <c r="C275" t="s">
        <v>22</v>
      </c>
      <c r="D275" t="s">
        <v>23</v>
      </c>
      <c r="E275" t="s">
        <v>22</v>
      </c>
      <c r="F275" t="s">
        <v>23</v>
      </c>
      <c r="G275" t="s">
        <v>837</v>
      </c>
      <c r="H275" t="s">
        <v>838</v>
      </c>
      <c r="I275" t="s">
        <v>839</v>
      </c>
      <c r="J275">
        <v>0</v>
      </c>
      <c r="K275" t="s">
        <v>840</v>
      </c>
      <c r="L275" t="s">
        <v>36</v>
      </c>
      <c r="M275">
        <v>669200</v>
      </c>
      <c r="N275" t="s">
        <v>160</v>
      </c>
      <c r="O275">
        <v>95</v>
      </c>
      <c r="P275">
        <f>O275*M275</f>
        <v>63574000</v>
      </c>
      <c r="Q275" t="s">
        <v>30</v>
      </c>
      <c r="R275">
        <v>44011</v>
      </c>
      <c r="S275">
        <v>401768</v>
      </c>
      <c r="U275">
        <f t="shared" si="24"/>
        <v>0</v>
      </c>
    </row>
    <row r="276" spans="1:21" ht="15.75" x14ac:dyDescent="0.25">
      <c r="A276" t="s">
        <v>841</v>
      </c>
      <c r="B276">
        <v>44011</v>
      </c>
      <c r="C276" t="s">
        <v>22</v>
      </c>
      <c r="D276" t="s">
        <v>23</v>
      </c>
      <c r="E276" t="s">
        <v>22</v>
      </c>
      <c r="F276" t="s">
        <v>23</v>
      </c>
      <c r="G276" t="s">
        <v>837</v>
      </c>
      <c r="H276" t="s">
        <v>838</v>
      </c>
      <c r="I276" t="s">
        <v>842</v>
      </c>
      <c r="J276">
        <v>0</v>
      </c>
      <c r="K276" t="s">
        <v>843</v>
      </c>
      <c r="L276" t="s">
        <v>36</v>
      </c>
      <c r="M276">
        <v>627900</v>
      </c>
      <c r="N276" t="s">
        <v>160</v>
      </c>
      <c r="O276">
        <v>95</v>
      </c>
      <c r="P276">
        <f>O276*M276</f>
        <v>59650500</v>
      </c>
      <c r="Q276" t="s">
        <v>30</v>
      </c>
      <c r="R276">
        <v>44011</v>
      </c>
      <c r="S276">
        <v>401768</v>
      </c>
      <c r="U276">
        <f t="shared" si="24"/>
        <v>0</v>
      </c>
    </row>
    <row r="277" spans="1:21" ht="15.75" x14ac:dyDescent="0.25">
      <c r="A277" t="s">
        <v>844</v>
      </c>
      <c r="B277">
        <v>43959</v>
      </c>
      <c r="C277" t="s">
        <v>22</v>
      </c>
      <c r="D277" t="s">
        <v>23</v>
      </c>
      <c r="E277" t="s">
        <v>22</v>
      </c>
      <c r="F277" t="s">
        <v>23</v>
      </c>
      <c r="G277" t="s">
        <v>845</v>
      </c>
      <c r="H277" t="s">
        <v>846</v>
      </c>
      <c r="I277" t="s">
        <v>847</v>
      </c>
      <c r="J277">
        <v>0</v>
      </c>
      <c r="K277" t="s">
        <v>848</v>
      </c>
      <c r="L277" t="s">
        <v>28</v>
      </c>
      <c r="M277">
        <v>29.2</v>
      </c>
      <c r="N277" t="s">
        <v>29</v>
      </c>
      <c r="O277">
        <f t="shared" ref="O277:O294" si="25">M277</f>
        <v>29.2</v>
      </c>
      <c r="P277">
        <f t="shared" ref="P277:P294" si="26">O277</f>
        <v>29.2</v>
      </c>
      <c r="Q277" t="s">
        <v>30</v>
      </c>
      <c r="R277">
        <v>45281</v>
      </c>
      <c r="S277">
        <v>401768</v>
      </c>
      <c r="U277">
        <f t="shared" si="24"/>
        <v>0</v>
      </c>
    </row>
    <row r="278" spans="1:21" ht="15.75" x14ac:dyDescent="0.25">
      <c r="A278" t="s">
        <v>849</v>
      </c>
      <c r="B278">
        <v>43959</v>
      </c>
      <c r="C278" t="s">
        <v>22</v>
      </c>
      <c r="D278" t="s">
        <v>23</v>
      </c>
      <c r="E278" t="s">
        <v>22</v>
      </c>
      <c r="F278" t="s">
        <v>23</v>
      </c>
      <c r="G278" t="s">
        <v>845</v>
      </c>
      <c r="H278" t="s">
        <v>846</v>
      </c>
      <c r="I278" t="s">
        <v>850</v>
      </c>
      <c r="J278">
        <v>0</v>
      </c>
      <c r="K278" t="s">
        <v>851</v>
      </c>
      <c r="L278" t="s">
        <v>28</v>
      </c>
      <c r="M278">
        <v>40.659999999999997</v>
      </c>
      <c r="N278" t="s">
        <v>29</v>
      </c>
      <c r="O278">
        <f t="shared" si="25"/>
        <v>40.659999999999997</v>
      </c>
      <c r="P278">
        <f t="shared" si="26"/>
        <v>40.659999999999997</v>
      </c>
      <c r="Q278" t="s">
        <v>30</v>
      </c>
      <c r="R278">
        <v>44505</v>
      </c>
      <c r="S278">
        <v>401768</v>
      </c>
      <c r="U278">
        <f t="shared" si="24"/>
        <v>0</v>
      </c>
    </row>
    <row r="279" spans="1:21" ht="15.75" x14ac:dyDescent="0.25">
      <c r="A279" t="s">
        <v>852</v>
      </c>
      <c r="B279">
        <v>43959</v>
      </c>
      <c r="C279" t="s">
        <v>22</v>
      </c>
      <c r="D279" t="s">
        <v>23</v>
      </c>
      <c r="E279" t="s">
        <v>22</v>
      </c>
      <c r="F279" t="s">
        <v>23</v>
      </c>
      <c r="G279" t="s">
        <v>845</v>
      </c>
      <c r="H279" t="s">
        <v>846</v>
      </c>
      <c r="I279" t="s">
        <v>853</v>
      </c>
      <c r="J279">
        <v>0</v>
      </c>
      <c r="K279" t="s">
        <v>854</v>
      </c>
      <c r="L279" t="s">
        <v>28</v>
      </c>
      <c r="M279">
        <v>560.64</v>
      </c>
      <c r="N279" t="s">
        <v>29</v>
      </c>
      <c r="O279">
        <f t="shared" si="25"/>
        <v>560.64</v>
      </c>
      <c r="P279">
        <f t="shared" si="26"/>
        <v>560.64</v>
      </c>
      <c r="Q279" t="s">
        <v>30</v>
      </c>
      <c r="R279">
        <v>41518</v>
      </c>
      <c r="S279">
        <v>401768</v>
      </c>
      <c r="U279">
        <f t="shared" si="24"/>
        <v>0</v>
      </c>
    </row>
    <row r="280" spans="1:21" ht="15.75" x14ac:dyDescent="0.25">
      <c r="A280" t="s">
        <v>855</v>
      </c>
      <c r="B280">
        <v>43959</v>
      </c>
      <c r="C280" t="s">
        <v>22</v>
      </c>
      <c r="D280" t="s">
        <v>23</v>
      </c>
      <c r="E280" t="s">
        <v>22</v>
      </c>
      <c r="F280" t="s">
        <v>23</v>
      </c>
      <c r="G280" t="s">
        <v>845</v>
      </c>
      <c r="H280" t="s">
        <v>846</v>
      </c>
      <c r="I280" t="s">
        <v>856</v>
      </c>
      <c r="J280">
        <v>0</v>
      </c>
      <c r="K280" t="s">
        <v>857</v>
      </c>
      <c r="L280" t="s">
        <v>28</v>
      </c>
      <c r="M280">
        <v>205.92</v>
      </c>
      <c r="N280" t="s">
        <v>29</v>
      </c>
      <c r="O280">
        <f t="shared" si="25"/>
        <v>205.92</v>
      </c>
      <c r="P280">
        <f t="shared" si="26"/>
        <v>205.92</v>
      </c>
      <c r="Q280" t="s">
        <v>30</v>
      </c>
      <c r="R280">
        <v>44505</v>
      </c>
      <c r="S280">
        <v>401768</v>
      </c>
      <c r="U280">
        <f t="shared" si="24"/>
        <v>0</v>
      </c>
    </row>
    <row r="281" spans="1:21" ht="15.75" x14ac:dyDescent="0.25">
      <c r="A281" t="s">
        <v>858</v>
      </c>
      <c r="B281">
        <v>43959</v>
      </c>
      <c r="C281" t="s">
        <v>22</v>
      </c>
      <c r="D281" t="s">
        <v>23</v>
      </c>
      <c r="E281" t="s">
        <v>22</v>
      </c>
      <c r="F281" t="s">
        <v>23</v>
      </c>
      <c r="G281" t="s">
        <v>845</v>
      </c>
      <c r="H281" t="s">
        <v>846</v>
      </c>
      <c r="I281" t="s">
        <v>859</v>
      </c>
      <c r="J281">
        <v>0</v>
      </c>
      <c r="K281" t="s">
        <v>860</v>
      </c>
      <c r="L281" t="s">
        <v>28</v>
      </c>
      <c r="M281">
        <v>158.4</v>
      </c>
      <c r="N281" t="s">
        <v>29</v>
      </c>
      <c r="O281">
        <f t="shared" si="25"/>
        <v>158.4</v>
      </c>
      <c r="P281">
        <f t="shared" si="26"/>
        <v>158.4</v>
      </c>
      <c r="Q281" t="s">
        <v>30</v>
      </c>
      <c r="R281">
        <v>44505</v>
      </c>
      <c r="S281">
        <v>401768</v>
      </c>
      <c r="U281">
        <f t="shared" si="24"/>
        <v>0</v>
      </c>
    </row>
    <row r="282" spans="1:21" ht="15.75" x14ac:dyDescent="0.25">
      <c r="A282" t="s">
        <v>861</v>
      </c>
      <c r="B282">
        <v>43959</v>
      </c>
      <c r="C282" t="s">
        <v>22</v>
      </c>
      <c r="D282" t="s">
        <v>23</v>
      </c>
      <c r="E282" t="s">
        <v>22</v>
      </c>
      <c r="F282" t="s">
        <v>23</v>
      </c>
      <c r="G282" t="s">
        <v>845</v>
      </c>
      <c r="H282" t="s">
        <v>846</v>
      </c>
      <c r="I282" t="s">
        <v>862</v>
      </c>
      <c r="J282">
        <v>0</v>
      </c>
      <c r="K282" t="s">
        <v>863</v>
      </c>
      <c r="L282" t="s">
        <v>28</v>
      </c>
      <c r="M282">
        <v>85.06</v>
      </c>
      <c r="N282" t="s">
        <v>29</v>
      </c>
      <c r="O282">
        <f t="shared" si="25"/>
        <v>85.06</v>
      </c>
      <c r="P282">
        <f t="shared" si="26"/>
        <v>85.06</v>
      </c>
      <c r="Q282" t="s">
        <v>30</v>
      </c>
      <c r="R282">
        <v>44505</v>
      </c>
      <c r="S282">
        <v>401768</v>
      </c>
      <c r="U282">
        <f t="shared" si="24"/>
        <v>0</v>
      </c>
    </row>
    <row r="283" spans="1:21" ht="15.75" x14ac:dyDescent="0.25">
      <c r="A283" t="s">
        <v>864</v>
      </c>
      <c r="B283">
        <v>43959</v>
      </c>
      <c r="C283" t="s">
        <v>22</v>
      </c>
      <c r="D283" t="s">
        <v>23</v>
      </c>
      <c r="E283" t="s">
        <v>22</v>
      </c>
      <c r="F283" t="s">
        <v>23</v>
      </c>
      <c r="G283" t="s">
        <v>845</v>
      </c>
      <c r="H283" t="s">
        <v>846</v>
      </c>
      <c r="I283" t="s">
        <v>865</v>
      </c>
      <c r="J283">
        <v>0</v>
      </c>
      <c r="K283" t="s">
        <v>866</v>
      </c>
      <c r="L283" t="s">
        <v>28</v>
      </c>
      <c r="M283">
        <v>1253.2</v>
      </c>
      <c r="N283" t="s">
        <v>29</v>
      </c>
      <c r="O283">
        <f t="shared" si="25"/>
        <v>1253.2</v>
      </c>
      <c r="P283">
        <f t="shared" si="26"/>
        <v>1253.2</v>
      </c>
      <c r="Q283" t="s">
        <v>30</v>
      </c>
      <c r="R283">
        <v>45999</v>
      </c>
      <c r="S283">
        <v>401768</v>
      </c>
      <c r="U283">
        <f t="shared" si="24"/>
        <v>0</v>
      </c>
    </row>
    <row r="284" spans="1:21" ht="15.75" x14ac:dyDescent="0.25">
      <c r="A284" t="s">
        <v>867</v>
      </c>
      <c r="B284">
        <v>43959</v>
      </c>
      <c r="C284" t="s">
        <v>22</v>
      </c>
      <c r="D284" t="s">
        <v>23</v>
      </c>
      <c r="E284" t="s">
        <v>22</v>
      </c>
      <c r="F284" t="s">
        <v>23</v>
      </c>
      <c r="G284" t="s">
        <v>845</v>
      </c>
      <c r="H284" t="s">
        <v>846</v>
      </c>
      <c r="I284" t="s">
        <v>868</v>
      </c>
      <c r="J284">
        <v>0</v>
      </c>
      <c r="K284" t="s">
        <v>869</v>
      </c>
      <c r="L284" t="s">
        <v>28</v>
      </c>
      <c r="M284">
        <v>1439.83</v>
      </c>
      <c r="N284" t="s">
        <v>29</v>
      </c>
      <c r="O284">
        <f t="shared" si="25"/>
        <v>1439.83</v>
      </c>
      <c r="P284">
        <f t="shared" si="26"/>
        <v>1439.83</v>
      </c>
      <c r="Q284" t="s">
        <v>30</v>
      </c>
      <c r="R284">
        <v>45999</v>
      </c>
      <c r="S284">
        <v>401768</v>
      </c>
      <c r="U284">
        <f t="shared" si="24"/>
        <v>0</v>
      </c>
    </row>
    <row r="285" spans="1:21" ht="15.75" x14ac:dyDescent="0.25">
      <c r="A285" t="s">
        <v>870</v>
      </c>
      <c r="B285">
        <v>43959</v>
      </c>
      <c r="C285" t="s">
        <v>22</v>
      </c>
      <c r="D285" t="s">
        <v>23</v>
      </c>
      <c r="E285" t="s">
        <v>22</v>
      </c>
      <c r="F285" t="s">
        <v>23</v>
      </c>
      <c r="G285" t="s">
        <v>845</v>
      </c>
      <c r="H285" t="s">
        <v>846</v>
      </c>
      <c r="I285" t="s">
        <v>871</v>
      </c>
      <c r="J285">
        <v>0</v>
      </c>
      <c r="K285" t="s">
        <v>872</v>
      </c>
      <c r="L285" t="s">
        <v>28</v>
      </c>
      <c r="M285">
        <v>366.17</v>
      </c>
      <c r="N285" t="s">
        <v>29</v>
      </c>
      <c r="O285">
        <f t="shared" si="25"/>
        <v>366.17</v>
      </c>
      <c r="P285">
        <f t="shared" si="26"/>
        <v>366.17</v>
      </c>
      <c r="Q285" t="s">
        <v>30</v>
      </c>
      <c r="R285">
        <v>44505</v>
      </c>
      <c r="S285">
        <v>401768</v>
      </c>
      <c r="U285">
        <f t="shared" si="24"/>
        <v>0</v>
      </c>
    </row>
    <row r="286" spans="1:21" ht="15.75" x14ac:dyDescent="0.25">
      <c r="A286" t="s">
        <v>873</v>
      </c>
      <c r="B286">
        <v>43959</v>
      </c>
      <c r="C286" t="s">
        <v>22</v>
      </c>
      <c r="D286" t="s">
        <v>23</v>
      </c>
      <c r="E286" t="s">
        <v>22</v>
      </c>
      <c r="F286" t="s">
        <v>23</v>
      </c>
      <c r="G286" t="s">
        <v>845</v>
      </c>
      <c r="H286" t="s">
        <v>846</v>
      </c>
      <c r="I286" t="s">
        <v>874</v>
      </c>
      <c r="J286">
        <v>0</v>
      </c>
      <c r="K286" t="s">
        <v>875</v>
      </c>
      <c r="L286" t="s">
        <v>28</v>
      </c>
      <c r="M286">
        <v>22.88</v>
      </c>
      <c r="N286" t="s">
        <v>29</v>
      </c>
      <c r="O286">
        <f t="shared" si="25"/>
        <v>22.88</v>
      </c>
      <c r="P286">
        <f t="shared" si="26"/>
        <v>22.88</v>
      </c>
      <c r="Q286" t="s">
        <v>30</v>
      </c>
      <c r="R286">
        <v>44505</v>
      </c>
      <c r="S286">
        <v>401768</v>
      </c>
      <c r="U286">
        <f t="shared" si="24"/>
        <v>0</v>
      </c>
    </row>
    <row r="287" spans="1:21" ht="15.75" x14ac:dyDescent="0.25">
      <c r="A287" t="s">
        <v>876</v>
      </c>
      <c r="B287">
        <v>43959</v>
      </c>
      <c r="C287" t="s">
        <v>22</v>
      </c>
      <c r="D287" t="s">
        <v>23</v>
      </c>
      <c r="E287" t="s">
        <v>22</v>
      </c>
      <c r="F287" t="s">
        <v>23</v>
      </c>
      <c r="G287" t="s">
        <v>845</v>
      </c>
      <c r="H287" t="s">
        <v>846</v>
      </c>
      <c r="I287" t="s">
        <v>877</v>
      </c>
      <c r="J287">
        <v>0</v>
      </c>
      <c r="K287" t="s">
        <v>878</v>
      </c>
      <c r="L287" t="s">
        <v>28</v>
      </c>
      <c r="M287">
        <v>205.92</v>
      </c>
      <c r="N287" t="s">
        <v>29</v>
      </c>
      <c r="O287">
        <f t="shared" si="25"/>
        <v>205.92</v>
      </c>
      <c r="P287">
        <f t="shared" si="26"/>
        <v>205.92</v>
      </c>
      <c r="Q287" t="s">
        <v>30</v>
      </c>
      <c r="R287">
        <v>44505</v>
      </c>
      <c r="S287">
        <v>401768</v>
      </c>
      <c r="U287">
        <f t="shared" si="24"/>
        <v>0</v>
      </c>
    </row>
    <row r="288" spans="1:21" ht="15.75" x14ac:dyDescent="0.25">
      <c r="A288" t="s">
        <v>879</v>
      </c>
      <c r="B288">
        <v>43959</v>
      </c>
      <c r="C288" t="s">
        <v>22</v>
      </c>
      <c r="D288" t="s">
        <v>23</v>
      </c>
      <c r="E288" t="s">
        <v>22</v>
      </c>
      <c r="F288" t="s">
        <v>23</v>
      </c>
      <c r="G288" t="s">
        <v>845</v>
      </c>
      <c r="H288" t="s">
        <v>846</v>
      </c>
      <c r="I288" t="s">
        <v>880</v>
      </c>
      <c r="J288">
        <v>0</v>
      </c>
      <c r="K288" t="s">
        <v>881</v>
      </c>
      <c r="L288" t="s">
        <v>28</v>
      </c>
      <c r="M288">
        <v>205.92</v>
      </c>
      <c r="N288" t="s">
        <v>29</v>
      </c>
      <c r="O288">
        <f t="shared" si="25"/>
        <v>205.92</v>
      </c>
      <c r="P288">
        <f t="shared" si="26"/>
        <v>205.92</v>
      </c>
      <c r="Q288" t="s">
        <v>30</v>
      </c>
      <c r="R288">
        <v>44505</v>
      </c>
      <c r="S288">
        <v>401768</v>
      </c>
      <c r="U288">
        <f t="shared" si="24"/>
        <v>0</v>
      </c>
    </row>
    <row r="289" spans="1:21" ht="15.75" x14ac:dyDescent="0.25">
      <c r="A289" t="s">
        <v>882</v>
      </c>
      <c r="B289">
        <v>43959</v>
      </c>
      <c r="C289" t="s">
        <v>22</v>
      </c>
      <c r="D289" t="s">
        <v>23</v>
      </c>
      <c r="E289" t="s">
        <v>22</v>
      </c>
      <c r="F289" t="s">
        <v>23</v>
      </c>
      <c r="G289" t="s">
        <v>845</v>
      </c>
      <c r="H289" t="s">
        <v>846</v>
      </c>
      <c r="I289" t="s">
        <v>883</v>
      </c>
      <c r="J289">
        <v>0</v>
      </c>
      <c r="K289" t="s">
        <v>884</v>
      </c>
      <c r="L289" t="s">
        <v>28</v>
      </c>
      <c r="M289">
        <v>85.06</v>
      </c>
      <c r="N289" t="s">
        <v>29</v>
      </c>
      <c r="O289">
        <f t="shared" si="25"/>
        <v>85.06</v>
      </c>
      <c r="P289">
        <f t="shared" si="26"/>
        <v>85.06</v>
      </c>
      <c r="Q289" t="s">
        <v>30</v>
      </c>
      <c r="R289">
        <v>44505</v>
      </c>
      <c r="S289">
        <v>401768</v>
      </c>
      <c r="U289">
        <f t="shared" si="24"/>
        <v>0</v>
      </c>
    </row>
    <row r="290" spans="1:21" ht="15.75" x14ac:dyDescent="0.25">
      <c r="A290" t="s">
        <v>885</v>
      </c>
      <c r="B290">
        <v>44554</v>
      </c>
      <c r="C290" t="s">
        <v>22</v>
      </c>
      <c r="D290" t="s">
        <v>23</v>
      </c>
      <c r="E290" t="s">
        <v>22</v>
      </c>
      <c r="F290" t="s">
        <v>23</v>
      </c>
      <c r="G290" t="s">
        <v>845</v>
      </c>
      <c r="H290" t="s">
        <v>846</v>
      </c>
      <c r="I290" t="s">
        <v>886</v>
      </c>
      <c r="J290">
        <v>0</v>
      </c>
      <c r="K290" t="s">
        <v>887</v>
      </c>
      <c r="L290" t="s">
        <v>28</v>
      </c>
      <c r="M290">
        <v>1253.2</v>
      </c>
      <c r="N290" t="s">
        <v>29</v>
      </c>
      <c r="O290">
        <f t="shared" si="25"/>
        <v>1253.2</v>
      </c>
      <c r="P290">
        <f t="shared" si="26"/>
        <v>1253.2</v>
      </c>
      <c r="Q290" t="s">
        <v>30</v>
      </c>
      <c r="R290">
        <v>45999</v>
      </c>
      <c r="S290">
        <v>401768</v>
      </c>
      <c r="U290">
        <f t="shared" si="24"/>
        <v>0</v>
      </c>
    </row>
    <row r="291" spans="1:21" ht="15.75" x14ac:dyDescent="0.25">
      <c r="A291" t="s">
        <v>888</v>
      </c>
      <c r="B291">
        <v>44702</v>
      </c>
      <c r="C291" t="s">
        <v>22</v>
      </c>
      <c r="D291" t="s">
        <v>23</v>
      </c>
      <c r="E291" t="s">
        <v>22</v>
      </c>
      <c r="F291" t="s">
        <v>23</v>
      </c>
      <c r="G291" t="s">
        <v>845</v>
      </c>
      <c r="H291" t="s">
        <v>846</v>
      </c>
      <c r="I291" t="s">
        <v>889</v>
      </c>
      <c r="J291">
        <v>0</v>
      </c>
      <c r="K291" t="s">
        <v>890</v>
      </c>
      <c r="L291" t="s">
        <v>28</v>
      </c>
      <c r="M291">
        <v>1890</v>
      </c>
      <c r="N291" t="s">
        <v>29</v>
      </c>
      <c r="O291">
        <f t="shared" si="25"/>
        <v>1890</v>
      </c>
      <c r="P291">
        <f t="shared" si="26"/>
        <v>1890</v>
      </c>
      <c r="Q291" t="s">
        <v>30</v>
      </c>
      <c r="R291">
        <v>44704</v>
      </c>
      <c r="S291">
        <v>401768</v>
      </c>
      <c r="U291">
        <f t="shared" si="24"/>
        <v>0</v>
      </c>
    </row>
    <row r="292" spans="1:21" ht="15.75" x14ac:dyDescent="0.25">
      <c r="A292" t="s">
        <v>891</v>
      </c>
      <c r="B292">
        <v>45622</v>
      </c>
      <c r="C292" t="s">
        <v>22</v>
      </c>
      <c r="D292" t="s">
        <v>23</v>
      </c>
      <c r="E292" t="s">
        <v>30</v>
      </c>
      <c r="F292" t="s">
        <v>30</v>
      </c>
      <c r="G292" t="s">
        <v>845</v>
      </c>
      <c r="H292" t="s">
        <v>846</v>
      </c>
      <c r="I292" t="s">
        <v>892</v>
      </c>
      <c r="J292">
        <v>0</v>
      </c>
      <c r="K292" t="s">
        <v>893</v>
      </c>
      <c r="L292" t="s">
        <v>28</v>
      </c>
      <c r="M292">
        <v>1288.1600000000001</v>
      </c>
      <c r="N292" t="s">
        <v>29</v>
      </c>
      <c r="O292">
        <f t="shared" si="25"/>
        <v>1288.1600000000001</v>
      </c>
      <c r="P292">
        <f t="shared" si="26"/>
        <v>1288.1600000000001</v>
      </c>
      <c r="Q292" t="s">
        <v>30</v>
      </c>
      <c r="R292">
        <v>45622</v>
      </c>
      <c r="S292">
        <v>401768</v>
      </c>
      <c r="U292">
        <f t="shared" si="24"/>
        <v>0</v>
      </c>
    </row>
    <row r="293" spans="1:21" ht="15.75" x14ac:dyDescent="0.25">
      <c r="A293" t="s">
        <v>894</v>
      </c>
      <c r="B293">
        <v>45622</v>
      </c>
      <c r="C293" t="s">
        <v>22</v>
      </c>
      <c r="D293" t="s">
        <v>23</v>
      </c>
      <c r="E293" t="s">
        <v>22</v>
      </c>
      <c r="F293" t="s">
        <v>23</v>
      </c>
      <c r="G293" t="s">
        <v>845</v>
      </c>
      <c r="H293" t="s">
        <v>846</v>
      </c>
      <c r="I293" t="s">
        <v>895</v>
      </c>
      <c r="J293">
        <v>0</v>
      </c>
      <c r="K293" t="s">
        <v>896</v>
      </c>
      <c r="L293" t="s">
        <v>28</v>
      </c>
      <c r="M293">
        <v>2315.4</v>
      </c>
      <c r="N293" t="s">
        <v>29</v>
      </c>
      <c r="O293">
        <f t="shared" si="25"/>
        <v>2315.4</v>
      </c>
      <c r="P293">
        <f t="shared" si="26"/>
        <v>2315.4</v>
      </c>
      <c r="Q293" t="s">
        <v>30</v>
      </c>
      <c r="R293">
        <v>45999</v>
      </c>
      <c r="S293">
        <v>401768</v>
      </c>
      <c r="U293">
        <f t="shared" si="24"/>
        <v>0</v>
      </c>
    </row>
    <row r="294" spans="1:21" ht="15.75" x14ac:dyDescent="0.25">
      <c r="A294" t="s">
        <v>897</v>
      </c>
      <c r="B294">
        <v>45622</v>
      </c>
      <c r="C294" t="s">
        <v>22</v>
      </c>
      <c r="D294" t="s">
        <v>23</v>
      </c>
      <c r="E294" t="s">
        <v>30</v>
      </c>
      <c r="F294" t="s">
        <v>30</v>
      </c>
      <c r="G294" t="s">
        <v>845</v>
      </c>
      <c r="H294" t="s">
        <v>846</v>
      </c>
      <c r="I294" t="s">
        <v>898</v>
      </c>
      <c r="J294">
        <v>0</v>
      </c>
      <c r="K294" t="s">
        <v>899</v>
      </c>
      <c r="L294" t="s">
        <v>28</v>
      </c>
      <c r="M294">
        <v>2778.01</v>
      </c>
      <c r="N294" t="s">
        <v>29</v>
      </c>
      <c r="O294">
        <f t="shared" si="25"/>
        <v>2778.01</v>
      </c>
      <c r="P294">
        <f t="shared" si="26"/>
        <v>2778.01</v>
      </c>
      <c r="Q294" t="s">
        <v>30</v>
      </c>
      <c r="R294">
        <v>45622</v>
      </c>
      <c r="S294">
        <v>401768</v>
      </c>
      <c r="U294">
        <f t="shared" si="24"/>
        <v>0</v>
      </c>
    </row>
    <row r="295" spans="1:21" ht="15.75" x14ac:dyDescent="0.25">
      <c r="A295" t="s">
        <v>900</v>
      </c>
      <c r="B295">
        <v>43959</v>
      </c>
      <c r="C295" t="s">
        <v>22</v>
      </c>
      <c r="D295" t="s">
        <v>23</v>
      </c>
      <c r="E295" t="s">
        <v>22</v>
      </c>
      <c r="F295" t="s">
        <v>23</v>
      </c>
      <c r="G295" t="s">
        <v>901</v>
      </c>
      <c r="H295" t="s">
        <v>902</v>
      </c>
      <c r="I295" t="s">
        <v>847</v>
      </c>
      <c r="J295">
        <v>0</v>
      </c>
      <c r="K295" t="s">
        <v>848</v>
      </c>
      <c r="L295" t="s">
        <v>28</v>
      </c>
      <c r="M295">
        <v>0.67</v>
      </c>
      <c r="N295" t="s">
        <v>160</v>
      </c>
      <c r="O295">
        <v>95</v>
      </c>
      <c r="P295">
        <f t="shared" ref="P295:P312" si="27">O295*M295</f>
        <v>63.650000000000006</v>
      </c>
      <c r="Q295" t="s">
        <v>30</v>
      </c>
      <c r="R295">
        <v>44505</v>
      </c>
      <c r="S295">
        <v>401768</v>
      </c>
      <c r="U295">
        <f t="shared" si="24"/>
        <v>0</v>
      </c>
    </row>
    <row r="296" spans="1:21" ht="15.75" x14ac:dyDescent="0.25">
      <c r="A296" t="s">
        <v>903</v>
      </c>
      <c r="B296">
        <v>43959</v>
      </c>
      <c r="C296" t="s">
        <v>22</v>
      </c>
      <c r="D296" t="s">
        <v>23</v>
      </c>
      <c r="E296" t="s">
        <v>22</v>
      </c>
      <c r="F296" t="s">
        <v>23</v>
      </c>
      <c r="G296" t="s">
        <v>901</v>
      </c>
      <c r="H296" t="s">
        <v>902</v>
      </c>
      <c r="I296" t="s">
        <v>850</v>
      </c>
      <c r="J296">
        <v>0</v>
      </c>
      <c r="K296" t="s">
        <v>851</v>
      </c>
      <c r="L296" t="s">
        <v>28</v>
      </c>
      <c r="M296">
        <v>0.95</v>
      </c>
      <c r="N296" t="s">
        <v>160</v>
      </c>
      <c r="O296">
        <v>95</v>
      </c>
      <c r="P296">
        <f t="shared" si="27"/>
        <v>90.25</v>
      </c>
      <c r="Q296" t="s">
        <v>30</v>
      </c>
      <c r="R296">
        <v>44505</v>
      </c>
      <c r="S296">
        <v>401768</v>
      </c>
      <c r="U296">
        <f t="shared" si="24"/>
        <v>0</v>
      </c>
    </row>
    <row r="297" spans="1:21" ht="15.75" x14ac:dyDescent="0.25">
      <c r="A297" t="s">
        <v>904</v>
      </c>
      <c r="B297">
        <v>43959</v>
      </c>
      <c r="C297" t="s">
        <v>22</v>
      </c>
      <c r="D297" t="s">
        <v>23</v>
      </c>
      <c r="E297" t="s">
        <v>22</v>
      </c>
      <c r="F297" t="s">
        <v>23</v>
      </c>
      <c r="G297" t="s">
        <v>901</v>
      </c>
      <c r="H297" t="s">
        <v>902</v>
      </c>
      <c r="I297" t="s">
        <v>905</v>
      </c>
      <c r="J297">
        <v>0</v>
      </c>
      <c r="K297" t="s">
        <v>906</v>
      </c>
      <c r="L297" t="s">
        <v>28</v>
      </c>
      <c r="M297">
        <v>2.75</v>
      </c>
      <c r="N297" t="s">
        <v>160</v>
      </c>
      <c r="O297">
        <v>95</v>
      </c>
      <c r="P297">
        <f t="shared" si="27"/>
        <v>261.25</v>
      </c>
      <c r="Q297" t="s">
        <v>30</v>
      </c>
      <c r="R297">
        <v>44505</v>
      </c>
      <c r="S297">
        <v>401768</v>
      </c>
      <c r="T297">
        <v>10000</v>
      </c>
      <c r="U297">
        <f t="shared" si="24"/>
        <v>26.125</v>
      </c>
    </row>
    <row r="298" spans="1:21" ht="15.75" x14ac:dyDescent="0.25">
      <c r="A298" t="s">
        <v>907</v>
      </c>
      <c r="B298">
        <v>43959</v>
      </c>
      <c r="C298" t="s">
        <v>22</v>
      </c>
      <c r="D298" t="s">
        <v>23</v>
      </c>
      <c r="E298" t="s">
        <v>22</v>
      </c>
      <c r="F298" t="s">
        <v>23</v>
      </c>
      <c r="G298" t="s">
        <v>901</v>
      </c>
      <c r="H298" t="s">
        <v>902</v>
      </c>
      <c r="I298" t="s">
        <v>892</v>
      </c>
      <c r="J298">
        <v>0</v>
      </c>
      <c r="K298" t="s">
        <v>893</v>
      </c>
      <c r="L298" t="s">
        <v>28</v>
      </c>
      <c r="M298">
        <v>15.52</v>
      </c>
      <c r="N298" t="s">
        <v>160</v>
      </c>
      <c r="O298">
        <v>95</v>
      </c>
      <c r="P298">
        <f t="shared" si="27"/>
        <v>1474.3999999999999</v>
      </c>
      <c r="Q298" t="s">
        <v>30</v>
      </c>
      <c r="R298">
        <v>44505</v>
      </c>
      <c r="S298">
        <v>401768</v>
      </c>
      <c r="U298">
        <f t="shared" si="24"/>
        <v>0</v>
      </c>
    </row>
    <row r="299" spans="1:21" ht="15.75" x14ac:dyDescent="0.25">
      <c r="A299" t="s">
        <v>908</v>
      </c>
      <c r="B299">
        <v>43959</v>
      </c>
      <c r="C299" t="s">
        <v>22</v>
      </c>
      <c r="D299" t="s">
        <v>23</v>
      </c>
      <c r="E299" t="s">
        <v>22</v>
      </c>
      <c r="F299" t="s">
        <v>23</v>
      </c>
      <c r="G299" t="s">
        <v>901</v>
      </c>
      <c r="H299" t="s">
        <v>902</v>
      </c>
      <c r="I299" t="s">
        <v>895</v>
      </c>
      <c r="J299">
        <v>0</v>
      </c>
      <c r="K299" t="s">
        <v>896</v>
      </c>
      <c r="L299" t="s">
        <v>28</v>
      </c>
      <c r="M299">
        <v>27.87</v>
      </c>
      <c r="N299" t="s">
        <v>160</v>
      </c>
      <c r="O299">
        <v>95</v>
      </c>
      <c r="P299">
        <f t="shared" si="27"/>
        <v>2647.65</v>
      </c>
      <c r="Q299" t="s">
        <v>30</v>
      </c>
      <c r="R299">
        <v>45980</v>
      </c>
      <c r="S299">
        <v>401768</v>
      </c>
      <c r="U299">
        <f t="shared" si="24"/>
        <v>0</v>
      </c>
    </row>
    <row r="300" spans="1:21" ht="15.75" x14ac:dyDescent="0.25">
      <c r="A300" t="s">
        <v>909</v>
      </c>
      <c r="B300">
        <v>43959</v>
      </c>
      <c r="C300" t="s">
        <v>22</v>
      </c>
      <c r="D300" t="s">
        <v>23</v>
      </c>
      <c r="E300" t="s">
        <v>22</v>
      </c>
      <c r="F300" t="s">
        <v>23</v>
      </c>
      <c r="G300" t="s">
        <v>901</v>
      </c>
      <c r="H300" t="s">
        <v>902</v>
      </c>
      <c r="I300" t="s">
        <v>910</v>
      </c>
      <c r="J300">
        <v>0</v>
      </c>
      <c r="K300" t="s">
        <v>911</v>
      </c>
      <c r="L300" t="s">
        <v>28</v>
      </c>
      <c r="M300">
        <v>19.84</v>
      </c>
      <c r="N300" t="s">
        <v>160</v>
      </c>
      <c r="O300">
        <v>95</v>
      </c>
      <c r="P300">
        <f t="shared" si="27"/>
        <v>1884.8</v>
      </c>
      <c r="Q300" t="s">
        <v>30</v>
      </c>
      <c r="R300">
        <v>45980</v>
      </c>
      <c r="S300">
        <v>401768</v>
      </c>
      <c r="U300">
        <f t="shared" si="24"/>
        <v>0</v>
      </c>
    </row>
    <row r="301" spans="1:21" ht="15.75" x14ac:dyDescent="0.25">
      <c r="A301" t="s">
        <v>912</v>
      </c>
      <c r="B301">
        <v>43959</v>
      </c>
      <c r="C301" t="s">
        <v>22</v>
      </c>
      <c r="D301" t="s">
        <v>23</v>
      </c>
      <c r="E301" t="s">
        <v>22</v>
      </c>
      <c r="F301" t="s">
        <v>23</v>
      </c>
      <c r="G301" t="s">
        <v>901</v>
      </c>
      <c r="H301" t="s">
        <v>902</v>
      </c>
      <c r="I301" t="s">
        <v>865</v>
      </c>
      <c r="J301">
        <v>0</v>
      </c>
      <c r="K301" t="s">
        <v>866</v>
      </c>
      <c r="L301" t="s">
        <v>28</v>
      </c>
      <c r="M301">
        <v>16.88</v>
      </c>
      <c r="N301" t="s">
        <v>160</v>
      </c>
      <c r="O301">
        <v>95</v>
      </c>
      <c r="P301">
        <f t="shared" si="27"/>
        <v>1603.6</v>
      </c>
      <c r="Q301" t="s">
        <v>30</v>
      </c>
      <c r="R301">
        <v>45980</v>
      </c>
      <c r="S301">
        <v>401768</v>
      </c>
      <c r="U301">
        <f t="shared" si="24"/>
        <v>0</v>
      </c>
    </row>
    <row r="302" spans="1:21" ht="15.75" x14ac:dyDescent="0.25">
      <c r="A302" t="s">
        <v>913</v>
      </c>
      <c r="B302">
        <v>43959</v>
      </c>
      <c r="C302" t="s">
        <v>22</v>
      </c>
      <c r="D302" t="s">
        <v>23</v>
      </c>
      <c r="E302" t="s">
        <v>22</v>
      </c>
      <c r="F302" t="s">
        <v>23</v>
      </c>
      <c r="G302" t="s">
        <v>901</v>
      </c>
      <c r="H302" t="s">
        <v>902</v>
      </c>
      <c r="I302" t="s">
        <v>886</v>
      </c>
      <c r="J302">
        <v>0</v>
      </c>
      <c r="K302" t="s">
        <v>887</v>
      </c>
      <c r="L302" t="s">
        <v>28</v>
      </c>
      <c r="M302">
        <v>16.88</v>
      </c>
      <c r="N302" t="s">
        <v>160</v>
      </c>
      <c r="O302">
        <v>95</v>
      </c>
      <c r="P302">
        <f t="shared" si="27"/>
        <v>1603.6</v>
      </c>
      <c r="Q302" t="s">
        <v>30</v>
      </c>
      <c r="R302">
        <v>45980</v>
      </c>
      <c r="S302">
        <v>401768</v>
      </c>
      <c r="U302">
        <f t="shared" si="24"/>
        <v>0</v>
      </c>
    </row>
    <row r="303" spans="1:21" ht="15.75" x14ac:dyDescent="0.25">
      <c r="A303" t="s">
        <v>914</v>
      </c>
      <c r="B303">
        <v>43959</v>
      </c>
      <c r="C303" t="s">
        <v>22</v>
      </c>
      <c r="D303" t="s">
        <v>23</v>
      </c>
      <c r="E303" t="s">
        <v>22</v>
      </c>
      <c r="F303" t="s">
        <v>23</v>
      </c>
      <c r="G303" t="s">
        <v>901</v>
      </c>
      <c r="H303" t="s">
        <v>902</v>
      </c>
      <c r="I303" t="s">
        <v>915</v>
      </c>
      <c r="J303">
        <v>0</v>
      </c>
      <c r="K303" t="s">
        <v>916</v>
      </c>
      <c r="L303" t="s">
        <v>28</v>
      </c>
      <c r="M303">
        <v>38.369999999999997</v>
      </c>
      <c r="N303" t="s">
        <v>160</v>
      </c>
      <c r="O303">
        <v>95</v>
      </c>
      <c r="P303">
        <f t="shared" si="27"/>
        <v>3645.1499999999996</v>
      </c>
      <c r="Q303" t="s">
        <v>30</v>
      </c>
      <c r="R303">
        <v>45980</v>
      </c>
      <c r="S303">
        <v>401768</v>
      </c>
      <c r="T303">
        <v>100</v>
      </c>
      <c r="U303">
        <f t="shared" si="24"/>
        <v>3.6451499999999992</v>
      </c>
    </row>
    <row r="304" spans="1:21" ht="15.75" x14ac:dyDescent="0.25">
      <c r="A304" t="s">
        <v>917</v>
      </c>
      <c r="B304">
        <v>43959</v>
      </c>
      <c r="C304" t="s">
        <v>22</v>
      </c>
      <c r="D304" t="s">
        <v>23</v>
      </c>
      <c r="E304" t="s">
        <v>22</v>
      </c>
      <c r="F304" t="s">
        <v>23</v>
      </c>
      <c r="G304" t="s">
        <v>901</v>
      </c>
      <c r="H304" t="s">
        <v>902</v>
      </c>
      <c r="I304" t="s">
        <v>918</v>
      </c>
      <c r="J304">
        <v>0</v>
      </c>
      <c r="K304" t="s">
        <v>919</v>
      </c>
      <c r="L304" t="s">
        <v>28</v>
      </c>
      <c r="M304">
        <v>38.25</v>
      </c>
      <c r="N304" t="s">
        <v>160</v>
      </c>
      <c r="O304">
        <v>95</v>
      </c>
      <c r="P304">
        <f t="shared" si="27"/>
        <v>3633.75</v>
      </c>
      <c r="Q304" t="s">
        <v>30</v>
      </c>
      <c r="R304">
        <v>45980</v>
      </c>
      <c r="S304">
        <v>401768</v>
      </c>
      <c r="U304">
        <f t="shared" si="24"/>
        <v>0</v>
      </c>
    </row>
    <row r="305" spans="1:21" ht="15.75" x14ac:dyDescent="0.25">
      <c r="A305" t="s">
        <v>920</v>
      </c>
      <c r="B305">
        <v>43959</v>
      </c>
      <c r="C305" t="s">
        <v>22</v>
      </c>
      <c r="D305" t="s">
        <v>23</v>
      </c>
      <c r="E305" t="s">
        <v>22</v>
      </c>
      <c r="F305" t="s">
        <v>23</v>
      </c>
      <c r="G305" t="s">
        <v>901</v>
      </c>
      <c r="H305" t="s">
        <v>902</v>
      </c>
      <c r="I305" t="s">
        <v>921</v>
      </c>
      <c r="J305">
        <v>0</v>
      </c>
      <c r="K305" t="s">
        <v>922</v>
      </c>
      <c r="L305" t="s">
        <v>28</v>
      </c>
      <c r="M305">
        <v>161508</v>
      </c>
      <c r="N305" t="s">
        <v>160</v>
      </c>
      <c r="O305">
        <v>95</v>
      </c>
      <c r="P305">
        <f t="shared" si="27"/>
        <v>15343260</v>
      </c>
      <c r="Q305" t="s">
        <v>30</v>
      </c>
      <c r="R305">
        <v>41879</v>
      </c>
      <c r="S305">
        <v>401768</v>
      </c>
      <c r="U305">
        <f t="shared" si="24"/>
        <v>0</v>
      </c>
    </row>
    <row r="306" spans="1:21" ht="15.75" x14ac:dyDescent="0.25">
      <c r="A306" t="s">
        <v>923</v>
      </c>
      <c r="B306">
        <v>43959</v>
      </c>
      <c r="C306" t="s">
        <v>22</v>
      </c>
      <c r="D306" t="s">
        <v>23</v>
      </c>
      <c r="E306" t="s">
        <v>22</v>
      </c>
      <c r="F306" t="s">
        <v>23</v>
      </c>
      <c r="G306" t="s">
        <v>901</v>
      </c>
      <c r="H306" t="s">
        <v>902</v>
      </c>
      <c r="I306" t="s">
        <v>924</v>
      </c>
      <c r="J306">
        <v>0</v>
      </c>
      <c r="K306" t="s">
        <v>875</v>
      </c>
      <c r="L306" t="s">
        <v>28</v>
      </c>
      <c r="M306">
        <v>3.29</v>
      </c>
      <c r="N306" t="s">
        <v>160</v>
      </c>
      <c r="O306">
        <v>95</v>
      </c>
      <c r="P306">
        <f t="shared" si="27"/>
        <v>312.55</v>
      </c>
      <c r="Q306" t="s">
        <v>30</v>
      </c>
      <c r="R306">
        <v>44505</v>
      </c>
      <c r="S306">
        <v>401768</v>
      </c>
      <c r="U306">
        <f t="shared" si="24"/>
        <v>0</v>
      </c>
    </row>
    <row r="307" spans="1:21" ht="15.75" x14ac:dyDescent="0.25">
      <c r="A307" t="s">
        <v>925</v>
      </c>
      <c r="B307">
        <v>43959</v>
      </c>
      <c r="C307" t="s">
        <v>22</v>
      </c>
      <c r="D307" t="s">
        <v>23</v>
      </c>
      <c r="E307" t="s">
        <v>22</v>
      </c>
      <c r="F307" t="s">
        <v>23</v>
      </c>
      <c r="G307" t="s">
        <v>901</v>
      </c>
      <c r="H307" t="s">
        <v>902</v>
      </c>
      <c r="I307" t="s">
        <v>926</v>
      </c>
      <c r="J307">
        <v>0</v>
      </c>
      <c r="K307" t="s">
        <v>927</v>
      </c>
      <c r="L307" t="s">
        <v>28</v>
      </c>
      <c r="M307">
        <v>1.48</v>
      </c>
      <c r="N307" t="s">
        <v>160</v>
      </c>
      <c r="O307">
        <v>95</v>
      </c>
      <c r="P307">
        <f t="shared" si="27"/>
        <v>140.6</v>
      </c>
      <c r="Q307" t="s">
        <v>30</v>
      </c>
      <c r="R307">
        <v>44505</v>
      </c>
      <c r="S307">
        <v>401768</v>
      </c>
      <c r="U307">
        <f t="shared" si="24"/>
        <v>0</v>
      </c>
    </row>
    <row r="308" spans="1:21" ht="15.75" x14ac:dyDescent="0.25">
      <c r="A308" t="s">
        <v>928</v>
      </c>
      <c r="B308">
        <v>43959</v>
      </c>
      <c r="C308" t="s">
        <v>22</v>
      </c>
      <c r="D308" t="s">
        <v>23</v>
      </c>
      <c r="E308" t="s">
        <v>22</v>
      </c>
      <c r="F308" t="s">
        <v>23</v>
      </c>
      <c r="G308" t="s">
        <v>901</v>
      </c>
      <c r="H308" t="s">
        <v>902</v>
      </c>
      <c r="I308" t="s">
        <v>889</v>
      </c>
      <c r="J308">
        <v>0</v>
      </c>
      <c r="K308" t="s">
        <v>890</v>
      </c>
      <c r="L308" t="s">
        <v>28</v>
      </c>
      <c r="M308">
        <v>20.79</v>
      </c>
      <c r="N308" t="s">
        <v>160</v>
      </c>
      <c r="O308">
        <v>95</v>
      </c>
      <c r="P308">
        <f t="shared" si="27"/>
        <v>1975.05</v>
      </c>
      <c r="Q308" t="s">
        <v>30</v>
      </c>
      <c r="R308">
        <v>44704</v>
      </c>
      <c r="S308">
        <v>401768</v>
      </c>
      <c r="U308">
        <f t="shared" si="24"/>
        <v>0</v>
      </c>
    </row>
    <row r="309" spans="1:21" ht="15.75" x14ac:dyDescent="0.25">
      <c r="A309" t="s">
        <v>929</v>
      </c>
      <c r="B309">
        <v>43959</v>
      </c>
      <c r="C309" t="s">
        <v>22</v>
      </c>
      <c r="D309" t="s">
        <v>23</v>
      </c>
      <c r="E309" t="s">
        <v>22</v>
      </c>
      <c r="F309" t="s">
        <v>23</v>
      </c>
      <c r="G309" t="s">
        <v>901</v>
      </c>
      <c r="H309" t="s">
        <v>902</v>
      </c>
      <c r="I309" t="s">
        <v>898</v>
      </c>
      <c r="J309">
        <v>0</v>
      </c>
      <c r="K309" t="s">
        <v>899</v>
      </c>
      <c r="L309" t="s">
        <v>28</v>
      </c>
      <c r="M309">
        <v>33.47</v>
      </c>
      <c r="N309" t="s">
        <v>160</v>
      </c>
      <c r="O309">
        <v>95</v>
      </c>
      <c r="P309">
        <f t="shared" si="27"/>
        <v>3179.65</v>
      </c>
      <c r="Q309" t="s">
        <v>30</v>
      </c>
      <c r="R309">
        <v>44505</v>
      </c>
      <c r="S309">
        <v>401768</v>
      </c>
      <c r="U309">
        <f t="shared" si="24"/>
        <v>0</v>
      </c>
    </row>
    <row r="310" spans="1:21" ht="15.75" x14ac:dyDescent="0.25">
      <c r="A310" t="s">
        <v>930</v>
      </c>
      <c r="B310">
        <v>43959</v>
      </c>
      <c r="C310" t="s">
        <v>22</v>
      </c>
      <c r="D310" t="s">
        <v>23</v>
      </c>
      <c r="E310" t="s">
        <v>22</v>
      </c>
      <c r="F310" t="s">
        <v>23</v>
      </c>
      <c r="G310" t="s">
        <v>901</v>
      </c>
      <c r="H310" t="s">
        <v>902</v>
      </c>
      <c r="I310" t="s">
        <v>931</v>
      </c>
      <c r="J310">
        <v>0</v>
      </c>
      <c r="K310" t="s">
        <v>922</v>
      </c>
      <c r="L310" t="s">
        <v>28</v>
      </c>
      <c r="M310">
        <v>161508</v>
      </c>
      <c r="N310" t="s">
        <v>160</v>
      </c>
      <c r="O310">
        <v>95</v>
      </c>
      <c r="P310">
        <f t="shared" si="27"/>
        <v>15343260</v>
      </c>
      <c r="Q310" t="s">
        <v>30</v>
      </c>
      <c r="R310">
        <v>41864</v>
      </c>
      <c r="S310">
        <v>401768</v>
      </c>
      <c r="U310">
        <f t="shared" si="24"/>
        <v>0</v>
      </c>
    </row>
    <row r="311" spans="1:21" ht="15.75" x14ac:dyDescent="0.25">
      <c r="A311" t="s">
        <v>932</v>
      </c>
      <c r="B311">
        <v>43959</v>
      </c>
      <c r="C311" t="s">
        <v>22</v>
      </c>
      <c r="D311" t="s">
        <v>23</v>
      </c>
      <c r="E311" t="s">
        <v>22</v>
      </c>
      <c r="F311" t="s">
        <v>23</v>
      </c>
      <c r="G311" t="s">
        <v>901</v>
      </c>
      <c r="H311" t="s">
        <v>902</v>
      </c>
      <c r="I311" t="s">
        <v>933</v>
      </c>
      <c r="J311">
        <v>0</v>
      </c>
      <c r="K311" t="s">
        <v>934</v>
      </c>
      <c r="L311" t="s">
        <v>36</v>
      </c>
      <c r="M311">
        <v>728700</v>
      </c>
      <c r="N311" t="s">
        <v>160</v>
      </c>
      <c r="O311">
        <v>95</v>
      </c>
      <c r="P311">
        <f t="shared" si="27"/>
        <v>69226500</v>
      </c>
      <c r="Q311" t="s">
        <v>30</v>
      </c>
      <c r="R311">
        <v>43343</v>
      </c>
      <c r="S311">
        <v>401768</v>
      </c>
      <c r="U311">
        <f t="shared" si="24"/>
        <v>0</v>
      </c>
    </row>
    <row r="312" spans="1:21" ht="15.75" x14ac:dyDescent="0.25">
      <c r="A312" t="s">
        <v>935</v>
      </c>
      <c r="B312">
        <v>45048</v>
      </c>
      <c r="C312" t="s">
        <v>22</v>
      </c>
      <c r="D312" t="s">
        <v>23</v>
      </c>
      <c r="E312" t="s">
        <v>30</v>
      </c>
      <c r="F312" t="s">
        <v>30</v>
      </c>
      <c r="G312" t="s">
        <v>936</v>
      </c>
      <c r="H312" t="s">
        <v>937</v>
      </c>
      <c r="I312" t="s">
        <v>938</v>
      </c>
      <c r="J312">
        <v>0</v>
      </c>
      <c r="K312" t="s">
        <v>939</v>
      </c>
      <c r="L312" t="s">
        <v>28</v>
      </c>
      <c r="M312">
        <v>4.54</v>
      </c>
      <c r="N312" t="s">
        <v>151</v>
      </c>
      <c r="O312">
        <v>110</v>
      </c>
      <c r="P312">
        <f t="shared" si="27"/>
        <v>499.4</v>
      </c>
      <c r="Q312" t="s">
        <v>30</v>
      </c>
      <c r="R312">
        <v>45048</v>
      </c>
      <c r="S312">
        <v>401768</v>
      </c>
      <c r="U312">
        <f t="shared" si="24"/>
        <v>0</v>
      </c>
    </row>
    <row r="313" spans="1:21" ht="15.75" x14ac:dyDescent="0.25">
      <c r="A313" t="s">
        <v>940</v>
      </c>
      <c r="B313">
        <v>43959</v>
      </c>
      <c r="C313" t="s">
        <v>22</v>
      </c>
      <c r="D313" t="s">
        <v>23</v>
      </c>
      <c r="E313" t="s">
        <v>22</v>
      </c>
      <c r="F313" t="s">
        <v>23</v>
      </c>
      <c r="G313" t="s">
        <v>941</v>
      </c>
      <c r="H313" t="s">
        <v>942</v>
      </c>
      <c r="I313" t="s">
        <v>943</v>
      </c>
      <c r="J313">
        <v>0</v>
      </c>
      <c r="K313" t="s">
        <v>944</v>
      </c>
      <c r="L313" t="s">
        <v>28</v>
      </c>
      <c r="M313">
        <v>7.04</v>
      </c>
      <c r="N313" t="s">
        <v>29</v>
      </c>
      <c r="O313">
        <f>M313</f>
        <v>7.04</v>
      </c>
      <c r="P313">
        <f>O313</f>
        <v>7.04</v>
      </c>
      <c r="Q313" t="s">
        <v>30</v>
      </c>
      <c r="R313">
        <v>41668</v>
      </c>
      <c r="S313">
        <v>401768</v>
      </c>
      <c r="U313">
        <f t="shared" si="24"/>
        <v>0</v>
      </c>
    </row>
    <row r="314" spans="1:21" ht="15.75" x14ac:dyDescent="0.25">
      <c r="A314" t="s">
        <v>945</v>
      </c>
      <c r="B314">
        <v>43959</v>
      </c>
      <c r="C314" t="s">
        <v>22</v>
      </c>
      <c r="D314" t="s">
        <v>23</v>
      </c>
      <c r="E314" t="s">
        <v>22</v>
      </c>
      <c r="F314" t="s">
        <v>23</v>
      </c>
      <c r="G314" t="s">
        <v>946</v>
      </c>
      <c r="H314" t="s">
        <v>947</v>
      </c>
      <c r="I314" t="s">
        <v>948</v>
      </c>
      <c r="J314">
        <v>0</v>
      </c>
      <c r="K314" t="s">
        <v>949</v>
      </c>
      <c r="L314" t="s">
        <v>28</v>
      </c>
      <c r="M314">
        <v>7.0000000000000007E-2</v>
      </c>
      <c r="N314" t="s">
        <v>160</v>
      </c>
      <c r="O314">
        <v>95</v>
      </c>
      <c r="P314">
        <f t="shared" ref="P314:P338" si="28">O314*M314</f>
        <v>6.65</v>
      </c>
      <c r="Q314" t="s">
        <v>30</v>
      </c>
      <c r="R314">
        <v>41275</v>
      </c>
      <c r="S314">
        <v>401768</v>
      </c>
      <c r="U314">
        <f t="shared" si="24"/>
        <v>0</v>
      </c>
    </row>
    <row r="315" spans="1:21" ht="15.75" x14ac:dyDescent="0.25">
      <c r="A315" t="s">
        <v>950</v>
      </c>
      <c r="B315">
        <v>43959</v>
      </c>
      <c r="C315" t="s">
        <v>22</v>
      </c>
      <c r="D315" t="s">
        <v>23</v>
      </c>
      <c r="E315" t="s">
        <v>22</v>
      </c>
      <c r="F315" t="s">
        <v>23</v>
      </c>
      <c r="G315" t="s">
        <v>946</v>
      </c>
      <c r="H315" t="s">
        <v>947</v>
      </c>
      <c r="I315" t="s">
        <v>951</v>
      </c>
      <c r="J315">
        <v>0</v>
      </c>
      <c r="K315" t="s">
        <v>952</v>
      </c>
      <c r="L315" t="s">
        <v>28</v>
      </c>
      <c r="M315">
        <v>0.53</v>
      </c>
      <c r="N315" t="s">
        <v>160</v>
      </c>
      <c r="O315">
        <v>95</v>
      </c>
      <c r="P315">
        <f t="shared" si="28"/>
        <v>50.35</v>
      </c>
      <c r="Q315" t="s">
        <v>30</v>
      </c>
      <c r="R315">
        <v>41275</v>
      </c>
      <c r="S315">
        <v>401768</v>
      </c>
      <c r="U315">
        <f t="shared" si="24"/>
        <v>0</v>
      </c>
    </row>
    <row r="316" spans="1:21" ht="15.75" x14ac:dyDescent="0.25">
      <c r="A316" t="s">
        <v>953</v>
      </c>
      <c r="B316">
        <v>43959</v>
      </c>
      <c r="C316" t="s">
        <v>22</v>
      </c>
      <c r="D316" t="s">
        <v>23</v>
      </c>
      <c r="E316" t="s">
        <v>22</v>
      </c>
      <c r="F316" t="s">
        <v>23</v>
      </c>
      <c r="G316" t="s">
        <v>946</v>
      </c>
      <c r="H316" t="s">
        <v>947</v>
      </c>
      <c r="I316" t="s">
        <v>954</v>
      </c>
      <c r="J316">
        <v>0</v>
      </c>
      <c r="K316" t="s">
        <v>955</v>
      </c>
      <c r="L316" t="s">
        <v>28</v>
      </c>
      <c r="M316">
        <v>9</v>
      </c>
      <c r="N316" t="s">
        <v>160</v>
      </c>
      <c r="O316">
        <v>95</v>
      </c>
      <c r="P316">
        <f t="shared" si="28"/>
        <v>855</v>
      </c>
      <c r="Q316" t="s">
        <v>30</v>
      </c>
      <c r="R316">
        <v>41275</v>
      </c>
      <c r="S316">
        <v>401768</v>
      </c>
      <c r="U316">
        <f t="shared" si="24"/>
        <v>0</v>
      </c>
    </row>
    <row r="317" spans="1:21" ht="15.75" x14ac:dyDescent="0.25">
      <c r="A317" t="s">
        <v>956</v>
      </c>
      <c r="B317">
        <v>43959</v>
      </c>
      <c r="C317" t="s">
        <v>22</v>
      </c>
      <c r="D317" t="s">
        <v>23</v>
      </c>
      <c r="E317" t="s">
        <v>22</v>
      </c>
      <c r="F317" t="s">
        <v>23</v>
      </c>
      <c r="G317" t="s">
        <v>946</v>
      </c>
      <c r="H317" t="s">
        <v>947</v>
      </c>
      <c r="I317" t="s">
        <v>957</v>
      </c>
      <c r="J317">
        <v>0</v>
      </c>
      <c r="K317" t="s">
        <v>958</v>
      </c>
      <c r="L317" t="s">
        <v>28</v>
      </c>
      <c r="M317">
        <v>0.4</v>
      </c>
      <c r="N317" t="s">
        <v>160</v>
      </c>
      <c r="O317">
        <v>95</v>
      </c>
      <c r="P317">
        <f t="shared" si="28"/>
        <v>38</v>
      </c>
      <c r="Q317" t="s">
        <v>30</v>
      </c>
      <c r="R317">
        <v>41275</v>
      </c>
      <c r="S317">
        <v>401768</v>
      </c>
      <c r="U317">
        <f t="shared" si="24"/>
        <v>0</v>
      </c>
    </row>
    <row r="318" spans="1:21" ht="15.75" x14ac:dyDescent="0.25">
      <c r="A318" t="s">
        <v>959</v>
      </c>
      <c r="B318">
        <v>43959</v>
      </c>
      <c r="C318" t="s">
        <v>22</v>
      </c>
      <c r="D318" t="s">
        <v>23</v>
      </c>
      <c r="E318" t="s">
        <v>22</v>
      </c>
      <c r="F318" t="s">
        <v>23</v>
      </c>
      <c r="G318" t="s">
        <v>946</v>
      </c>
      <c r="H318" t="s">
        <v>947</v>
      </c>
      <c r="I318" t="s">
        <v>960</v>
      </c>
      <c r="J318">
        <v>0</v>
      </c>
      <c r="K318" t="s">
        <v>961</v>
      </c>
      <c r="L318" t="s">
        <v>28</v>
      </c>
      <c r="M318">
        <v>0.28000000000000003</v>
      </c>
      <c r="N318" t="s">
        <v>160</v>
      </c>
      <c r="O318">
        <v>95</v>
      </c>
      <c r="P318">
        <f t="shared" si="28"/>
        <v>26.6</v>
      </c>
      <c r="Q318" t="s">
        <v>30</v>
      </c>
      <c r="R318">
        <v>41275</v>
      </c>
      <c r="S318">
        <v>401768</v>
      </c>
      <c r="U318">
        <f t="shared" si="24"/>
        <v>0</v>
      </c>
    </row>
    <row r="319" spans="1:21" ht="15.75" x14ac:dyDescent="0.25">
      <c r="A319" t="s">
        <v>962</v>
      </c>
      <c r="B319">
        <v>43959</v>
      </c>
      <c r="C319" t="s">
        <v>22</v>
      </c>
      <c r="D319" t="s">
        <v>23</v>
      </c>
      <c r="E319" t="s">
        <v>22</v>
      </c>
      <c r="F319" t="s">
        <v>23</v>
      </c>
      <c r="G319" t="s">
        <v>946</v>
      </c>
      <c r="H319" t="s">
        <v>947</v>
      </c>
      <c r="I319" t="s">
        <v>963</v>
      </c>
      <c r="J319">
        <v>0</v>
      </c>
      <c r="K319" t="s">
        <v>964</v>
      </c>
      <c r="L319" t="s">
        <v>28</v>
      </c>
      <c r="M319">
        <v>1.1000000000000001</v>
      </c>
      <c r="N319" t="s">
        <v>160</v>
      </c>
      <c r="O319">
        <v>95</v>
      </c>
      <c r="P319">
        <f t="shared" si="28"/>
        <v>104.50000000000001</v>
      </c>
      <c r="Q319" t="s">
        <v>30</v>
      </c>
      <c r="R319">
        <v>41275</v>
      </c>
      <c r="S319">
        <v>401768</v>
      </c>
      <c r="U319">
        <f t="shared" si="24"/>
        <v>0</v>
      </c>
    </row>
    <row r="320" spans="1:21" ht="15.75" x14ac:dyDescent="0.25">
      <c r="A320" t="s">
        <v>965</v>
      </c>
      <c r="B320">
        <v>43959</v>
      </c>
      <c r="C320" t="s">
        <v>22</v>
      </c>
      <c r="D320" t="s">
        <v>23</v>
      </c>
      <c r="E320" t="s">
        <v>22</v>
      </c>
      <c r="F320" t="s">
        <v>23</v>
      </c>
      <c r="G320" t="s">
        <v>966</v>
      </c>
      <c r="H320" t="s">
        <v>967</v>
      </c>
      <c r="I320" t="s">
        <v>968</v>
      </c>
      <c r="J320">
        <v>0</v>
      </c>
      <c r="K320" t="s">
        <v>969</v>
      </c>
      <c r="L320" t="s">
        <v>28</v>
      </c>
      <c r="M320">
        <v>0.73</v>
      </c>
      <c r="N320" t="s">
        <v>160</v>
      </c>
      <c r="O320">
        <v>95</v>
      </c>
      <c r="P320">
        <f t="shared" si="28"/>
        <v>69.349999999999994</v>
      </c>
      <c r="Q320" t="s">
        <v>30</v>
      </c>
      <c r="R320">
        <v>46161</v>
      </c>
      <c r="S320">
        <v>401768</v>
      </c>
      <c r="U320">
        <f t="shared" si="24"/>
        <v>0</v>
      </c>
    </row>
    <row r="321" spans="1:21" ht="15.75" x14ac:dyDescent="0.25">
      <c r="A321" t="s">
        <v>970</v>
      </c>
      <c r="B321">
        <v>43959</v>
      </c>
      <c r="C321" t="s">
        <v>22</v>
      </c>
      <c r="D321" t="s">
        <v>23</v>
      </c>
      <c r="E321" t="s">
        <v>22</v>
      </c>
      <c r="F321" t="s">
        <v>23</v>
      </c>
      <c r="G321" t="s">
        <v>966</v>
      </c>
      <c r="H321" t="s">
        <v>967</v>
      </c>
      <c r="I321" t="s">
        <v>971</v>
      </c>
      <c r="J321">
        <v>0</v>
      </c>
      <c r="K321" t="s">
        <v>972</v>
      </c>
      <c r="L321" t="s">
        <v>28</v>
      </c>
      <c r="M321">
        <v>0.31459999999999999</v>
      </c>
      <c r="N321" t="s">
        <v>160</v>
      </c>
      <c r="O321">
        <v>95</v>
      </c>
      <c r="P321">
        <f t="shared" si="28"/>
        <v>29.887</v>
      </c>
      <c r="Q321" t="s">
        <v>30</v>
      </c>
      <c r="R321">
        <v>45476</v>
      </c>
      <c r="S321">
        <v>401768</v>
      </c>
      <c r="U321">
        <f t="shared" si="24"/>
        <v>0</v>
      </c>
    </row>
    <row r="322" spans="1:21" ht="15.75" x14ac:dyDescent="0.25">
      <c r="A322" t="s">
        <v>973</v>
      </c>
      <c r="B322">
        <v>43959</v>
      </c>
      <c r="C322" t="s">
        <v>22</v>
      </c>
      <c r="D322" t="s">
        <v>23</v>
      </c>
      <c r="E322" t="s">
        <v>22</v>
      </c>
      <c r="F322" t="s">
        <v>23</v>
      </c>
      <c r="G322" t="s">
        <v>966</v>
      </c>
      <c r="H322" t="s">
        <v>967</v>
      </c>
      <c r="I322" t="s">
        <v>974</v>
      </c>
      <c r="J322">
        <v>0</v>
      </c>
      <c r="K322" t="s">
        <v>975</v>
      </c>
      <c r="L322" t="s">
        <v>28</v>
      </c>
      <c r="M322">
        <v>1.0900000000000001</v>
      </c>
      <c r="N322" t="s">
        <v>160</v>
      </c>
      <c r="O322">
        <v>95</v>
      </c>
      <c r="P322">
        <f t="shared" si="28"/>
        <v>103.55000000000001</v>
      </c>
      <c r="Q322" t="s">
        <v>30</v>
      </c>
      <c r="R322">
        <v>46161</v>
      </c>
      <c r="S322">
        <v>401768</v>
      </c>
      <c r="U322">
        <f t="shared" si="24"/>
        <v>0</v>
      </c>
    </row>
    <row r="323" spans="1:21" ht="15.75" x14ac:dyDescent="0.25">
      <c r="A323" t="s">
        <v>976</v>
      </c>
      <c r="B323">
        <v>43959</v>
      </c>
      <c r="C323" t="s">
        <v>22</v>
      </c>
      <c r="D323" t="s">
        <v>23</v>
      </c>
      <c r="E323" t="s">
        <v>22</v>
      </c>
      <c r="F323" t="s">
        <v>23</v>
      </c>
      <c r="G323" t="s">
        <v>966</v>
      </c>
      <c r="H323" t="s">
        <v>967</v>
      </c>
      <c r="I323" t="s">
        <v>977</v>
      </c>
      <c r="J323">
        <v>0</v>
      </c>
      <c r="K323" t="s">
        <v>978</v>
      </c>
      <c r="L323" t="s">
        <v>28</v>
      </c>
      <c r="M323">
        <v>1.39</v>
      </c>
      <c r="N323" t="s">
        <v>160</v>
      </c>
      <c r="O323">
        <v>95</v>
      </c>
      <c r="P323">
        <f t="shared" si="28"/>
        <v>132.04999999999998</v>
      </c>
      <c r="Q323" t="s">
        <v>30</v>
      </c>
      <c r="R323">
        <v>46161</v>
      </c>
      <c r="S323">
        <v>401768</v>
      </c>
      <c r="U323">
        <f t="shared" ref="U323:U386" si="29">T323*P323/100000</f>
        <v>0</v>
      </c>
    </row>
    <row r="324" spans="1:21" ht="15.75" x14ac:dyDescent="0.25">
      <c r="A324" t="s">
        <v>979</v>
      </c>
      <c r="B324">
        <v>43959</v>
      </c>
      <c r="C324" t="s">
        <v>22</v>
      </c>
      <c r="D324" t="s">
        <v>23</v>
      </c>
      <c r="E324" t="s">
        <v>22</v>
      </c>
      <c r="F324" t="s">
        <v>23</v>
      </c>
      <c r="G324" t="s">
        <v>966</v>
      </c>
      <c r="H324" t="s">
        <v>967</v>
      </c>
      <c r="I324" t="s">
        <v>980</v>
      </c>
      <c r="J324">
        <v>0</v>
      </c>
      <c r="K324" t="s">
        <v>981</v>
      </c>
      <c r="L324" t="s">
        <v>28</v>
      </c>
      <c r="M324">
        <v>3.4</v>
      </c>
      <c r="N324" t="s">
        <v>160</v>
      </c>
      <c r="O324">
        <v>95</v>
      </c>
      <c r="P324">
        <f t="shared" si="28"/>
        <v>323</v>
      </c>
      <c r="Q324" t="s">
        <v>30</v>
      </c>
      <c r="R324">
        <v>46161</v>
      </c>
      <c r="S324">
        <v>401768</v>
      </c>
      <c r="U324">
        <f t="shared" si="29"/>
        <v>0</v>
      </c>
    </row>
    <row r="325" spans="1:21" ht="15.75" x14ac:dyDescent="0.25">
      <c r="A325" t="s">
        <v>982</v>
      </c>
      <c r="B325">
        <v>43959</v>
      </c>
      <c r="C325" t="s">
        <v>22</v>
      </c>
      <c r="D325" t="s">
        <v>23</v>
      </c>
      <c r="E325" t="s">
        <v>22</v>
      </c>
      <c r="F325" t="s">
        <v>23</v>
      </c>
      <c r="G325" t="s">
        <v>966</v>
      </c>
      <c r="H325" t="s">
        <v>967</v>
      </c>
      <c r="I325" t="s">
        <v>983</v>
      </c>
      <c r="J325">
        <v>0</v>
      </c>
      <c r="K325" t="s">
        <v>984</v>
      </c>
      <c r="L325" t="s">
        <v>28</v>
      </c>
      <c r="M325">
        <v>3.47</v>
      </c>
      <c r="N325" t="s">
        <v>160</v>
      </c>
      <c r="O325">
        <v>95</v>
      </c>
      <c r="P325">
        <f t="shared" si="28"/>
        <v>329.65000000000003</v>
      </c>
      <c r="Q325" t="s">
        <v>30</v>
      </c>
      <c r="R325">
        <v>46161</v>
      </c>
      <c r="S325">
        <v>401768</v>
      </c>
      <c r="U325">
        <f t="shared" si="29"/>
        <v>0</v>
      </c>
    </row>
    <row r="326" spans="1:21" ht="15.75" x14ac:dyDescent="0.25">
      <c r="A326" t="s">
        <v>985</v>
      </c>
      <c r="B326">
        <v>43959</v>
      </c>
      <c r="C326" t="s">
        <v>22</v>
      </c>
      <c r="D326" t="s">
        <v>23</v>
      </c>
      <c r="E326" t="s">
        <v>22</v>
      </c>
      <c r="F326" t="s">
        <v>23</v>
      </c>
      <c r="G326" t="s">
        <v>966</v>
      </c>
      <c r="H326" t="s">
        <v>967</v>
      </c>
      <c r="I326" t="s">
        <v>986</v>
      </c>
      <c r="J326">
        <v>0</v>
      </c>
      <c r="K326" t="s">
        <v>987</v>
      </c>
      <c r="L326" t="s">
        <v>28</v>
      </c>
      <c r="M326">
        <v>3.64</v>
      </c>
      <c r="N326" t="s">
        <v>160</v>
      </c>
      <c r="O326">
        <v>95</v>
      </c>
      <c r="P326">
        <f t="shared" si="28"/>
        <v>345.8</v>
      </c>
      <c r="Q326" t="s">
        <v>30</v>
      </c>
      <c r="R326">
        <v>46161</v>
      </c>
      <c r="S326">
        <v>401768</v>
      </c>
      <c r="U326">
        <f t="shared" si="29"/>
        <v>0</v>
      </c>
    </row>
    <row r="327" spans="1:21" ht="15.75" x14ac:dyDescent="0.25">
      <c r="A327" t="s">
        <v>988</v>
      </c>
      <c r="B327">
        <v>43959</v>
      </c>
      <c r="C327" t="s">
        <v>22</v>
      </c>
      <c r="D327" t="s">
        <v>23</v>
      </c>
      <c r="E327" t="s">
        <v>22</v>
      </c>
      <c r="F327" t="s">
        <v>23</v>
      </c>
      <c r="G327" t="s">
        <v>966</v>
      </c>
      <c r="H327" t="s">
        <v>967</v>
      </c>
      <c r="I327" t="s">
        <v>989</v>
      </c>
      <c r="J327">
        <v>0</v>
      </c>
      <c r="K327" t="s">
        <v>990</v>
      </c>
      <c r="L327" t="s">
        <v>28</v>
      </c>
      <c r="M327">
        <v>3.35</v>
      </c>
      <c r="N327" t="s">
        <v>160</v>
      </c>
      <c r="O327">
        <v>95</v>
      </c>
      <c r="P327">
        <f t="shared" si="28"/>
        <v>318.25</v>
      </c>
      <c r="Q327" t="s">
        <v>30</v>
      </c>
      <c r="R327">
        <v>46161</v>
      </c>
      <c r="S327">
        <v>401768</v>
      </c>
      <c r="U327">
        <f t="shared" si="29"/>
        <v>0</v>
      </c>
    </row>
    <row r="328" spans="1:21" ht="15.75" x14ac:dyDescent="0.25">
      <c r="A328" t="s">
        <v>991</v>
      </c>
      <c r="B328">
        <v>43959</v>
      </c>
      <c r="C328" t="s">
        <v>22</v>
      </c>
      <c r="D328" t="s">
        <v>23</v>
      </c>
      <c r="E328" t="s">
        <v>22</v>
      </c>
      <c r="F328" t="s">
        <v>23</v>
      </c>
      <c r="G328" t="s">
        <v>966</v>
      </c>
      <c r="H328" t="s">
        <v>967</v>
      </c>
      <c r="I328" t="s">
        <v>992</v>
      </c>
      <c r="J328">
        <v>0</v>
      </c>
      <c r="K328" t="s">
        <v>993</v>
      </c>
      <c r="L328" t="s">
        <v>28</v>
      </c>
      <c r="M328">
        <v>2.36</v>
      </c>
      <c r="N328" t="s">
        <v>160</v>
      </c>
      <c r="O328">
        <v>95</v>
      </c>
      <c r="P328">
        <f t="shared" si="28"/>
        <v>224.2</v>
      </c>
      <c r="Q328" t="s">
        <v>30</v>
      </c>
      <c r="R328">
        <v>46161</v>
      </c>
      <c r="S328">
        <v>401768</v>
      </c>
      <c r="U328">
        <f t="shared" si="29"/>
        <v>0</v>
      </c>
    </row>
    <row r="329" spans="1:21" ht="15.75" x14ac:dyDescent="0.25">
      <c r="A329" t="s">
        <v>994</v>
      </c>
      <c r="B329">
        <v>43959</v>
      </c>
      <c r="C329" t="s">
        <v>22</v>
      </c>
      <c r="D329" t="s">
        <v>23</v>
      </c>
      <c r="E329" t="s">
        <v>22</v>
      </c>
      <c r="F329" t="s">
        <v>23</v>
      </c>
      <c r="G329" t="s">
        <v>966</v>
      </c>
      <c r="H329" t="s">
        <v>967</v>
      </c>
      <c r="I329" t="s">
        <v>995</v>
      </c>
      <c r="J329">
        <v>0</v>
      </c>
      <c r="K329" t="s">
        <v>996</v>
      </c>
      <c r="L329" t="s">
        <v>28</v>
      </c>
      <c r="M329">
        <v>2.46</v>
      </c>
      <c r="N329" t="s">
        <v>160</v>
      </c>
      <c r="O329">
        <v>95</v>
      </c>
      <c r="P329">
        <f t="shared" si="28"/>
        <v>233.7</v>
      </c>
      <c r="Q329" t="s">
        <v>30</v>
      </c>
      <c r="R329">
        <v>46161</v>
      </c>
      <c r="S329">
        <v>401768</v>
      </c>
      <c r="U329">
        <f t="shared" si="29"/>
        <v>0</v>
      </c>
    </row>
    <row r="330" spans="1:21" ht="15.75" x14ac:dyDescent="0.25">
      <c r="A330" t="s">
        <v>997</v>
      </c>
      <c r="B330">
        <v>43959</v>
      </c>
      <c r="C330" t="s">
        <v>22</v>
      </c>
      <c r="D330" t="s">
        <v>23</v>
      </c>
      <c r="E330" t="s">
        <v>22</v>
      </c>
      <c r="F330" t="s">
        <v>23</v>
      </c>
      <c r="G330" t="s">
        <v>966</v>
      </c>
      <c r="H330" t="s">
        <v>967</v>
      </c>
      <c r="I330" t="s">
        <v>998</v>
      </c>
      <c r="J330">
        <v>0</v>
      </c>
      <c r="K330" t="s">
        <v>999</v>
      </c>
      <c r="L330" t="s">
        <v>28</v>
      </c>
      <c r="M330">
        <v>2.46</v>
      </c>
      <c r="N330" t="s">
        <v>160</v>
      </c>
      <c r="O330">
        <v>95</v>
      </c>
      <c r="P330">
        <f t="shared" si="28"/>
        <v>233.7</v>
      </c>
      <c r="Q330" t="s">
        <v>30</v>
      </c>
      <c r="R330">
        <v>46161</v>
      </c>
      <c r="S330">
        <v>401768</v>
      </c>
      <c r="U330">
        <f t="shared" si="29"/>
        <v>0</v>
      </c>
    </row>
    <row r="331" spans="1:21" ht="15.75" x14ac:dyDescent="0.25">
      <c r="A331" t="s">
        <v>1000</v>
      </c>
      <c r="B331">
        <v>43959</v>
      </c>
      <c r="C331" t="s">
        <v>22</v>
      </c>
      <c r="D331" t="s">
        <v>23</v>
      </c>
      <c r="E331" t="s">
        <v>22</v>
      </c>
      <c r="F331" t="s">
        <v>23</v>
      </c>
      <c r="G331" t="s">
        <v>966</v>
      </c>
      <c r="H331" t="s">
        <v>967</v>
      </c>
      <c r="I331" t="s">
        <v>1001</v>
      </c>
      <c r="J331">
        <v>0</v>
      </c>
      <c r="K331" t="s">
        <v>1002</v>
      </c>
      <c r="L331" t="s">
        <v>28</v>
      </c>
      <c r="M331">
        <v>2.6</v>
      </c>
      <c r="N331" t="s">
        <v>160</v>
      </c>
      <c r="O331">
        <v>95</v>
      </c>
      <c r="P331">
        <f t="shared" si="28"/>
        <v>247</v>
      </c>
      <c r="Q331" t="s">
        <v>30</v>
      </c>
      <c r="R331">
        <v>46161</v>
      </c>
      <c r="S331">
        <v>401768</v>
      </c>
      <c r="U331">
        <f t="shared" si="29"/>
        <v>0</v>
      </c>
    </row>
    <row r="332" spans="1:21" ht="15.75" x14ac:dyDescent="0.25">
      <c r="A332" t="s">
        <v>1003</v>
      </c>
      <c r="B332">
        <v>43959</v>
      </c>
      <c r="C332" t="s">
        <v>22</v>
      </c>
      <c r="D332" t="s">
        <v>23</v>
      </c>
      <c r="E332" t="s">
        <v>22</v>
      </c>
      <c r="F332" t="s">
        <v>23</v>
      </c>
      <c r="G332" t="s">
        <v>966</v>
      </c>
      <c r="H332" t="s">
        <v>967</v>
      </c>
      <c r="I332" t="s">
        <v>1004</v>
      </c>
      <c r="J332">
        <v>0</v>
      </c>
      <c r="K332" t="s">
        <v>1005</v>
      </c>
      <c r="L332" t="s">
        <v>28</v>
      </c>
      <c r="M332">
        <v>3.64</v>
      </c>
      <c r="N332" t="s">
        <v>160</v>
      </c>
      <c r="O332">
        <v>95</v>
      </c>
      <c r="P332">
        <f t="shared" si="28"/>
        <v>345.8</v>
      </c>
      <c r="Q332" t="s">
        <v>30</v>
      </c>
      <c r="R332">
        <v>46161</v>
      </c>
      <c r="S332">
        <v>401768</v>
      </c>
      <c r="U332">
        <f t="shared" si="29"/>
        <v>0</v>
      </c>
    </row>
    <row r="333" spans="1:21" ht="15.75" x14ac:dyDescent="0.25">
      <c r="A333" t="s">
        <v>1006</v>
      </c>
      <c r="B333">
        <v>44235</v>
      </c>
      <c r="C333" t="s">
        <v>22</v>
      </c>
      <c r="D333" t="s">
        <v>23</v>
      </c>
      <c r="E333" t="s">
        <v>22</v>
      </c>
      <c r="F333" t="s">
        <v>23</v>
      </c>
      <c r="G333" t="s">
        <v>966</v>
      </c>
      <c r="H333" t="s">
        <v>967</v>
      </c>
      <c r="I333" t="s">
        <v>1007</v>
      </c>
      <c r="J333">
        <v>0</v>
      </c>
      <c r="K333" t="s">
        <v>1008</v>
      </c>
      <c r="L333" t="s">
        <v>28</v>
      </c>
      <c r="M333">
        <v>0.72</v>
      </c>
      <c r="N333" t="s">
        <v>160</v>
      </c>
      <c r="O333">
        <v>95</v>
      </c>
      <c r="P333">
        <f t="shared" si="28"/>
        <v>68.399999999999991</v>
      </c>
      <c r="Q333" t="s">
        <v>30</v>
      </c>
      <c r="R333">
        <v>46161</v>
      </c>
      <c r="S333">
        <v>401768</v>
      </c>
      <c r="U333">
        <f t="shared" si="29"/>
        <v>0</v>
      </c>
    </row>
    <row r="334" spans="1:21" ht="15.75" x14ac:dyDescent="0.25">
      <c r="A334" t="s">
        <v>1009</v>
      </c>
      <c r="B334">
        <v>44784</v>
      </c>
      <c r="C334" t="s">
        <v>22</v>
      </c>
      <c r="D334" t="s">
        <v>23</v>
      </c>
      <c r="E334" t="s">
        <v>22</v>
      </c>
      <c r="F334" t="s">
        <v>23</v>
      </c>
      <c r="G334" t="s">
        <v>966</v>
      </c>
      <c r="H334" t="s">
        <v>967</v>
      </c>
      <c r="I334" t="s">
        <v>1010</v>
      </c>
      <c r="J334">
        <v>0</v>
      </c>
      <c r="K334" t="s">
        <v>1011</v>
      </c>
      <c r="L334" t="s">
        <v>28</v>
      </c>
      <c r="M334">
        <v>0.74</v>
      </c>
      <c r="N334" t="s">
        <v>160</v>
      </c>
      <c r="O334">
        <v>95</v>
      </c>
      <c r="P334">
        <f t="shared" si="28"/>
        <v>70.3</v>
      </c>
      <c r="Q334" t="s">
        <v>30</v>
      </c>
      <c r="R334">
        <v>46161</v>
      </c>
      <c r="S334">
        <v>401768</v>
      </c>
      <c r="U334">
        <f t="shared" si="29"/>
        <v>0</v>
      </c>
    </row>
    <row r="335" spans="1:21" ht="15.75" x14ac:dyDescent="0.25">
      <c r="A335" t="s">
        <v>1012</v>
      </c>
      <c r="B335">
        <v>44911</v>
      </c>
      <c r="C335" t="s">
        <v>22</v>
      </c>
      <c r="D335" t="s">
        <v>23</v>
      </c>
      <c r="E335" t="s">
        <v>22</v>
      </c>
      <c r="F335" t="s">
        <v>23</v>
      </c>
      <c r="G335" t="s">
        <v>966</v>
      </c>
      <c r="H335" t="s">
        <v>967</v>
      </c>
      <c r="I335" t="s">
        <v>1013</v>
      </c>
      <c r="J335">
        <v>0</v>
      </c>
      <c r="K335" t="s">
        <v>1014</v>
      </c>
      <c r="L335" t="s">
        <v>28</v>
      </c>
      <c r="M335">
        <v>3.86</v>
      </c>
      <c r="N335" t="s">
        <v>160</v>
      </c>
      <c r="O335">
        <v>95</v>
      </c>
      <c r="P335">
        <f t="shared" si="28"/>
        <v>366.7</v>
      </c>
      <c r="Q335" t="s">
        <v>30</v>
      </c>
      <c r="R335">
        <v>46161</v>
      </c>
      <c r="S335">
        <v>401768</v>
      </c>
      <c r="U335">
        <f t="shared" si="29"/>
        <v>0</v>
      </c>
    </row>
    <row r="336" spans="1:21" ht="15.75" x14ac:dyDescent="0.25">
      <c r="A336" t="s">
        <v>1015</v>
      </c>
      <c r="B336">
        <v>45581</v>
      </c>
      <c r="C336" t="s">
        <v>22</v>
      </c>
      <c r="D336" t="s">
        <v>23</v>
      </c>
      <c r="E336" t="s">
        <v>22</v>
      </c>
      <c r="F336" t="s">
        <v>23</v>
      </c>
      <c r="G336" t="s">
        <v>966</v>
      </c>
      <c r="H336" t="s">
        <v>967</v>
      </c>
      <c r="I336" t="s">
        <v>971</v>
      </c>
      <c r="J336">
        <v>0</v>
      </c>
      <c r="K336" t="s">
        <v>972</v>
      </c>
      <c r="L336" t="s">
        <v>28</v>
      </c>
      <c r="M336">
        <v>0.39</v>
      </c>
      <c r="N336" t="s">
        <v>160</v>
      </c>
      <c r="O336">
        <v>95</v>
      </c>
      <c r="P336">
        <f t="shared" si="28"/>
        <v>37.050000000000004</v>
      </c>
      <c r="Q336" t="s">
        <v>30</v>
      </c>
      <c r="R336">
        <v>46161</v>
      </c>
      <c r="S336">
        <v>401768</v>
      </c>
      <c r="U336">
        <f t="shared" si="29"/>
        <v>0</v>
      </c>
    </row>
    <row r="337" spans="1:21" ht="15.75" x14ac:dyDescent="0.25">
      <c r="A337" t="s">
        <v>1016</v>
      </c>
      <c r="B337">
        <v>45721</v>
      </c>
      <c r="C337" t="s">
        <v>22</v>
      </c>
      <c r="D337" t="s">
        <v>23</v>
      </c>
      <c r="E337" t="s">
        <v>22</v>
      </c>
      <c r="F337" t="s">
        <v>23</v>
      </c>
      <c r="G337" t="s">
        <v>966</v>
      </c>
      <c r="H337" t="s">
        <v>967</v>
      </c>
      <c r="I337" t="s">
        <v>1017</v>
      </c>
      <c r="J337">
        <v>0</v>
      </c>
      <c r="K337" t="s">
        <v>1018</v>
      </c>
      <c r="L337" t="s">
        <v>28</v>
      </c>
      <c r="M337">
        <v>0.81</v>
      </c>
      <c r="N337" t="s">
        <v>160</v>
      </c>
      <c r="O337">
        <v>95</v>
      </c>
      <c r="P337">
        <f t="shared" si="28"/>
        <v>76.95</v>
      </c>
      <c r="Q337" t="s">
        <v>30</v>
      </c>
      <c r="R337">
        <v>46161</v>
      </c>
      <c r="S337">
        <v>401768</v>
      </c>
      <c r="U337">
        <f t="shared" si="29"/>
        <v>0</v>
      </c>
    </row>
    <row r="338" spans="1:21" ht="15.75" x14ac:dyDescent="0.25">
      <c r="A338" t="s">
        <v>1019</v>
      </c>
      <c r="B338">
        <v>45735</v>
      </c>
      <c r="C338" t="s">
        <v>22</v>
      </c>
      <c r="D338" t="s">
        <v>23</v>
      </c>
      <c r="E338" t="s">
        <v>22</v>
      </c>
      <c r="F338" t="s">
        <v>23</v>
      </c>
      <c r="G338" t="s">
        <v>966</v>
      </c>
      <c r="H338" t="s">
        <v>967</v>
      </c>
      <c r="I338" t="s">
        <v>1020</v>
      </c>
      <c r="J338">
        <v>0</v>
      </c>
      <c r="K338" t="s">
        <v>1021</v>
      </c>
      <c r="L338" t="s">
        <v>28</v>
      </c>
      <c r="M338">
        <v>4.62</v>
      </c>
      <c r="N338" t="s">
        <v>160</v>
      </c>
      <c r="O338">
        <v>95</v>
      </c>
      <c r="P338">
        <f t="shared" si="28"/>
        <v>438.90000000000003</v>
      </c>
      <c r="Q338" t="s">
        <v>30</v>
      </c>
      <c r="R338">
        <v>46161</v>
      </c>
      <c r="S338">
        <v>401768</v>
      </c>
      <c r="U338">
        <f t="shared" si="29"/>
        <v>0</v>
      </c>
    </row>
    <row r="339" spans="1:21" ht="15.75" x14ac:dyDescent="0.25">
      <c r="A339" t="s">
        <v>1022</v>
      </c>
      <c r="B339">
        <v>45947</v>
      </c>
      <c r="C339" t="s">
        <v>22</v>
      </c>
      <c r="D339" t="s">
        <v>23</v>
      </c>
      <c r="E339" t="s">
        <v>22</v>
      </c>
      <c r="F339" t="s">
        <v>23</v>
      </c>
      <c r="G339" t="s">
        <v>966</v>
      </c>
      <c r="H339" t="s">
        <v>967</v>
      </c>
      <c r="I339" t="s">
        <v>1023</v>
      </c>
      <c r="J339">
        <v>0</v>
      </c>
      <c r="K339" t="s">
        <v>1024</v>
      </c>
      <c r="L339" t="s">
        <v>36</v>
      </c>
      <c r="M339">
        <v>48475</v>
      </c>
      <c r="N339" t="s">
        <v>29</v>
      </c>
      <c r="O339">
        <f>M339</f>
        <v>48475</v>
      </c>
      <c r="P339">
        <f>O339</f>
        <v>48475</v>
      </c>
      <c r="Q339" t="s">
        <v>30</v>
      </c>
      <c r="R339">
        <v>45947</v>
      </c>
      <c r="S339">
        <v>401768</v>
      </c>
      <c r="U339">
        <f t="shared" si="29"/>
        <v>0</v>
      </c>
    </row>
    <row r="340" spans="1:21" ht="15.75" x14ac:dyDescent="0.25">
      <c r="A340" t="s">
        <v>1025</v>
      </c>
      <c r="B340">
        <v>46081</v>
      </c>
      <c r="C340" t="s">
        <v>22</v>
      </c>
      <c r="D340" t="s">
        <v>23</v>
      </c>
      <c r="E340" t="s">
        <v>22</v>
      </c>
      <c r="F340" t="s">
        <v>23</v>
      </c>
      <c r="G340" t="s">
        <v>966</v>
      </c>
      <c r="H340" t="s">
        <v>967</v>
      </c>
      <c r="I340" t="s">
        <v>1026</v>
      </c>
      <c r="J340">
        <v>0</v>
      </c>
      <c r="K340" t="s">
        <v>1027</v>
      </c>
      <c r="L340" t="s">
        <v>28</v>
      </c>
      <c r="M340">
        <v>4.22</v>
      </c>
      <c r="N340" t="s">
        <v>160</v>
      </c>
      <c r="O340">
        <v>95</v>
      </c>
      <c r="P340">
        <f>O340*M340</f>
        <v>400.9</v>
      </c>
      <c r="Q340" t="s">
        <v>30</v>
      </c>
      <c r="R340">
        <v>46161</v>
      </c>
      <c r="S340">
        <v>401768</v>
      </c>
      <c r="U340">
        <f t="shared" si="29"/>
        <v>0</v>
      </c>
    </row>
    <row r="341" spans="1:21" ht="15.75" x14ac:dyDescent="0.25">
      <c r="A341" t="s">
        <v>1028</v>
      </c>
      <c r="B341">
        <v>46127</v>
      </c>
      <c r="C341" t="s">
        <v>22</v>
      </c>
      <c r="D341" t="s">
        <v>23</v>
      </c>
      <c r="E341" t="s">
        <v>22</v>
      </c>
      <c r="F341" t="s">
        <v>23</v>
      </c>
      <c r="G341" t="s">
        <v>966</v>
      </c>
      <c r="H341" t="s">
        <v>967</v>
      </c>
      <c r="I341" t="s">
        <v>1029</v>
      </c>
      <c r="J341">
        <v>0</v>
      </c>
      <c r="K341" t="s">
        <v>1030</v>
      </c>
      <c r="L341" t="s">
        <v>28</v>
      </c>
      <c r="M341">
        <v>0.98</v>
      </c>
      <c r="N341" t="s">
        <v>160</v>
      </c>
      <c r="O341">
        <v>95</v>
      </c>
      <c r="P341">
        <f>O341*M341</f>
        <v>93.1</v>
      </c>
      <c r="Q341" t="s">
        <v>30</v>
      </c>
      <c r="R341">
        <v>46161</v>
      </c>
      <c r="S341">
        <v>401768</v>
      </c>
      <c r="U341">
        <f t="shared" si="29"/>
        <v>0</v>
      </c>
    </row>
    <row r="342" spans="1:21" ht="15.75" x14ac:dyDescent="0.25">
      <c r="A342" t="s">
        <v>1031</v>
      </c>
      <c r="B342">
        <v>43959</v>
      </c>
      <c r="C342" t="s">
        <v>22</v>
      </c>
      <c r="D342" t="s">
        <v>23</v>
      </c>
      <c r="E342" t="s">
        <v>22</v>
      </c>
      <c r="F342" t="s">
        <v>23</v>
      </c>
      <c r="G342" t="s">
        <v>1032</v>
      </c>
      <c r="H342" t="s">
        <v>1033</v>
      </c>
      <c r="I342" t="s">
        <v>1034</v>
      </c>
      <c r="J342">
        <v>0</v>
      </c>
      <c r="K342" t="s">
        <v>1035</v>
      </c>
      <c r="L342" t="s">
        <v>28</v>
      </c>
      <c r="M342">
        <v>43.34</v>
      </c>
      <c r="N342" t="s">
        <v>29</v>
      </c>
      <c r="O342">
        <f t="shared" ref="O342:O362" si="30">M342</f>
        <v>43.34</v>
      </c>
      <c r="P342">
        <f t="shared" ref="P342:P362" si="31">O342</f>
        <v>43.34</v>
      </c>
      <c r="Q342" t="s">
        <v>30</v>
      </c>
      <c r="R342">
        <v>46154</v>
      </c>
      <c r="S342">
        <v>401768</v>
      </c>
      <c r="T342">
        <v>1500</v>
      </c>
      <c r="U342">
        <f t="shared" si="29"/>
        <v>0.65010000000000012</v>
      </c>
    </row>
    <row r="343" spans="1:21" ht="15.75" x14ac:dyDescent="0.25">
      <c r="A343" t="s">
        <v>1036</v>
      </c>
      <c r="B343">
        <v>43959</v>
      </c>
      <c r="C343" t="s">
        <v>22</v>
      </c>
      <c r="D343" t="s">
        <v>23</v>
      </c>
      <c r="E343" t="s">
        <v>22</v>
      </c>
      <c r="F343" t="s">
        <v>23</v>
      </c>
      <c r="G343" t="s">
        <v>1032</v>
      </c>
      <c r="H343" t="s">
        <v>1033</v>
      </c>
      <c r="I343" t="s">
        <v>968</v>
      </c>
      <c r="J343">
        <v>0</v>
      </c>
      <c r="K343" t="s">
        <v>969</v>
      </c>
      <c r="L343" t="s">
        <v>28</v>
      </c>
      <c r="M343">
        <v>45.29</v>
      </c>
      <c r="N343" t="s">
        <v>29</v>
      </c>
      <c r="O343">
        <f t="shared" si="30"/>
        <v>45.29</v>
      </c>
      <c r="P343">
        <f t="shared" si="31"/>
        <v>45.29</v>
      </c>
      <c r="Q343" t="s">
        <v>30</v>
      </c>
      <c r="R343">
        <v>46154</v>
      </c>
      <c r="S343">
        <v>401768</v>
      </c>
      <c r="T343">
        <v>6000</v>
      </c>
      <c r="U343">
        <f t="shared" si="29"/>
        <v>2.7174</v>
      </c>
    </row>
    <row r="344" spans="1:21" ht="15.75" x14ac:dyDescent="0.25">
      <c r="A344" t="s">
        <v>1037</v>
      </c>
      <c r="B344">
        <v>43959</v>
      </c>
      <c r="C344" t="s">
        <v>22</v>
      </c>
      <c r="D344" t="s">
        <v>23</v>
      </c>
      <c r="E344" t="s">
        <v>22</v>
      </c>
      <c r="F344" t="s">
        <v>23</v>
      </c>
      <c r="G344" t="s">
        <v>1032</v>
      </c>
      <c r="H344" t="s">
        <v>1033</v>
      </c>
      <c r="I344" t="s">
        <v>971</v>
      </c>
      <c r="J344">
        <v>0</v>
      </c>
      <c r="K344" t="s">
        <v>972</v>
      </c>
      <c r="L344" t="s">
        <v>28</v>
      </c>
      <c r="M344">
        <v>24.29</v>
      </c>
      <c r="N344" t="s">
        <v>29</v>
      </c>
      <c r="O344">
        <f t="shared" si="30"/>
        <v>24.29</v>
      </c>
      <c r="P344">
        <f t="shared" si="31"/>
        <v>24.29</v>
      </c>
      <c r="Q344" t="s">
        <v>30</v>
      </c>
      <c r="R344">
        <v>46154</v>
      </c>
      <c r="S344">
        <v>401768</v>
      </c>
      <c r="U344">
        <f t="shared" si="29"/>
        <v>0</v>
      </c>
    </row>
    <row r="345" spans="1:21" ht="15.75" x14ac:dyDescent="0.25">
      <c r="A345" t="s">
        <v>1038</v>
      </c>
      <c r="B345">
        <v>43959</v>
      </c>
      <c r="C345" t="s">
        <v>22</v>
      </c>
      <c r="D345" t="s">
        <v>23</v>
      </c>
      <c r="E345" t="s">
        <v>22</v>
      </c>
      <c r="F345" t="s">
        <v>23</v>
      </c>
      <c r="G345" t="s">
        <v>1032</v>
      </c>
      <c r="H345" t="s">
        <v>1033</v>
      </c>
      <c r="I345" t="s">
        <v>1039</v>
      </c>
      <c r="J345">
        <v>0</v>
      </c>
      <c r="K345" t="s">
        <v>1040</v>
      </c>
      <c r="L345" t="s">
        <v>28</v>
      </c>
      <c r="M345">
        <v>27.5</v>
      </c>
      <c r="N345" t="s">
        <v>29</v>
      </c>
      <c r="O345">
        <f t="shared" si="30"/>
        <v>27.5</v>
      </c>
      <c r="P345">
        <f t="shared" si="31"/>
        <v>27.5</v>
      </c>
      <c r="Q345" t="s">
        <v>30</v>
      </c>
      <c r="R345">
        <v>46154</v>
      </c>
      <c r="S345">
        <v>401768</v>
      </c>
      <c r="U345">
        <f t="shared" si="29"/>
        <v>0</v>
      </c>
    </row>
    <row r="346" spans="1:21" ht="15.75" x14ac:dyDescent="0.25">
      <c r="A346" t="s">
        <v>1041</v>
      </c>
      <c r="B346">
        <v>43959</v>
      </c>
      <c r="C346" t="s">
        <v>22</v>
      </c>
      <c r="D346" t="s">
        <v>23</v>
      </c>
      <c r="E346" t="s">
        <v>22</v>
      </c>
      <c r="F346" t="s">
        <v>23</v>
      </c>
      <c r="G346" t="s">
        <v>1032</v>
      </c>
      <c r="H346" t="s">
        <v>1033</v>
      </c>
      <c r="I346" t="s">
        <v>974</v>
      </c>
      <c r="J346">
        <v>0</v>
      </c>
      <c r="K346" t="s">
        <v>975</v>
      </c>
      <c r="L346" t="s">
        <v>28</v>
      </c>
      <c r="M346">
        <v>64.599999999999994</v>
      </c>
      <c r="N346" t="s">
        <v>29</v>
      </c>
      <c r="O346">
        <f t="shared" si="30"/>
        <v>64.599999999999994</v>
      </c>
      <c r="P346">
        <f t="shared" si="31"/>
        <v>64.599999999999994</v>
      </c>
      <c r="Q346" t="s">
        <v>30</v>
      </c>
      <c r="R346">
        <v>46154</v>
      </c>
      <c r="S346">
        <v>401768</v>
      </c>
      <c r="U346">
        <f t="shared" si="29"/>
        <v>0</v>
      </c>
    </row>
    <row r="347" spans="1:21" ht="15.75" x14ac:dyDescent="0.25">
      <c r="A347" t="s">
        <v>1042</v>
      </c>
      <c r="B347">
        <v>43959</v>
      </c>
      <c r="C347" t="s">
        <v>22</v>
      </c>
      <c r="D347" t="s">
        <v>23</v>
      </c>
      <c r="E347" t="s">
        <v>22</v>
      </c>
      <c r="F347" t="s">
        <v>23</v>
      </c>
      <c r="G347" t="s">
        <v>1032</v>
      </c>
      <c r="H347" t="s">
        <v>1033</v>
      </c>
      <c r="I347" t="s">
        <v>1043</v>
      </c>
      <c r="J347">
        <v>0</v>
      </c>
      <c r="K347" t="s">
        <v>1044</v>
      </c>
      <c r="L347" t="s">
        <v>28</v>
      </c>
      <c r="M347">
        <v>216.54</v>
      </c>
      <c r="N347" t="s">
        <v>29</v>
      </c>
      <c r="O347">
        <f t="shared" si="30"/>
        <v>216.54</v>
      </c>
      <c r="P347">
        <f t="shared" si="31"/>
        <v>216.54</v>
      </c>
      <c r="Q347" t="s">
        <v>30</v>
      </c>
      <c r="R347">
        <v>46154</v>
      </c>
      <c r="S347">
        <v>401768</v>
      </c>
      <c r="U347">
        <f t="shared" si="29"/>
        <v>0</v>
      </c>
    </row>
    <row r="348" spans="1:21" ht="15.75" x14ac:dyDescent="0.25">
      <c r="A348" t="s">
        <v>1045</v>
      </c>
      <c r="B348">
        <v>43959</v>
      </c>
      <c r="C348" t="s">
        <v>22</v>
      </c>
      <c r="D348" t="s">
        <v>23</v>
      </c>
      <c r="E348" t="s">
        <v>22</v>
      </c>
      <c r="F348" t="s">
        <v>23</v>
      </c>
      <c r="G348" t="s">
        <v>1032</v>
      </c>
      <c r="H348" t="s">
        <v>1033</v>
      </c>
      <c r="I348" t="s">
        <v>1046</v>
      </c>
      <c r="J348">
        <v>0</v>
      </c>
      <c r="K348" t="s">
        <v>1047</v>
      </c>
      <c r="L348" t="s">
        <v>28</v>
      </c>
      <c r="M348">
        <v>472.55</v>
      </c>
      <c r="N348" t="s">
        <v>29</v>
      </c>
      <c r="O348">
        <f t="shared" si="30"/>
        <v>472.55</v>
      </c>
      <c r="P348">
        <f t="shared" si="31"/>
        <v>472.55</v>
      </c>
      <c r="Q348" t="s">
        <v>30</v>
      </c>
      <c r="R348">
        <v>46154</v>
      </c>
      <c r="S348">
        <v>401768</v>
      </c>
      <c r="T348">
        <v>630</v>
      </c>
      <c r="U348">
        <f t="shared" si="29"/>
        <v>2.9770650000000001</v>
      </c>
    </row>
    <row r="349" spans="1:21" ht="15.75" x14ac:dyDescent="0.25">
      <c r="A349" t="s">
        <v>1048</v>
      </c>
      <c r="B349">
        <v>43959</v>
      </c>
      <c r="C349" t="s">
        <v>22</v>
      </c>
      <c r="D349" t="s">
        <v>23</v>
      </c>
      <c r="E349" t="s">
        <v>22</v>
      </c>
      <c r="F349" t="s">
        <v>23</v>
      </c>
      <c r="G349" t="s">
        <v>1032</v>
      </c>
      <c r="H349" t="s">
        <v>1033</v>
      </c>
      <c r="I349" t="s">
        <v>1013</v>
      </c>
      <c r="J349">
        <v>0</v>
      </c>
      <c r="K349" t="s">
        <v>1014</v>
      </c>
      <c r="L349" t="s">
        <v>28</v>
      </c>
      <c r="M349">
        <v>282.25</v>
      </c>
      <c r="N349" t="s">
        <v>29</v>
      </c>
      <c r="O349">
        <f t="shared" si="30"/>
        <v>282.25</v>
      </c>
      <c r="P349">
        <f t="shared" si="31"/>
        <v>282.25</v>
      </c>
      <c r="Q349" t="s">
        <v>30</v>
      </c>
      <c r="R349">
        <v>46154</v>
      </c>
      <c r="S349">
        <v>401768</v>
      </c>
      <c r="U349">
        <f t="shared" si="29"/>
        <v>0</v>
      </c>
    </row>
    <row r="350" spans="1:21" ht="15.75" x14ac:dyDescent="0.25">
      <c r="A350" t="s">
        <v>1049</v>
      </c>
      <c r="B350">
        <v>43959</v>
      </c>
      <c r="C350" t="s">
        <v>22</v>
      </c>
      <c r="D350" t="s">
        <v>23</v>
      </c>
      <c r="E350" t="s">
        <v>22</v>
      </c>
      <c r="F350" t="s">
        <v>23</v>
      </c>
      <c r="G350" t="s">
        <v>1032</v>
      </c>
      <c r="H350" t="s">
        <v>1033</v>
      </c>
      <c r="I350" t="s">
        <v>1050</v>
      </c>
      <c r="J350">
        <v>0</v>
      </c>
      <c r="K350" t="s">
        <v>1051</v>
      </c>
      <c r="L350" t="s">
        <v>28</v>
      </c>
      <c r="M350">
        <v>269</v>
      </c>
      <c r="N350" t="s">
        <v>29</v>
      </c>
      <c r="O350">
        <f t="shared" si="30"/>
        <v>269</v>
      </c>
      <c r="P350">
        <f t="shared" si="31"/>
        <v>269</v>
      </c>
      <c r="Q350" t="s">
        <v>30</v>
      </c>
      <c r="R350">
        <v>46154</v>
      </c>
      <c r="S350">
        <v>401768</v>
      </c>
      <c r="T350">
        <v>48</v>
      </c>
      <c r="U350">
        <f t="shared" si="29"/>
        <v>0.12912000000000001</v>
      </c>
    </row>
    <row r="351" spans="1:21" ht="15.75" x14ac:dyDescent="0.25">
      <c r="A351" t="s">
        <v>1052</v>
      </c>
      <c r="B351">
        <v>43959</v>
      </c>
      <c r="C351" t="s">
        <v>22</v>
      </c>
      <c r="D351" t="s">
        <v>23</v>
      </c>
      <c r="E351" t="s">
        <v>22</v>
      </c>
      <c r="F351" t="s">
        <v>23</v>
      </c>
      <c r="G351" t="s">
        <v>1032</v>
      </c>
      <c r="H351" t="s">
        <v>1033</v>
      </c>
      <c r="I351" t="s">
        <v>992</v>
      </c>
      <c r="J351">
        <v>0</v>
      </c>
      <c r="K351" t="s">
        <v>993</v>
      </c>
      <c r="L351" t="s">
        <v>28</v>
      </c>
      <c r="M351">
        <v>171.97</v>
      </c>
      <c r="N351" t="s">
        <v>29</v>
      </c>
      <c r="O351">
        <f t="shared" si="30"/>
        <v>171.97</v>
      </c>
      <c r="P351">
        <f t="shared" si="31"/>
        <v>171.97</v>
      </c>
      <c r="Q351" t="s">
        <v>30</v>
      </c>
      <c r="R351">
        <v>46154</v>
      </c>
      <c r="S351">
        <v>401768</v>
      </c>
      <c r="U351">
        <f t="shared" si="29"/>
        <v>0</v>
      </c>
    </row>
    <row r="352" spans="1:21" ht="15.75" x14ac:dyDescent="0.25">
      <c r="A352" t="s">
        <v>1053</v>
      </c>
      <c r="B352">
        <v>43959</v>
      </c>
      <c r="C352" t="s">
        <v>22</v>
      </c>
      <c r="D352" t="s">
        <v>23</v>
      </c>
      <c r="E352" t="s">
        <v>22</v>
      </c>
      <c r="F352" t="s">
        <v>23</v>
      </c>
      <c r="G352" t="s">
        <v>1032</v>
      </c>
      <c r="H352" t="s">
        <v>1033</v>
      </c>
      <c r="I352" t="s">
        <v>1054</v>
      </c>
      <c r="J352">
        <v>0</v>
      </c>
      <c r="K352" t="s">
        <v>1055</v>
      </c>
      <c r="L352" t="s">
        <v>28</v>
      </c>
      <c r="M352">
        <v>42.6</v>
      </c>
      <c r="N352" t="s">
        <v>29</v>
      </c>
      <c r="O352">
        <f t="shared" si="30"/>
        <v>42.6</v>
      </c>
      <c r="P352">
        <f t="shared" si="31"/>
        <v>42.6</v>
      </c>
      <c r="Q352" t="s">
        <v>30</v>
      </c>
      <c r="R352">
        <v>41395</v>
      </c>
      <c r="S352">
        <v>401768</v>
      </c>
      <c r="U352">
        <f t="shared" si="29"/>
        <v>0</v>
      </c>
    </row>
    <row r="353" spans="1:21" ht="15.75" x14ac:dyDescent="0.25">
      <c r="A353" t="s">
        <v>1056</v>
      </c>
      <c r="B353">
        <v>43959</v>
      </c>
      <c r="C353" t="s">
        <v>22</v>
      </c>
      <c r="D353" t="s">
        <v>23</v>
      </c>
      <c r="E353" t="s">
        <v>22</v>
      </c>
      <c r="F353" t="s">
        <v>23</v>
      </c>
      <c r="G353" t="s">
        <v>1032</v>
      </c>
      <c r="H353" t="s">
        <v>1033</v>
      </c>
      <c r="I353" t="s">
        <v>1057</v>
      </c>
      <c r="J353">
        <v>0</v>
      </c>
      <c r="K353" t="s">
        <v>1058</v>
      </c>
      <c r="L353" t="s">
        <v>28</v>
      </c>
      <c r="M353">
        <v>44.48</v>
      </c>
      <c r="N353" t="s">
        <v>29</v>
      </c>
      <c r="O353">
        <f t="shared" si="30"/>
        <v>44.48</v>
      </c>
      <c r="P353">
        <f t="shared" si="31"/>
        <v>44.48</v>
      </c>
      <c r="Q353" t="s">
        <v>30</v>
      </c>
      <c r="R353">
        <v>46154</v>
      </c>
      <c r="S353">
        <v>401768</v>
      </c>
      <c r="T353">
        <v>300</v>
      </c>
      <c r="U353">
        <f t="shared" si="29"/>
        <v>0.13343999999999998</v>
      </c>
    </row>
    <row r="354" spans="1:21" ht="15.75" x14ac:dyDescent="0.25">
      <c r="A354" t="s">
        <v>1059</v>
      </c>
      <c r="B354">
        <v>43959</v>
      </c>
      <c r="C354" t="s">
        <v>22</v>
      </c>
      <c r="D354" t="s">
        <v>23</v>
      </c>
      <c r="E354" t="s">
        <v>22</v>
      </c>
      <c r="F354" t="s">
        <v>23</v>
      </c>
      <c r="G354" t="s">
        <v>1032</v>
      </c>
      <c r="H354" t="s">
        <v>1033</v>
      </c>
      <c r="I354" t="s">
        <v>1060</v>
      </c>
      <c r="J354">
        <v>0</v>
      </c>
      <c r="K354" t="s">
        <v>1061</v>
      </c>
      <c r="L354" t="s">
        <v>28</v>
      </c>
      <c r="M354">
        <v>33.61</v>
      </c>
      <c r="N354" t="s">
        <v>29</v>
      </c>
      <c r="O354">
        <f t="shared" si="30"/>
        <v>33.61</v>
      </c>
      <c r="P354">
        <f t="shared" si="31"/>
        <v>33.61</v>
      </c>
      <c r="Q354" t="s">
        <v>30</v>
      </c>
      <c r="R354">
        <v>46154</v>
      </c>
      <c r="S354">
        <v>401768</v>
      </c>
      <c r="T354">
        <v>1000</v>
      </c>
      <c r="U354">
        <f t="shared" si="29"/>
        <v>0.33610000000000001</v>
      </c>
    </row>
    <row r="355" spans="1:21" ht="15.75" x14ac:dyDescent="0.25">
      <c r="A355" t="s">
        <v>1062</v>
      </c>
      <c r="B355">
        <v>44377</v>
      </c>
      <c r="C355" t="s">
        <v>22</v>
      </c>
      <c r="D355" t="s">
        <v>23</v>
      </c>
      <c r="E355" t="s">
        <v>22</v>
      </c>
      <c r="F355" t="s">
        <v>23</v>
      </c>
      <c r="G355" t="s">
        <v>1032</v>
      </c>
      <c r="H355" t="s">
        <v>1033</v>
      </c>
      <c r="I355" t="s">
        <v>1063</v>
      </c>
      <c r="J355">
        <v>0</v>
      </c>
      <c r="K355" t="s">
        <v>1064</v>
      </c>
      <c r="L355" t="s">
        <v>28</v>
      </c>
      <c r="M355">
        <v>227.93</v>
      </c>
      <c r="N355" t="s">
        <v>29</v>
      </c>
      <c r="O355">
        <f t="shared" si="30"/>
        <v>227.93</v>
      </c>
      <c r="P355">
        <f t="shared" si="31"/>
        <v>227.93</v>
      </c>
      <c r="Q355" t="s">
        <v>30</v>
      </c>
      <c r="R355">
        <v>46154</v>
      </c>
      <c r="S355">
        <v>401768</v>
      </c>
      <c r="U355">
        <f t="shared" si="29"/>
        <v>0</v>
      </c>
    </row>
    <row r="356" spans="1:21" ht="15.75" x14ac:dyDescent="0.25">
      <c r="A356" t="s">
        <v>1065</v>
      </c>
      <c r="B356">
        <v>45764</v>
      </c>
      <c r="C356" t="s">
        <v>22</v>
      </c>
      <c r="D356" t="s">
        <v>23</v>
      </c>
      <c r="E356" t="s">
        <v>22</v>
      </c>
      <c r="F356" t="s">
        <v>23</v>
      </c>
      <c r="G356" t="s">
        <v>1032</v>
      </c>
      <c r="H356" t="s">
        <v>1033</v>
      </c>
      <c r="I356" t="s">
        <v>1017</v>
      </c>
      <c r="J356">
        <v>0</v>
      </c>
      <c r="K356" t="s">
        <v>1018</v>
      </c>
      <c r="L356" t="s">
        <v>28</v>
      </c>
      <c r="M356">
        <v>68.849999999999994</v>
      </c>
      <c r="N356" t="s">
        <v>29</v>
      </c>
      <c r="O356">
        <f t="shared" si="30"/>
        <v>68.849999999999994</v>
      </c>
      <c r="P356">
        <f t="shared" si="31"/>
        <v>68.849999999999994</v>
      </c>
      <c r="Q356" t="s">
        <v>30</v>
      </c>
      <c r="R356">
        <v>46154</v>
      </c>
      <c r="S356">
        <v>401768</v>
      </c>
      <c r="U356">
        <f t="shared" si="29"/>
        <v>0</v>
      </c>
    </row>
    <row r="357" spans="1:21" ht="15.75" x14ac:dyDescent="0.25">
      <c r="A357" t="s">
        <v>1066</v>
      </c>
      <c r="B357">
        <v>45801</v>
      </c>
      <c r="C357" t="s">
        <v>22</v>
      </c>
      <c r="D357" t="s">
        <v>23</v>
      </c>
      <c r="E357" t="s">
        <v>30</v>
      </c>
      <c r="F357" t="s">
        <v>30</v>
      </c>
      <c r="G357" t="s">
        <v>1032</v>
      </c>
      <c r="H357" t="s">
        <v>1033</v>
      </c>
      <c r="I357" t="s">
        <v>1067</v>
      </c>
      <c r="J357">
        <v>0</v>
      </c>
      <c r="K357" t="s">
        <v>1068</v>
      </c>
      <c r="L357" t="s">
        <v>28</v>
      </c>
      <c r="M357">
        <v>10</v>
      </c>
      <c r="N357" t="s">
        <v>29</v>
      </c>
      <c r="O357">
        <f t="shared" si="30"/>
        <v>10</v>
      </c>
      <c r="P357">
        <f t="shared" si="31"/>
        <v>10</v>
      </c>
      <c r="Q357" t="s">
        <v>30</v>
      </c>
      <c r="R357">
        <v>45801</v>
      </c>
      <c r="S357">
        <v>401768</v>
      </c>
      <c r="U357">
        <f t="shared" si="29"/>
        <v>0</v>
      </c>
    </row>
    <row r="358" spans="1:21" ht="15.75" x14ac:dyDescent="0.25">
      <c r="A358" t="s">
        <v>1069</v>
      </c>
      <c r="B358">
        <v>45801</v>
      </c>
      <c r="C358" t="s">
        <v>22</v>
      </c>
      <c r="D358" t="s">
        <v>23</v>
      </c>
      <c r="E358" t="s">
        <v>30</v>
      </c>
      <c r="F358" t="s">
        <v>30</v>
      </c>
      <c r="G358" t="s">
        <v>1032</v>
      </c>
      <c r="H358" t="s">
        <v>1033</v>
      </c>
      <c r="I358" t="s">
        <v>1070</v>
      </c>
      <c r="J358">
        <v>0</v>
      </c>
      <c r="K358" t="s">
        <v>1071</v>
      </c>
      <c r="L358" t="s">
        <v>28</v>
      </c>
      <c r="M358">
        <v>10</v>
      </c>
      <c r="N358" t="s">
        <v>29</v>
      </c>
      <c r="O358">
        <f t="shared" si="30"/>
        <v>10</v>
      </c>
      <c r="P358">
        <f t="shared" si="31"/>
        <v>10</v>
      </c>
      <c r="Q358" t="s">
        <v>30</v>
      </c>
      <c r="R358">
        <v>45801</v>
      </c>
      <c r="S358">
        <v>401768</v>
      </c>
      <c r="U358">
        <f t="shared" si="29"/>
        <v>0</v>
      </c>
    </row>
    <row r="359" spans="1:21" ht="15.75" x14ac:dyDescent="0.25">
      <c r="A359" t="s">
        <v>1072</v>
      </c>
      <c r="B359">
        <v>45801</v>
      </c>
      <c r="C359" t="s">
        <v>22</v>
      </c>
      <c r="D359" t="s">
        <v>23</v>
      </c>
      <c r="E359" t="s">
        <v>30</v>
      </c>
      <c r="F359" t="s">
        <v>30</v>
      </c>
      <c r="G359" t="s">
        <v>1032</v>
      </c>
      <c r="H359" t="s">
        <v>1033</v>
      </c>
      <c r="I359" t="s">
        <v>1073</v>
      </c>
      <c r="J359">
        <v>0</v>
      </c>
      <c r="K359" t="s">
        <v>1074</v>
      </c>
      <c r="L359" t="s">
        <v>28</v>
      </c>
      <c r="M359">
        <v>10</v>
      </c>
      <c r="N359" t="s">
        <v>29</v>
      </c>
      <c r="O359">
        <f t="shared" si="30"/>
        <v>10</v>
      </c>
      <c r="P359">
        <f t="shared" si="31"/>
        <v>10</v>
      </c>
      <c r="Q359" t="s">
        <v>30</v>
      </c>
      <c r="R359">
        <v>45801</v>
      </c>
      <c r="S359">
        <v>401768</v>
      </c>
      <c r="U359">
        <f t="shared" si="29"/>
        <v>0</v>
      </c>
    </row>
    <row r="360" spans="1:21" ht="15.75" x14ac:dyDescent="0.25">
      <c r="A360" t="s">
        <v>1075</v>
      </c>
      <c r="B360">
        <v>45821</v>
      </c>
      <c r="C360" t="s">
        <v>22</v>
      </c>
      <c r="D360" t="s">
        <v>23</v>
      </c>
      <c r="E360" t="s">
        <v>22</v>
      </c>
      <c r="F360" t="s">
        <v>23</v>
      </c>
      <c r="G360" t="s">
        <v>1032</v>
      </c>
      <c r="H360" t="s">
        <v>1033</v>
      </c>
      <c r="I360" t="s">
        <v>1020</v>
      </c>
      <c r="J360">
        <v>0</v>
      </c>
      <c r="K360" t="s">
        <v>1021</v>
      </c>
      <c r="L360" t="s">
        <v>28</v>
      </c>
      <c r="M360">
        <v>128.85</v>
      </c>
      <c r="N360" t="s">
        <v>29</v>
      </c>
      <c r="O360">
        <f t="shared" si="30"/>
        <v>128.85</v>
      </c>
      <c r="P360">
        <f t="shared" si="31"/>
        <v>128.85</v>
      </c>
      <c r="Q360" t="s">
        <v>30</v>
      </c>
      <c r="R360">
        <v>46154</v>
      </c>
      <c r="S360">
        <v>401768</v>
      </c>
      <c r="U360">
        <f t="shared" si="29"/>
        <v>0</v>
      </c>
    </row>
    <row r="361" spans="1:21" ht="15.75" x14ac:dyDescent="0.25">
      <c r="A361" t="s">
        <v>1076</v>
      </c>
      <c r="B361">
        <v>46002</v>
      </c>
      <c r="C361" t="s">
        <v>22</v>
      </c>
      <c r="D361" t="s">
        <v>23</v>
      </c>
      <c r="E361" t="s">
        <v>22</v>
      </c>
      <c r="F361" t="s">
        <v>23</v>
      </c>
      <c r="G361" t="s">
        <v>1032</v>
      </c>
      <c r="H361" t="s">
        <v>1033</v>
      </c>
      <c r="I361" t="s">
        <v>1029</v>
      </c>
      <c r="J361">
        <v>0</v>
      </c>
      <c r="K361" t="s">
        <v>1030</v>
      </c>
      <c r="L361" t="s">
        <v>28</v>
      </c>
      <c r="M361">
        <v>122</v>
      </c>
      <c r="N361" t="s">
        <v>29</v>
      </c>
      <c r="O361">
        <f t="shared" si="30"/>
        <v>122</v>
      </c>
      <c r="P361">
        <f t="shared" si="31"/>
        <v>122</v>
      </c>
      <c r="Q361" t="s">
        <v>30</v>
      </c>
      <c r="R361">
        <v>46002</v>
      </c>
      <c r="S361">
        <v>401768</v>
      </c>
      <c r="U361">
        <f t="shared" si="29"/>
        <v>0</v>
      </c>
    </row>
    <row r="362" spans="1:21" ht="15.75" x14ac:dyDescent="0.25">
      <c r="A362" t="s">
        <v>1077</v>
      </c>
      <c r="B362">
        <v>46016</v>
      </c>
      <c r="C362" t="s">
        <v>22</v>
      </c>
      <c r="D362" t="s">
        <v>23</v>
      </c>
      <c r="E362" t="s">
        <v>30</v>
      </c>
      <c r="F362" t="s">
        <v>30</v>
      </c>
      <c r="G362" t="s">
        <v>1032</v>
      </c>
      <c r="H362" t="s">
        <v>1033</v>
      </c>
      <c r="I362" t="s">
        <v>1078</v>
      </c>
      <c r="J362">
        <v>0</v>
      </c>
      <c r="K362" t="s">
        <v>1079</v>
      </c>
      <c r="L362" t="s">
        <v>28</v>
      </c>
      <c r="M362">
        <v>709.16</v>
      </c>
      <c r="N362" t="s">
        <v>29</v>
      </c>
      <c r="O362">
        <f t="shared" si="30"/>
        <v>709.16</v>
      </c>
      <c r="P362">
        <f t="shared" si="31"/>
        <v>709.16</v>
      </c>
      <c r="Q362" t="s">
        <v>30</v>
      </c>
      <c r="R362">
        <v>46016</v>
      </c>
      <c r="S362">
        <v>401768</v>
      </c>
      <c r="U362">
        <f t="shared" si="29"/>
        <v>0</v>
      </c>
    </row>
    <row r="363" spans="1:21" ht="15.75" x14ac:dyDescent="0.25">
      <c r="A363" t="s">
        <v>1080</v>
      </c>
      <c r="B363">
        <v>43959</v>
      </c>
      <c r="C363" t="s">
        <v>22</v>
      </c>
      <c r="D363" t="s">
        <v>23</v>
      </c>
      <c r="E363" t="s">
        <v>22</v>
      </c>
      <c r="F363" t="s">
        <v>23</v>
      </c>
      <c r="G363" t="s">
        <v>1081</v>
      </c>
      <c r="H363" t="s">
        <v>1082</v>
      </c>
      <c r="I363" t="s">
        <v>1083</v>
      </c>
      <c r="J363">
        <v>0</v>
      </c>
      <c r="K363" t="s">
        <v>1084</v>
      </c>
      <c r="L363" t="s">
        <v>28</v>
      </c>
      <c r="M363">
        <v>3.78</v>
      </c>
      <c r="N363" t="s">
        <v>160</v>
      </c>
      <c r="O363">
        <v>95</v>
      </c>
      <c r="P363">
        <f t="shared" ref="P363:P394" si="32">O363*M363</f>
        <v>359.09999999999997</v>
      </c>
      <c r="Q363" t="s">
        <v>30</v>
      </c>
      <c r="R363">
        <v>46155</v>
      </c>
      <c r="S363">
        <v>401768</v>
      </c>
      <c r="U363">
        <f t="shared" si="29"/>
        <v>0</v>
      </c>
    </row>
    <row r="364" spans="1:21" ht="15.75" x14ac:dyDescent="0.25">
      <c r="A364" t="s">
        <v>1085</v>
      </c>
      <c r="B364">
        <v>43959</v>
      </c>
      <c r="C364" t="s">
        <v>22</v>
      </c>
      <c r="D364" t="s">
        <v>23</v>
      </c>
      <c r="E364" t="s">
        <v>22</v>
      </c>
      <c r="F364" t="s">
        <v>23</v>
      </c>
      <c r="G364" t="s">
        <v>1081</v>
      </c>
      <c r="H364" t="s">
        <v>1082</v>
      </c>
      <c r="I364" t="s">
        <v>1086</v>
      </c>
      <c r="J364">
        <v>0</v>
      </c>
      <c r="K364" t="s">
        <v>1087</v>
      </c>
      <c r="L364" t="s">
        <v>28</v>
      </c>
      <c r="M364">
        <v>4</v>
      </c>
      <c r="N364" t="s">
        <v>160</v>
      </c>
      <c r="O364">
        <v>95</v>
      </c>
      <c r="P364">
        <f t="shared" si="32"/>
        <v>380</v>
      </c>
      <c r="Q364" t="s">
        <v>30</v>
      </c>
      <c r="R364">
        <v>46155</v>
      </c>
      <c r="S364">
        <v>401768</v>
      </c>
      <c r="T364">
        <v>960</v>
      </c>
      <c r="U364">
        <f t="shared" si="29"/>
        <v>3.6480000000000001</v>
      </c>
    </row>
    <row r="365" spans="1:21" ht="15.75" x14ac:dyDescent="0.25">
      <c r="A365" t="s">
        <v>1088</v>
      </c>
      <c r="B365">
        <v>43959</v>
      </c>
      <c r="C365" t="s">
        <v>22</v>
      </c>
      <c r="D365" t="s">
        <v>23</v>
      </c>
      <c r="E365" t="s">
        <v>22</v>
      </c>
      <c r="F365" t="s">
        <v>23</v>
      </c>
      <c r="G365" t="s">
        <v>1081</v>
      </c>
      <c r="H365" t="s">
        <v>1082</v>
      </c>
      <c r="I365" t="s">
        <v>1089</v>
      </c>
      <c r="J365">
        <v>0</v>
      </c>
      <c r="K365" t="s">
        <v>1090</v>
      </c>
      <c r="L365" t="s">
        <v>28</v>
      </c>
      <c r="M365">
        <v>10</v>
      </c>
      <c r="N365" t="s">
        <v>160</v>
      </c>
      <c r="O365">
        <v>95</v>
      </c>
      <c r="P365">
        <f t="shared" si="32"/>
        <v>950</v>
      </c>
      <c r="Q365" t="s">
        <v>30</v>
      </c>
      <c r="R365">
        <v>43077</v>
      </c>
      <c r="S365">
        <v>401768</v>
      </c>
      <c r="U365">
        <f t="shared" si="29"/>
        <v>0</v>
      </c>
    </row>
    <row r="366" spans="1:21" ht="15.75" x14ac:dyDescent="0.25">
      <c r="A366" t="s">
        <v>1091</v>
      </c>
      <c r="B366">
        <v>43959</v>
      </c>
      <c r="C366" t="s">
        <v>22</v>
      </c>
      <c r="D366" t="s">
        <v>23</v>
      </c>
      <c r="E366" t="s">
        <v>22</v>
      </c>
      <c r="F366" t="s">
        <v>23</v>
      </c>
      <c r="G366" t="s">
        <v>1081</v>
      </c>
      <c r="H366" t="s">
        <v>1082</v>
      </c>
      <c r="I366" t="s">
        <v>1034</v>
      </c>
      <c r="J366">
        <v>0</v>
      </c>
      <c r="K366" t="s">
        <v>1035</v>
      </c>
      <c r="L366" t="s">
        <v>28</v>
      </c>
      <c r="M366">
        <v>0.57999999999999996</v>
      </c>
      <c r="N366" t="s">
        <v>160</v>
      </c>
      <c r="O366">
        <v>95</v>
      </c>
      <c r="P366">
        <f t="shared" si="32"/>
        <v>55.099999999999994</v>
      </c>
      <c r="Q366" t="s">
        <v>30</v>
      </c>
      <c r="R366">
        <v>46155</v>
      </c>
      <c r="S366">
        <v>401768</v>
      </c>
      <c r="U366">
        <f t="shared" si="29"/>
        <v>0</v>
      </c>
    </row>
    <row r="367" spans="1:21" ht="15.75" x14ac:dyDescent="0.25">
      <c r="A367" t="s">
        <v>1092</v>
      </c>
      <c r="B367">
        <v>43959</v>
      </c>
      <c r="C367" t="s">
        <v>22</v>
      </c>
      <c r="D367" t="s">
        <v>23</v>
      </c>
      <c r="E367" t="s">
        <v>22</v>
      </c>
      <c r="F367" t="s">
        <v>23</v>
      </c>
      <c r="G367" t="s">
        <v>1081</v>
      </c>
      <c r="H367" t="s">
        <v>1082</v>
      </c>
      <c r="I367" t="s">
        <v>1093</v>
      </c>
      <c r="J367">
        <v>0</v>
      </c>
      <c r="K367" t="s">
        <v>1094</v>
      </c>
      <c r="L367" t="s">
        <v>28</v>
      </c>
      <c r="M367">
        <v>2.11</v>
      </c>
      <c r="N367" t="s">
        <v>160</v>
      </c>
      <c r="O367">
        <v>95</v>
      </c>
      <c r="P367">
        <f t="shared" si="32"/>
        <v>200.45</v>
      </c>
      <c r="Q367" t="s">
        <v>30</v>
      </c>
      <c r="R367">
        <v>46155</v>
      </c>
      <c r="S367">
        <v>401768</v>
      </c>
      <c r="U367">
        <f t="shared" si="29"/>
        <v>0</v>
      </c>
    </row>
    <row r="368" spans="1:21" ht="15.75" x14ac:dyDescent="0.25">
      <c r="A368" t="s">
        <v>1095</v>
      </c>
      <c r="B368">
        <v>43959</v>
      </c>
      <c r="C368" t="s">
        <v>22</v>
      </c>
      <c r="D368" t="s">
        <v>23</v>
      </c>
      <c r="E368" t="s">
        <v>22</v>
      </c>
      <c r="F368" t="s">
        <v>23</v>
      </c>
      <c r="G368" t="s">
        <v>1081</v>
      </c>
      <c r="H368" t="s">
        <v>1082</v>
      </c>
      <c r="I368" t="s">
        <v>1096</v>
      </c>
      <c r="J368">
        <v>0</v>
      </c>
      <c r="K368" t="s">
        <v>1097</v>
      </c>
      <c r="L368" t="s">
        <v>28</v>
      </c>
      <c r="M368">
        <v>2.11</v>
      </c>
      <c r="N368" t="s">
        <v>160</v>
      </c>
      <c r="O368">
        <v>95</v>
      </c>
      <c r="P368">
        <f t="shared" si="32"/>
        <v>200.45</v>
      </c>
      <c r="Q368" t="s">
        <v>30</v>
      </c>
      <c r="R368">
        <v>46155</v>
      </c>
      <c r="S368">
        <v>401768</v>
      </c>
      <c r="U368">
        <f t="shared" si="29"/>
        <v>0</v>
      </c>
    </row>
    <row r="369" spans="1:21" ht="15.75" x14ac:dyDescent="0.25">
      <c r="A369" t="s">
        <v>1098</v>
      </c>
      <c r="B369">
        <v>43959</v>
      </c>
      <c r="C369" t="s">
        <v>22</v>
      </c>
      <c r="D369" t="s">
        <v>23</v>
      </c>
      <c r="E369" t="s">
        <v>22</v>
      </c>
      <c r="F369" t="s">
        <v>23</v>
      </c>
      <c r="G369" t="s">
        <v>1081</v>
      </c>
      <c r="H369" t="s">
        <v>1082</v>
      </c>
      <c r="I369" t="s">
        <v>1099</v>
      </c>
      <c r="J369">
        <v>0</v>
      </c>
      <c r="K369" t="s">
        <v>1100</v>
      </c>
      <c r="L369" t="s">
        <v>28</v>
      </c>
      <c r="M369">
        <v>2.11</v>
      </c>
      <c r="N369" t="s">
        <v>160</v>
      </c>
      <c r="O369">
        <v>95</v>
      </c>
      <c r="P369">
        <f t="shared" si="32"/>
        <v>200.45</v>
      </c>
      <c r="Q369" t="s">
        <v>30</v>
      </c>
      <c r="R369">
        <v>46155</v>
      </c>
      <c r="S369">
        <v>401768</v>
      </c>
      <c r="U369">
        <f t="shared" si="29"/>
        <v>0</v>
      </c>
    </row>
    <row r="370" spans="1:21" ht="15.75" x14ac:dyDescent="0.25">
      <c r="A370" t="s">
        <v>1101</v>
      </c>
      <c r="B370">
        <v>43959</v>
      </c>
      <c r="C370" t="s">
        <v>22</v>
      </c>
      <c r="D370" t="s">
        <v>23</v>
      </c>
      <c r="E370" t="s">
        <v>22</v>
      </c>
      <c r="F370" t="s">
        <v>23</v>
      </c>
      <c r="G370" t="s">
        <v>1081</v>
      </c>
      <c r="H370" t="s">
        <v>1082</v>
      </c>
      <c r="I370" t="s">
        <v>1102</v>
      </c>
      <c r="J370">
        <v>0</v>
      </c>
      <c r="K370" t="s">
        <v>1103</v>
      </c>
      <c r="L370" t="s">
        <v>28</v>
      </c>
      <c r="M370">
        <v>3.6</v>
      </c>
      <c r="N370" t="s">
        <v>160</v>
      </c>
      <c r="O370">
        <v>95</v>
      </c>
      <c r="P370">
        <f t="shared" si="32"/>
        <v>342</v>
      </c>
      <c r="Q370" t="s">
        <v>30</v>
      </c>
      <c r="R370">
        <v>41883</v>
      </c>
      <c r="S370">
        <v>401768</v>
      </c>
      <c r="U370">
        <f t="shared" si="29"/>
        <v>0</v>
      </c>
    </row>
    <row r="371" spans="1:21" ht="15.75" x14ac:dyDescent="0.25">
      <c r="A371" t="s">
        <v>1104</v>
      </c>
      <c r="B371">
        <v>43959</v>
      </c>
      <c r="C371" t="s">
        <v>22</v>
      </c>
      <c r="D371" t="s">
        <v>23</v>
      </c>
      <c r="E371" t="s">
        <v>22</v>
      </c>
      <c r="F371" t="s">
        <v>23</v>
      </c>
      <c r="G371" t="s">
        <v>1081</v>
      </c>
      <c r="H371" t="s">
        <v>1082</v>
      </c>
      <c r="I371" t="s">
        <v>968</v>
      </c>
      <c r="J371">
        <v>0</v>
      </c>
      <c r="K371" t="s">
        <v>969</v>
      </c>
      <c r="L371" t="s">
        <v>28</v>
      </c>
      <c r="M371">
        <v>0.73</v>
      </c>
      <c r="N371" t="s">
        <v>160</v>
      </c>
      <c r="O371">
        <v>95</v>
      </c>
      <c r="P371">
        <f t="shared" si="32"/>
        <v>69.349999999999994</v>
      </c>
      <c r="Q371" t="s">
        <v>30</v>
      </c>
      <c r="R371">
        <v>46155</v>
      </c>
      <c r="S371">
        <v>401768</v>
      </c>
      <c r="U371">
        <f t="shared" si="29"/>
        <v>0</v>
      </c>
    </row>
    <row r="372" spans="1:21" ht="15.75" x14ac:dyDescent="0.25">
      <c r="A372" t="s">
        <v>1105</v>
      </c>
      <c r="B372">
        <v>43959</v>
      </c>
      <c r="C372" t="s">
        <v>22</v>
      </c>
      <c r="D372" t="s">
        <v>23</v>
      </c>
      <c r="E372" t="s">
        <v>22</v>
      </c>
      <c r="F372" t="s">
        <v>23</v>
      </c>
      <c r="G372" t="s">
        <v>1081</v>
      </c>
      <c r="H372" t="s">
        <v>1082</v>
      </c>
      <c r="I372" t="s">
        <v>971</v>
      </c>
      <c r="J372">
        <v>0</v>
      </c>
      <c r="K372" t="s">
        <v>972</v>
      </c>
      <c r="L372" t="s">
        <v>28</v>
      </c>
      <c r="M372">
        <v>0.39</v>
      </c>
      <c r="N372" t="s">
        <v>160</v>
      </c>
      <c r="O372">
        <v>95</v>
      </c>
      <c r="P372">
        <f t="shared" si="32"/>
        <v>37.050000000000004</v>
      </c>
      <c r="Q372" t="s">
        <v>30</v>
      </c>
      <c r="R372">
        <v>46155</v>
      </c>
      <c r="S372">
        <v>401768</v>
      </c>
      <c r="T372">
        <v>4000</v>
      </c>
      <c r="U372">
        <f t="shared" si="29"/>
        <v>1.4820000000000002</v>
      </c>
    </row>
    <row r="373" spans="1:21" ht="15.75" x14ac:dyDescent="0.25">
      <c r="A373" t="s">
        <v>1106</v>
      </c>
      <c r="B373">
        <v>43959</v>
      </c>
      <c r="C373" t="s">
        <v>22</v>
      </c>
      <c r="D373" t="s">
        <v>23</v>
      </c>
      <c r="E373" t="s">
        <v>22</v>
      </c>
      <c r="F373" t="s">
        <v>23</v>
      </c>
      <c r="G373" t="s">
        <v>1081</v>
      </c>
      <c r="H373" t="s">
        <v>1082</v>
      </c>
      <c r="I373" t="s">
        <v>1039</v>
      </c>
      <c r="J373">
        <v>0</v>
      </c>
      <c r="K373" t="s">
        <v>1040</v>
      </c>
      <c r="L373" t="s">
        <v>28</v>
      </c>
      <c r="M373">
        <v>0.45</v>
      </c>
      <c r="N373" t="s">
        <v>160</v>
      </c>
      <c r="O373">
        <v>95</v>
      </c>
      <c r="P373">
        <f t="shared" si="32"/>
        <v>42.75</v>
      </c>
      <c r="Q373" t="s">
        <v>30</v>
      </c>
      <c r="R373">
        <v>46155</v>
      </c>
      <c r="S373">
        <v>401768</v>
      </c>
      <c r="U373">
        <f t="shared" si="29"/>
        <v>0</v>
      </c>
    </row>
    <row r="374" spans="1:21" ht="15.75" x14ac:dyDescent="0.25">
      <c r="A374" t="s">
        <v>1107</v>
      </c>
      <c r="B374">
        <v>43959</v>
      </c>
      <c r="C374" t="s">
        <v>22</v>
      </c>
      <c r="D374" t="s">
        <v>23</v>
      </c>
      <c r="E374" t="s">
        <v>22</v>
      </c>
      <c r="F374" t="s">
        <v>23</v>
      </c>
      <c r="G374" t="s">
        <v>1081</v>
      </c>
      <c r="H374" t="s">
        <v>1082</v>
      </c>
      <c r="I374" t="s">
        <v>974</v>
      </c>
      <c r="J374">
        <v>0</v>
      </c>
      <c r="K374" t="s">
        <v>975</v>
      </c>
      <c r="L374" t="s">
        <v>28</v>
      </c>
      <c r="M374">
        <v>1.08</v>
      </c>
      <c r="N374" t="s">
        <v>160</v>
      </c>
      <c r="O374">
        <v>95</v>
      </c>
      <c r="P374">
        <f t="shared" si="32"/>
        <v>102.60000000000001</v>
      </c>
      <c r="Q374" t="s">
        <v>30</v>
      </c>
      <c r="R374">
        <v>46155</v>
      </c>
      <c r="S374">
        <v>401768</v>
      </c>
      <c r="U374">
        <f t="shared" si="29"/>
        <v>0</v>
      </c>
    </row>
    <row r="375" spans="1:21" ht="15.75" x14ac:dyDescent="0.25">
      <c r="A375" t="s">
        <v>1108</v>
      </c>
      <c r="B375">
        <v>43959</v>
      </c>
      <c r="C375" t="s">
        <v>22</v>
      </c>
      <c r="D375" t="s">
        <v>23</v>
      </c>
      <c r="E375" t="s">
        <v>22</v>
      </c>
      <c r="F375" t="s">
        <v>23</v>
      </c>
      <c r="G375" t="s">
        <v>1081</v>
      </c>
      <c r="H375" t="s">
        <v>1082</v>
      </c>
      <c r="I375" t="s">
        <v>977</v>
      </c>
      <c r="J375">
        <v>0</v>
      </c>
      <c r="K375" t="s">
        <v>978</v>
      </c>
      <c r="L375" t="s">
        <v>28</v>
      </c>
      <c r="M375">
        <v>1.01</v>
      </c>
      <c r="N375" t="s">
        <v>160</v>
      </c>
      <c r="O375">
        <v>95</v>
      </c>
      <c r="P375">
        <f t="shared" si="32"/>
        <v>95.95</v>
      </c>
      <c r="Q375" t="s">
        <v>30</v>
      </c>
      <c r="R375">
        <v>46155</v>
      </c>
      <c r="S375">
        <v>401768</v>
      </c>
      <c r="U375">
        <f t="shared" si="29"/>
        <v>0</v>
      </c>
    </row>
    <row r="376" spans="1:21" ht="15.75" x14ac:dyDescent="0.25">
      <c r="A376" t="s">
        <v>1109</v>
      </c>
      <c r="B376">
        <v>43959</v>
      </c>
      <c r="C376" t="s">
        <v>22</v>
      </c>
      <c r="D376" t="s">
        <v>23</v>
      </c>
      <c r="E376" t="s">
        <v>22</v>
      </c>
      <c r="F376" t="s">
        <v>23</v>
      </c>
      <c r="G376" t="s">
        <v>1081</v>
      </c>
      <c r="H376" t="s">
        <v>1082</v>
      </c>
      <c r="I376" t="s">
        <v>1063</v>
      </c>
      <c r="J376">
        <v>0</v>
      </c>
      <c r="K376" t="s">
        <v>1064</v>
      </c>
      <c r="L376" t="s">
        <v>28</v>
      </c>
      <c r="M376">
        <v>2.82</v>
      </c>
      <c r="N376" t="s">
        <v>160</v>
      </c>
      <c r="O376">
        <v>95</v>
      </c>
      <c r="P376">
        <f t="shared" si="32"/>
        <v>267.89999999999998</v>
      </c>
      <c r="Q376" t="s">
        <v>30</v>
      </c>
      <c r="R376">
        <v>46155</v>
      </c>
      <c r="S376">
        <v>401768</v>
      </c>
      <c r="T376">
        <v>960</v>
      </c>
      <c r="U376">
        <f t="shared" si="29"/>
        <v>2.5718399999999999</v>
      </c>
    </row>
    <row r="377" spans="1:21" ht="15.75" x14ac:dyDescent="0.25">
      <c r="A377" t="s">
        <v>1110</v>
      </c>
      <c r="B377">
        <v>43959</v>
      </c>
      <c r="C377" t="s">
        <v>22</v>
      </c>
      <c r="D377" t="s">
        <v>23</v>
      </c>
      <c r="E377" t="s">
        <v>22</v>
      </c>
      <c r="F377" t="s">
        <v>23</v>
      </c>
      <c r="G377" t="s">
        <v>1081</v>
      </c>
      <c r="H377" t="s">
        <v>1082</v>
      </c>
      <c r="I377" t="s">
        <v>1043</v>
      </c>
      <c r="J377">
        <v>0</v>
      </c>
      <c r="K377" t="s">
        <v>1044</v>
      </c>
      <c r="L377" t="s">
        <v>28</v>
      </c>
      <c r="M377">
        <v>2.74</v>
      </c>
      <c r="N377" t="s">
        <v>160</v>
      </c>
      <c r="O377">
        <v>95</v>
      </c>
      <c r="P377">
        <f t="shared" si="32"/>
        <v>260.3</v>
      </c>
      <c r="Q377" t="s">
        <v>30</v>
      </c>
      <c r="R377">
        <v>46155</v>
      </c>
      <c r="S377">
        <v>401768</v>
      </c>
      <c r="U377">
        <f t="shared" si="29"/>
        <v>0</v>
      </c>
    </row>
    <row r="378" spans="1:21" ht="15.75" x14ac:dyDescent="0.25">
      <c r="A378" t="s">
        <v>1111</v>
      </c>
      <c r="B378">
        <v>43959</v>
      </c>
      <c r="C378" t="s">
        <v>22</v>
      </c>
      <c r="D378" t="s">
        <v>23</v>
      </c>
      <c r="E378" t="s">
        <v>22</v>
      </c>
      <c r="F378" t="s">
        <v>23</v>
      </c>
      <c r="G378" t="s">
        <v>1081</v>
      </c>
      <c r="H378" t="s">
        <v>1082</v>
      </c>
      <c r="I378" t="s">
        <v>1046</v>
      </c>
      <c r="J378">
        <v>0</v>
      </c>
      <c r="K378" t="s">
        <v>1047</v>
      </c>
      <c r="L378" t="s">
        <v>28</v>
      </c>
      <c r="M378">
        <v>6.33</v>
      </c>
      <c r="N378" t="s">
        <v>160</v>
      </c>
      <c r="O378">
        <v>95</v>
      </c>
      <c r="P378">
        <f t="shared" si="32"/>
        <v>601.35</v>
      </c>
      <c r="Q378" t="s">
        <v>30</v>
      </c>
      <c r="R378">
        <v>46155</v>
      </c>
      <c r="S378">
        <v>401768</v>
      </c>
      <c r="T378">
        <v>756</v>
      </c>
      <c r="U378">
        <f t="shared" si="29"/>
        <v>4.5462060000000006</v>
      </c>
    </row>
    <row r="379" spans="1:21" ht="15.75" x14ac:dyDescent="0.25">
      <c r="A379" t="s">
        <v>1112</v>
      </c>
      <c r="B379">
        <v>43959</v>
      </c>
      <c r="C379" t="s">
        <v>22</v>
      </c>
      <c r="D379" t="s">
        <v>23</v>
      </c>
      <c r="E379" t="s">
        <v>22</v>
      </c>
      <c r="F379" t="s">
        <v>23</v>
      </c>
      <c r="G379" t="s">
        <v>1081</v>
      </c>
      <c r="H379" t="s">
        <v>1082</v>
      </c>
      <c r="I379" t="s">
        <v>1013</v>
      </c>
      <c r="J379">
        <v>0</v>
      </c>
      <c r="K379" t="s">
        <v>1014</v>
      </c>
      <c r="L379" t="s">
        <v>28</v>
      </c>
      <c r="M379">
        <v>3.45</v>
      </c>
      <c r="N379" t="s">
        <v>160</v>
      </c>
      <c r="O379">
        <v>95</v>
      </c>
      <c r="P379">
        <f t="shared" si="32"/>
        <v>327.75</v>
      </c>
      <c r="Q379" t="s">
        <v>30</v>
      </c>
      <c r="R379">
        <v>46155</v>
      </c>
      <c r="S379">
        <v>401768</v>
      </c>
      <c r="T379">
        <v>960</v>
      </c>
      <c r="U379">
        <f t="shared" si="29"/>
        <v>3.1463999999999999</v>
      </c>
    </row>
    <row r="380" spans="1:21" ht="15.75" x14ac:dyDescent="0.25">
      <c r="A380" t="s">
        <v>1113</v>
      </c>
      <c r="B380">
        <v>43959</v>
      </c>
      <c r="C380" t="s">
        <v>22</v>
      </c>
      <c r="D380" t="s">
        <v>23</v>
      </c>
      <c r="E380" t="s">
        <v>22</v>
      </c>
      <c r="F380" t="s">
        <v>23</v>
      </c>
      <c r="G380" t="s">
        <v>1081</v>
      </c>
      <c r="H380" t="s">
        <v>1082</v>
      </c>
      <c r="I380" t="s">
        <v>1050</v>
      </c>
      <c r="J380">
        <v>0</v>
      </c>
      <c r="K380" t="s">
        <v>1051</v>
      </c>
      <c r="L380" t="s">
        <v>28</v>
      </c>
      <c r="M380">
        <v>3.29</v>
      </c>
      <c r="N380" t="s">
        <v>160</v>
      </c>
      <c r="O380">
        <v>95</v>
      </c>
      <c r="P380">
        <f t="shared" si="32"/>
        <v>312.55</v>
      </c>
      <c r="Q380" t="s">
        <v>30</v>
      </c>
      <c r="R380">
        <v>46155</v>
      </c>
      <c r="S380">
        <v>401768</v>
      </c>
      <c r="T380">
        <v>960</v>
      </c>
      <c r="U380">
        <f t="shared" si="29"/>
        <v>3.00048</v>
      </c>
    </row>
    <row r="381" spans="1:21" ht="15.75" x14ac:dyDescent="0.25">
      <c r="A381" t="s">
        <v>1114</v>
      </c>
      <c r="B381">
        <v>43959</v>
      </c>
      <c r="C381" t="s">
        <v>22</v>
      </c>
      <c r="D381" t="s">
        <v>23</v>
      </c>
      <c r="E381" t="s">
        <v>22</v>
      </c>
      <c r="F381" t="s">
        <v>23</v>
      </c>
      <c r="G381" t="s">
        <v>1081</v>
      </c>
      <c r="H381" t="s">
        <v>1082</v>
      </c>
      <c r="I381" t="s">
        <v>980</v>
      </c>
      <c r="J381">
        <v>0</v>
      </c>
      <c r="K381" t="s">
        <v>981</v>
      </c>
      <c r="L381" t="s">
        <v>28</v>
      </c>
      <c r="M381">
        <v>3.4</v>
      </c>
      <c r="N381" t="s">
        <v>160</v>
      </c>
      <c r="O381">
        <v>95</v>
      </c>
      <c r="P381">
        <f t="shared" si="32"/>
        <v>323</v>
      </c>
      <c r="Q381" t="s">
        <v>30</v>
      </c>
      <c r="R381">
        <v>46155</v>
      </c>
      <c r="S381">
        <v>401768</v>
      </c>
      <c r="U381">
        <f t="shared" si="29"/>
        <v>0</v>
      </c>
    </row>
    <row r="382" spans="1:21" ht="15.75" x14ac:dyDescent="0.25">
      <c r="A382" t="s">
        <v>1115</v>
      </c>
      <c r="B382">
        <v>43959</v>
      </c>
      <c r="C382" t="s">
        <v>22</v>
      </c>
      <c r="D382" t="s">
        <v>23</v>
      </c>
      <c r="E382" t="s">
        <v>22</v>
      </c>
      <c r="F382" t="s">
        <v>23</v>
      </c>
      <c r="G382" t="s">
        <v>1081</v>
      </c>
      <c r="H382" t="s">
        <v>1082</v>
      </c>
      <c r="I382" t="s">
        <v>1116</v>
      </c>
      <c r="J382">
        <v>0</v>
      </c>
      <c r="K382" t="s">
        <v>1117</v>
      </c>
      <c r="L382" t="s">
        <v>28</v>
      </c>
      <c r="M382">
        <v>0.94</v>
      </c>
      <c r="N382" t="s">
        <v>160</v>
      </c>
      <c r="O382">
        <v>95</v>
      </c>
      <c r="P382">
        <f t="shared" si="32"/>
        <v>89.3</v>
      </c>
      <c r="Q382" t="s">
        <v>30</v>
      </c>
      <c r="R382">
        <v>46155</v>
      </c>
      <c r="S382">
        <v>401768</v>
      </c>
      <c r="U382">
        <f t="shared" si="29"/>
        <v>0</v>
      </c>
    </row>
    <row r="383" spans="1:21" ht="15.75" x14ac:dyDescent="0.25">
      <c r="A383" t="s">
        <v>1118</v>
      </c>
      <c r="B383">
        <v>43959</v>
      </c>
      <c r="C383" t="s">
        <v>22</v>
      </c>
      <c r="D383" t="s">
        <v>23</v>
      </c>
      <c r="E383" t="s">
        <v>22</v>
      </c>
      <c r="F383" t="s">
        <v>23</v>
      </c>
      <c r="G383" t="s">
        <v>1081</v>
      </c>
      <c r="H383" t="s">
        <v>1082</v>
      </c>
      <c r="I383" t="s">
        <v>1119</v>
      </c>
      <c r="J383">
        <v>0</v>
      </c>
      <c r="K383" t="s">
        <v>1120</v>
      </c>
      <c r="L383" t="s">
        <v>28</v>
      </c>
      <c r="M383">
        <v>0.86</v>
      </c>
      <c r="N383" t="s">
        <v>160</v>
      </c>
      <c r="O383">
        <v>95</v>
      </c>
      <c r="P383">
        <f t="shared" si="32"/>
        <v>81.7</v>
      </c>
      <c r="Q383" t="s">
        <v>30</v>
      </c>
      <c r="R383">
        <v>46155</v>
      </c>
      <c r="S383">
        <v>401768</v>
      </c>
      <c r="U383">
        <f t="shared" si="29"/>
        <v>0</v>
      </c>
    </row>
    <row r="384" spans="1:21" ht="15.75" x14ac:dyDescent="0.25">
      <c r="A384" t="s">
        <v>1121</v>
      </c>
      <c r="B384">
        <v>43959</v>
      </c>
      <c r="C384" t="s">
        <v>22</v>
      </c>
      <c r="D384" t="s">
        <v>23</v>
      </c>
      <c r="E384" t="s">
        <v>22</v>
      </c>
      <c r="F384" t="s">
        <v>23</v>
      </c>
      <c r="G384" t="s">
        <v>1081</v>
      </c>
      <c r="H384" t="s">
        <v>1082</v>
      </c>
      <c r="I384" t="s">
        <v>983</v>
      </c>
      <c r="J384">
        <v>0</v>
      </c>
      <c r="K384" t="s">
        <v>984</v>
      </c>
      <c r="L384" t="s">
        <v>28</v>
      </c>
      <c r="M384">
        <v>3.64</v>
      </c>
      <c r="N384" t="s">
        <v>160</v>
      </c>
      <c r="O384">
        <v>95</v>
      </c>
      <c r="P384">
        <f t="shared" si="32"/>
        <v>345.8</v>
      </c>
      <c r="Q384" t="s">
        <v>30</v>
      </c>
      <c r="R384">
        <v>46155</v>
      </c>
      <c r="S384">
        <v>401768</v>
      </c>
      <c r="U384">
        <f t="shared" si="29"/>
        <v>0</v>
      </c>
    </row>
    <row r="385" spans="1:21" ht="15.75" x14ac:dyDescent="0.25">
      <c r="A385" t="s">
        <v>1122</v>
      </c>
      <c r="B385">
        <v>43959</v>
      </c>
      <c r="C385" t="s">
        <v>22</v>
      </c>
      <c r="D385" t="s">
        <v>23</v>
      </c>
      <c r="E385" t="s">
        <v>22</v>
      </c>
      <c r="F385" t="s">
        <v>23</v>
      </c>
      <c r="G385" t="s">
        <v>1081</v>
      </c>
      <c r="H385" t="s">
        <v>1082</v>
      </c>
      <c r="I385" t="s">
        <v>1123</v>
      </c>
      <c r="J385">
        <v>0</v>
      </c>
      <c r="K385" t="s">
        <v>1124</v>
      </c>
      <c r="L385" t="s">
        <v>28</v>
      </c>
      <c r="M385">
        <v>3.64</v>
      </c>
      <c r="N385" t="s">
        <v>160</v>
      </c>
      <c r="O385">
        <v>95</v>
      </c>
      <c r="P385">
        <f t="shared" si="32"/>
        <v>345.8</v>
      </c>
      <c r="Q385" t="s">
        <v>30</v>
      </c>
      <c r="R385">
        <v>46155</v>
      </c>
      <c r="S385">
        <v>401768</v>
      </c>
      <c r="U385">
        <f t="shared" si="29"/>
        <v>0</v>
      </c>
    </row>
    <row r="386" spans="1:21" ht="15.75" x14ac:dyDescent="0.25">
      <c r="A386" t="s">
        <v>1125</v>
      </c>
      <c r="B386">
        <v>43959</v>
      </c>
      <c r="C386" t="s">
        <v>22</v>
      </c>
      <c r="D386" t="s">
        <v>23</v>
      </c>
      <c r="E386" t="s">
        <v>22</v>
      </c>
      <c r="F386" t="s">
        <v>23</v>
      </c>
      <c r="G386" t="s">
        <v>1081</v>
      </c>
      <c r="H386" t="s">
        <v>1082</v>
      </c>
      <c r="I386" t="s">
        <v>1126</v>
      </c>
      <c r="J386">
        <v>0</v>
      </c>
      <c r="K386" t="s">
        <v>1127</v>
      </c>
      <c r="L386" t="s">
        <v>28</v>
      </c>
      <c r="M386">
        <v>3.64</v>
      </c>
      <c r="N386" t="s">
        <v>160</v>
      </c>
      <c r="O386">
        <v>95</v>
      </c>
      <c r="P386">
        <f t="shared" si="32"/>
        <v>345.8</v>
      </c>
      <c r="Q386" t="s">
        <v>30</v>
      </c>
      <c r="R386">
        <v>46155</v>
      </c>
      <c r="S386">
        <v>401768</v>
      </c>
      <c r="U386">
        <f t="shared" si="29"/>
        <v>0</v>
      </c>
    </row>
    <row r="387" spans="1:21" ht="15.75" x14ac:dyDescent="0.25">
      <c r="A387" t="s">
        <v>1128</v>
      </c>
      <c r="B387">
        <v>43959</v>
      </c>
      <c r="C387" t="s">
        <v>22</v>
      </c>
      <c r="D387" t="s">
        <v>23</v>
      </c>
      <c r="E387" t="s">
        <v>22</v>
      </c>
      <c r="F387" t="s">
        <v>23</v>
      </c>
      <c r="G387" t="s">
        <v>1081</v>
      </c>
      <c r="H387" t="s">
        <v>1082</v>
      </c>
      <c r="I387" t="s">
        <v>989</v>
      </c>
      <c r="J387">
        <v>0</v>
      </c>
      <c r="K387" t="s">
        <v>990</v>
      </c>
      <c r="L387" t="s">
        <v>28</v>
      </c>
      <c r="M387">
        <v>4.0599999999999996</v>
      </c>
      <c r="N387" t="s">
        <v>160</v>
      </c>
      <c r="O387">
        <v>95</v>
      </c>
      <c r="P387">
        <f t="shared" si="32"/>
        <v>385.7</v>
      </c>
      <c r="Q387" t="s">
        <v>30</v>
      </c>
      <c r="R387">
        <v>46155</v>
      </c>
      <c r="S387">
        <v>401768</v>
      </c>
      <c r="U387">
        <f t="shared" ref="U387:U450" si="33">T387*P387/100000</f>
        <v>0</v>
      </c>
    </row>
    <row r="388" spans="1:21" ht="15.75" x14ac:dyDescent="0.25">
      <c r="A388" t="s">
        <v>1129</v>
      </c>
      <c r="B388">
        <v>43959</v>
      </c>
      <c r="C388" t="s">
        <v>22</v>
      </c>
      <c r="D388" t="s">
        <v>23</v>
      </c>
      <c r="E388" t="s">
        <v>22</v>
      </c>
      <c r="F388" t="s">
        <v>23</v>
      </c>
      <c r="G388" t="s">
        <v>1081</v>
      </c>
      <c r="H388" t="s">
        <v>1082</v>
      </c>
      <c r="I388" t="s">
        <v>1130</v>
      </c>
      <c r="J388">
        <v>0</v>
      </c>
      <c r="K388" t="s">
        <v>1131</v>
      </c>
      <c r="L388" t="s">
        <v>28</v>
      </c>
      <c r="M388">
        <v>2.17</v>
      </c>
      <c r="N388" t="s">
        <v>160</v>
      </c>
      <c r="O388">
        <v>95</v>
      </c>
      <c r="P388">
        <f t="shared" si="32"/>
        <v>206.15</v>
      </c>
      <c r="Q388" t="s">
        <v>30</v>
      </c>
      <c r="R388">
        <v>46155</v>
      </c>
      <c r="S388">
        <v>401768</v>
      </c>
      <c r="U388">
        <f t="shared" si="33"/>
        <v>0</v>
      </c>
    </row>
    <row r="389" spans="1:21" ht="15.75" x14ac:dyDescent="0.25">
      <c r="A389" t="s">
        <v>1132</v>
      </c>
      <c r="B389">
        <v>43959</v>
      </c>
      <c r="C389" t="s">
        <v>22</v>
      </c>
      <c r="D389" t="s">
        <v>23</v>
      </c>
      <c r="E389" t="s">
        <v>22</v>
      </c>
      <c r="F389" t="s">
        <v>23</v>
      </c>
      <c r="G389" t="s">
        <v>1081</v>
      </c>
      <c r="H389" t="s">
        <v>1082</v>
      </c>
      <c r="I389" t="s">
        <v>1133</v>
      </c>
      <c r="J389">
        <v>0</v>
      </c>
      <c r="K389" t="s">
        <v>1134</v>
      </c>
      <c r="L389" t="s">
        <v>28</v>
      </c>
      <c r="M389">
        <v>2.59</v>
      </c>
      <c r="N389" t="s">
        <v>160</v>
      </c>
      <c r="O389">
        <v>95</v>
      </c>
      <c r="P389">
        <f t="shared" si="32"/>
        <v>246.04999999999998</v>
      </c>
      <c r="Q389" t="s">
        <v>30</v>
      </c>
      <c r="R389">
        <v>46155</v>
      </c>
      <c r="S389">
        <v>401768</v>
      </c>
      <c r="U389">
        <f t="shared" si="33"/>
        <v>0</v>
      </c>
    </row>
    <row r="390" spans="1:21" ht="15.75" x14ac:dyDescent="0.25">
      <c r="A390" t="s">
        <v>1135</v>
      </c>
      <c r="B390">
        <v>43959</v>
      </c>
      <c r="C390" t="s">
        <v>22</v>
      </c>
      <c r="D390" t="s">
        <v>23</v>
      </c>
      <c r="E390" t="s">
        <v>22</v>
      </c>
      <c r="F390" t="s">
        <v>23</v>
      </c>
      <c r="G390" t="s">
        <v>1081</v>
      </c>
      <c r="H390" t="s">
        <v>1082</v>
      </c>
      <c r="I390" t="s">
        <v>1136</v>
      </c>
      <c r="J390">
        <v>0</v>
      </c>
      <c r="K390" t="s">
        <v>1137</v>
      </c>
      <c r="L390" t="s">
        <v>28</v>
      </c>
      <c r="M390">
        <v>5</v>
      </c>
      <c r="N390" t="s">
        <v>160</v>
      </c>
      <c r="O390">
        <v>95</v>
      </c>
      <c r="P390">
        <f t="shared" si="32"/>
        <v>475</v>
      </c>
      <c r="Q390" t="s">
        <v>30</v>
      </c>
      <c r="R390">
        <v>41492</v>
      </c>
      <c r="S390">
        <v>401768</v>
      </c>
      <c r="U390">
        <f t="shared" si="33"/>
        <v>0</v>
      </c>
    </row>
    <row r="391" spans="1:21" ht="15.75" x14ac:dyDescent="0.25">
      <c r="A391" t="s">
        <v>1138</v>
      </c>
      <c r="B391">
        <v>43959</v>
      </c>
      <c r="C391" t="s">
        <v>22</v>
      </c>
      <c r="D391" t="s">
        <v>23</v>
      </c>
      <c r="E391" t="s">
        <v>22</v>
      </c>
      <c r="F391" t="s">
        <v>23</v>
      </c>
      <c r="G391" t="s">
        <v>1081</v>
      </c>
      <c r="H391" t="s">
        <v>1082</v>
      </c>
      <c r="I391" t="s">
        <v>1139</v>
      </c>
      <c r="J391">
        <v>0</v>
      </c>
      <c r="K391" t="s">
        <v>1140</v>
      </c>
      <c r="L391" t="s">
        <v>28</v>
      </c>
      <c r="M391">
        <v>0.91</v>
      </c>
      <c r="N391" t="s">
        <v>160</v>
      </c>
      <c r="O391">
        <v>95</v>
      </c>
      <c r="P391">
        <f t="shared" si="32"/>
        <v>86.45</v>
      </c>
      <c r="Q391" t="s">
        <v>30</v>
      </c>
      <c r="R391">
        <v>46155</v>
      </c>
      <c r="S391">
        <v>401768</v>
      </c>
      <c r="U391">
        <f t="shared" si="33"/>
        <v>0</v>
      </c>
    </row>
    <row r="392" spans="1:21" ht="15.75" x14ac:dyDescent="0.25">
      <c r="A392" t="s">
        <v>1141</v>
      </c>
      <c r="B392">
        <v>43959</v>
      </c>
      <c r="C392" t="s">
        <v>22</v>
      </c>
      <c r="D392" t="s">
        <v>23</v>
      </c>
      <c r="E392" t="s">
        <v>22</v>
      </c>
      <c r="F392" t="s">
        <v>23</v>
      </c>
      <c r="G392" t="s">
        <v>1081</v>
      </c>
      <c r="H392" t="s">
        <v>1082</v>
      </c>
      <c r="I392" t="s">
        <v>1142</v>
      </c>
      <c r="J392">
        <v>0</v>
      </c>
      <c r="K392" t="s">
        <v>1143</v>
      </c>
      <c r="L392" t="s">
        <v>28</v>
      </c>
      <c r="M392">
        <v>3.99</v>
      </c>
      <c r="N392" t="s">
        <v>160</v>
      </c>
      <c r="O392">
        <v>95</v>
      </c>
      <c r="P392">
        <f t="shared" si="32"/>
        <v>379.05</v>
      </c>
      <c r="Q392" t="s">
        <v>30</v>
      </c>
      <c r="R392">
        <v>46155</v>
      </c>
      <c r="S392">
        <v>401768</v>
      </c>
      <c r="U392">
        <f t="shared" si="33"/>
        <v>0</v>
      </c>
    </row>
    <row r="393" spans="1:21" ht="15.75" x14ac:dyDescent="0.25">
      <c r="A393" t="s">
        <v>1144</v>
      </c>
      <c r="B393">
        <v>43959</v>
      </c>
      <c r="C393" t="s">
        <v>22</v>
      </c>
      <c r="D393" t="s">
        <v>23</v>
      </c>
      <c r="E393" t="s">
        <v>22</v>
      </c>
      <c r="F393" t="s">
        <v>23</v>
      </c>
      <c r="G393" t="s">
        <v>1081</v>
      </c>
      <c r="H393" t="s">
        <v>1082</v>
      </c>
      <c r="I393" t="s">
        <v>1145</v>
      </c>
      <c r="J393">
        <v>0</v>
      </c>
      <c r="K393" t="s">
        <v>1146</v>
      </c>
      <c r="L393" t="s">
        <v>28</v>
      </c>
      <c r="M393">
        <v>5.35</v>
      </c>
      <c r="N393" t="s">
        <v>160</v>
      </c>
      <c r="O393">
        <v>95</v>
      </c>
      <c r="P393">
        <f t="shared" si="32"/>
        <v>508.24999999999994</v>
      </c>
      <c r="Q393" t="s">
        <v>30</v>
      </c>
      <c r="R393">
        <v>41456</v>
      </c>
      <c r="S393">
        <v>401768</v>
      </c>
      <c r="U393">
        <f t="shared" si="33"/>
        <v>0</v>
      </c>
    </row>
    <row r="394" spans="1:21" ht="15.75" x14ac:dyDescent="0.25">
      <c r="A394" t="s">
        <v>1147</v>
      </c>
      <c r="B394">
        <v>43959</v>
      </c>
      <c r="C394" t="s">
        <v>22</v>
      </c>
      <c r="D394" t="s">
        <v>23</v>
      </c>
      <c r="E394" t="s">
        <v>22</v>
      </c>
      <c r="F394" t="s">
        <v>23</v>
      </c>
      <c r="G394" t="s">
        <v>1081</v>
      </c>
      <c r="H394" t="s">
        <v>1082</v>
      </c>
      <c r="I394" t="s">
        <v>1148</v>
      </c>
      <c r="J394">
        <v>0</v>
      </c>
      <c r="K394" t="s">
        <v>1149</v>
      </c>
      <c r="L394" t="s">
        <v>28</v>
      </c>
      <c r="M394">
        <v>2.82</v>
      </c>
      <c r="N394" t="s">
        <v>160</v>
      </c>
      <c r="O394">
        <v>95</v>
      </c>
      <c r="P394">
        <f t="shared" si="32"/>
        <v>267.89999999999998</v>
      </c>
      <c r="Q394" t="s">
        <v>30</v>
      </c>
      <c r="R394">
        <v>41447</v>
      </c>
      <c r="S394">
        <v>401768</v>
      </c>
      <c r="U394">
        <f t="shared" si="33"/>
        <v>0</v>
      </c>
    </row>
    <row r="395" spans="1:21" ht="15.75" x14ac:dyDescent="0.25">
      <c r="A395" t="s">
        <v>1150</v>
      </c>
      <c r="B395">
        <v>43959</v>
      </c>
      <c r="C395" t="s">
        <v>22</v>
      </c>
      <c r="D395" t="s">
        <v>23</v>
      </c>
      <c r="E395" t="s">
        <v>22</v>
      </c>
      <c r="F395" t="s">
        <v>23</v>
      </c>
      <c r="G395" t="s">
        <v>1081</v>
      </c>
      <c r="H395" t="s">
        <v>1082</v>
      </c>
      <c r="I395" t="s">
        <v>1151</v>
      </c>
      <c r="J395">
        <v>0</v>
      </c>
      <c r="K395" t="s">
        <v>1152</v>
      </c>
      <c r="L395" t="s">
        <v>28</v>
      </c>
      <c r="M395">
        <v>1.08</v>
      </c>
      <c r="N395" t="s">
        <v>160</v>
      </c>
      <c r="O395">
        <v>95</v>
      </c>
      <c r="P395">
        <f t="shared" ref="P395:P426" si="34">O395*M395</f>
        <v>102.60000000000001</v>
      </c>
      <c r="Q395" t="s">
        <v>30</v>
      </c>
      <c r="R395">
        <v>46155</v>
      </c>
      <c r="S395">
        <v>401768</v>
      </c>
      <c r="U395">
        <f t="shared" si="33"/>
        <v>0</v>
      </c>
    </row>
    <row r="396" spans="1:21" ht="15.75" x14ac:dyDescent="0.25">
      <c r="A396" t="s">
        <v>1153</v>
      </c>
      <c r="B396">
        <v>43959</v>
      </c>
      <c r="C396" t="s">
        <v>22</v>
      </c>
      <c r="D396" t="s">
        <v>23</v>
      </c>
      <c r="E396" t="s">
        <v>22</v>
      </c>
      <c r="F396" t="s">
        <v>23</v>
      </c>
      <c r="G396" t="s">
        <v>1081</v>
      </c>
      <c r="H396" t="s">
        <v>1082</v>
      </c>
      <c r="I396" t="s">
        <v>1007</v>
      </c>
      <c r="J396">
        <v>0</v>
      </c>
      <c r="K396" t="s">
        <v>1008</v>
      </c>
      <c r="L396" t="s">
        <v>28</v>
      </c>
      <c r="M396">
        <v>0.71</v>
      </c>
      <c r="N396" t="s">
        <v>160</v>
      </c>
      <c r="O396">
        <v>95</v>
      </c>
      <c r="P396">
        <f t="shared" si="34"/>
        <v>67.45</v>
      </c>
      <c r="Q396" t="s">
        <v>30</v>
      </c>
      <c r="R396">
        <v>46155</v>
      </c>
      <c r="S396">
        <v>401768</v>
      </c>
      <c r="U396">
        <f t="shared" si="33"/>
        <v>0</v>
      </c>
    </row>
    <row r="397" spans="1:21" ht="15.75" x14ac:dyDescent="0.25">
      <c r="A397" t="s">
        <v>1154</v>
      </c>
      <c r="B397">
        <v>43959</v>
      </c>
      <c r="C397" t="s">
        <v>22</v>
      </c>
      <c r="D397" t="s">
        <v>23</v>
      </c>
      <c r="E397" t="s">
        <v>22</v>
      </c>
      <c r="F397" t="s">
        <v>23</v>
      </c>
      <c r="G397" t="s">
        <v>1081</v>
      </c>
      <c r="H397" t="s">
        <v>1082</v>
      </c>
      <c r="I397" t="s">
        <v>1155</v>
      </c>
      <c r="J397">
        <v>0</v>
      </c>
      <c r="K397" t="s">
        <v>1156</v>
      </c>
      <c r="L397" t="s">
        <v>28</v>
      </c>
      <c r="M397">
        <v>0.91</v>
      </c>
      <c r="N397" t="s">
        <v>160</v>
      </c>
      <c r="O397">
        <v>95</v>
      </c>
      <c r="P397">
        <f t="shared" si="34"/>
        <v>86.45</v>
      </c>
      <c r="Q397" t="s">
        <v>30</v>
      </c>
      <c r="R397">
        <v>46155</v>
      </c>
      <c r="S397">
        <v>401768</v>
      </c>
      <c r="U397">
        <f t="shared" si="33"/>
        <v>0</v>
      </c>
    </row>
    <row r="398" spans="1:21" ht="15.75" x14ac:dyDescent="0.25">
      <c r="A398" t="s">
        <v>1157</v>
      </c>
      <c r="B398">
        <v>43959</v>
      </c>
      <c r="C398" t="s">
        <v>22</v>
      </c>
      <c r="D398" t="s">
        <v>23</v>
      </c>
      <c r="E398" t="s">
        <v>22</v>
      </c>
      <c r="F398" t="s">
        <v>23</v>
      </c>
      <c r="G398" t="s">
        <v>1081</v>
      </c>
      <c r="H398" t="s">
        <v>1082</v>
      </c>
      <c r="I398" t="s">
        <v>1158</v>
      </c>
      <c r="J398">
        <v>0</v>
      </c>
      <c r="K398" t="s">
        <v>1159</v>
      </c>
      <c r="L398" t="s">
        <v>28</v>
      </c>
      <c r="M398">
        <v>6</v>
      </c>
      <c r="N398" t="s">
        <v>160</v>
      </c>
      <c r="O398">
        <v>95</v>
      </c>
      <c r="P398">
        <f t="shared" si="34"/>
        <v>570</v>
      </c>
      <c r="Q398" t="s">
        <v>30</v>
      </c>
      <c r="R398">
        <v>41629</v>
      </c>
      <c r="S398">
        <v>401768</v>
      </c>
      <c r="U398">
        <f t="shared" si="33"/>
        <v>0</v>
      </c>
    </row>
    <row r="399" spans="1:21" ht="15.75" x14ac:dyDescent="0.25">
      <c r="A399" t="s">
        <v>1160</v>
      </c>
      <c r="B399">
        <v>43959</v>
      </c>
      <c r="C399" t="s">
        <v>22</v>
      </c>
      <c r="D399" t="s">
        <v>23</v>
      </c>
      <c r="E399" t="s">
        <v>22</v>
      </c>
      <c r="F399" t="s">
        <v>23</v>
      </c>
      <c r="G399" t="s">
        <v>1081</v>
      </c>
      <c r="H399" t="s">
        <v>1082</v>
      </c>
      <c r="I399" t="s">
        <v>1161</v>
      </c>
      <c r="J399">
        <v>0</v>
      </c>
      <c r="K399" t="s">
        <v>1162</v>
      </c>
      <c r="L399" t="s">
        <v>28</v>
      </c>
      <c r="M399">
        <v>6.36</v>
      </c>
      <c r="N399" t="s">
        <v>160</v>
      </c>
      <c r="O399">
        <v>95</v>
      </c>
      <c r="P399">
        <f t="shared" si="34"/>
        <v>604.20000000000005</v>
      </c>
      <c r="Q399" t="s">
        <v>30</v>
      </c>
      <c r="R399">
        <v>46155</v>
      </c>
      <c r="S399">
        <v>401768</v>
      </c>
      <c r="U399">
        <f t="shared" si="33"/>
        <v>0</v>
      </c>
    </row>
    <row r="400" spans="1:21" ht="15.75" x14ac:dyDescent="0.25">
      <c r="A400" t="s">
        <v>1163</v>
      </c>
      <c r="B400">
        <v>45380</v>
      </c>
      <c r="C400" t="s">
        <v>22</v>
      </c>
      <c r="D400" t="s">
        <v>23</v>
      </c>
      <c r="E400" t="s">
        <v>22</v>
      </c>
      <c r="F400" t="s">
        <v>23</v>
      </c>
      <c r="G400" t="s">
        <v>1081</v>
      </c>
      <c r="H400" t="s">
        <v>1082</v>
      </c>
      <c r="I400" t="s">
        <v>1017</v>
      </c>
      <c r="J400">
        <v>0</v>
      </c>
      <c r="K400" t="s">
        <v>1018</v>
      </c>
      <c r="L400" t="s">
        <v>28</v>
      </c>
      <c r="M400">
        <v>0.82</v>
      </c>
      <c r="N400" t="s">
        <v>160</v>
      </c>
      <c r="O400">
        <v>95</v>
      </c>
      <c r="P400">
        <f t="shared" si="34"/>
        <v>77.899999999999991</v>
      </c>
      <c r="Q400" t="s">
        <v>30</v>
      </c>
      <c r="R400">
        <v>46155</v>
      </c>
      <c r="S400">
        <v>401768</v>
      </c>
      <c r="U400">
        <f t="shared" si="33"/>
        <v>0</v>
      </c>
    </row>
    <row r="401" spans="1:21" ht="15.75" x14ac:dyDescent="0.25">
      <c r="A401" t="s">
        <v>1164</v>
      </c>
      <c r="B401">
        <v>45380</v>
      </c>
      <c r="C401" t="s">
        <v>22</v>
      </c>
      <c r="D401" t="s">
        <v>23</v>
      </c>
      <c r="E401" t="s">
        <v>22</v>
      </c>
      <c r="F401" t="s">
        <v>23</v>
      </c>
      <c r="G401" t="s">
        <v>1081</v>
      </c>
      <c r="H401" t="s">
        <v>1082</v>
      </c>
      <c r="I401" t="s">
        <v>1165</v>
      </c>
      <c r="J401">
        <v>0</v>
      </c>
      <c r="K401" t="s">
        <v>1166</v>
      </c>
      <c r="L401" t="s">
        <v>28</v>
      </c>
      <c r="M401">
        <v>2.08</v>
      </c>
      <c r="N401" t="s">
        <v>160</v>
      </c>
      <c r="O401">
        <v>95</v>
      </c>
      <c r="P401">
        <f t="shared" si="34"/>
        <v>197.6</v>
      </c>
      <c r="Q401" t="s">
        <v>30</v>
      </c>
      <c r="R401">
        <v>45516</v>
      </c>
      <c r="S401">
        <v>401768</v>
      </c>
      <c r="U401">
        <f t="shared" si="33"/>
        <v>0</v>
      </c>
    </row>
    <row r="402" spans="1:21" ht="15.75" x14ac:dyDescent="0.25">
      <c r="A402" t="s">
        <v>1167</v>
      </c>
      <c r="B402">
        <v>46003</v>
      </c>
      <c r="C402" t="s">
        <v>22</v>
      </c>
      <c r="D402" t="s">
        <v>23</v>
      </c>
      <c r="E402" t="s">
        <v>22</v>
      </c>
      <c r="F402" t="s">
        <v>23</v>
      </c>
      <c r="G402" t="s">
        <v>1081</v>
      </c>
      <c r="H402" t="s">
        <v>1082</v>
      </c>
      <c r="I402" t="s">
        <v>1020</v>
      </c>
      <c r="J402">
        <v>0</v>
      </c>
      <c r="K402" t="s">
        <v>1021</v>
      </c>
      <c r="L402" t="s">
        <v>28</v>
      </c>
      <c r="M402">
        <v>4.62</v>
      </c>
      <c r="N402" t="s">
        <v>160</v>
      </c>
      <c r="O402">
        <v>95</v>
      </c>
      <c r="P402">
        <f t="shared" si="34"/>
        <v>438.90000000000003</v>
      </c>
      <c r="Q402" t="s">
        <v>30</v>
      </c>
      <c r="R402">
        <v>46155</v>
      </c>
      <c r="S402">
        <v>401768</v>
      </c>
      <c r="T402">
        <v>10000</v>
      </c>
      <c r="U402">
        <f t="shared" si="33"/>
        <v>43.89</v>
      </c>
    </row>
    <row r="403" spans="1:21" ht="15.75" x14ac:dyDescent="0.25">
      <c r="A403" t="s">
        <v>1168</v>
      </c>
      <c r="B403">
        <v>43959</v>
      </c>
      <c r="C403" t="s">
        <v>22</v>
      </c>
      <c r="D403" t="s">
        <v>23</v>
      </c>
      <c r="E403" t="s">
        <v>22</v>
      </c>
      <c r="F403" t="s">
        <v>23</v>
      </c>
      <c r="G403" t="s">
        <v>1169</v>
      </c>
      <c r="H403" t="s">
        <v>1170</v>
      </c>
      <c r="I403" t="s">
        <v>968</v>
      </c>
      <c r="J403">
        <v>0</v>
      </c>
      <c r="K403" t="s">
        <v>969</v>
      </c>
      <c r="L403" t="s">
        <v>28</v>
      </c>
      <c r="M403">
        <v>0.64</v>
      </c>
      <c r="N403" t="s">
        <v>160</v>
      </c>
      <c r="O403">
        <v>95</v>
      </c>
      <c r="P403">
        <f t="shared" si="34"/>
        <v>60.800000000000004</v>
      </c>
      <c r="Q403" t="s">
        <v>30</v>
      </c>
      <c r="R403">
        <v>46154</v>
      </c>
      <c r="S403">
        <v>401768</v>
      </c>
      <c r="U403">
        <f t="shared" si="33"/>
        <v>0</v>
      </c>
    </row>
    <row r="404" spans="1:21" ht="15.75" x14ac:dyDescent="0.25">
      <c r="A404" t="s">
        <v>1171</v>
      </c>
      <c r="B404">
        <v>43959</v>
      </c>
      <c r="C404" t="s">
        <v>22</v>
      </c>
      <c r="D404" t="s">
        <v>23</v>
      </c>
      <c r="E404" t="s">
        <v>22</v>
      </c>
      <c r="F404" t="s">
        <v>23</v>
      </c>
      <c r="G404" t="s">
        <v>1169</v>
      </c>
      <c r="H404" t="s">
        <v>1170</v>
      </c>
      <c r="I404" t="s">
        <v>971</v>
      </c>
      <c r="J404">
        <v>0</v>
      </c>
      <c r="K404" t="s">
        <v>972</v>
      </c>
      <c r="L404" t="s">
        <v>28</v>
      </c>
      <c r="M404">
        <v>0.33</v>
      </c>
      <c r="N404" t="s">
        <v>160</v>
      </c>
      <c r="O404">
        <v>95</v>
      </c>
      <c r="P404">
        <f t="shared" si="34"/>
        <v>31.35</v>
      </c>
      <c r="Q404" t="s">
        <v>30</v>
      </c>
      <c r="R404">
        <v>46154</v>
      </c>
      <c r="S404">
        <v>401768</v>
      </c>
      <c r="T404">
        <v>1000</v>
      </c>
      <c r="U404">
        <f t="shared" si="33"/>
        <v>0.3135</v>
      </c>
    </row>
    <row r="405" spans="1:21" ht="15.75" x14ac:dyDescent="0.25">
      <c r="A405" t="s">
        <v>1172</v>
      </c>
      <c r="B405">
        <v>43959</v>
      </c>
      <c r="C405" t="s">
        <v>22</v>
      </c>
      <c r="D405" t="s">
        <v>23</v>
      </c>
      <c r="E405" t="s">
        <v>22</v>
      </c>
      <c r="F405" t="s">
        <v>23</v>
      </c>
      <c r="G405" t="s">
        <v>1169</v>
      </c>
      <c r="H405" t="s">
        <v>1170</v>
      </c>
      <c r="I405" t="s">
        <v>1039</v>
      </c>
      <c r="J405">
        <v>0</v>
      </c>
      <c r="K405" t="s">
        <v>1040</v>
      </c>
      <c r="L405" t="s">
        <v>28</v>
      </c>
      <c r="M405">
        <v>0.37</v>
      </c>
      <c r="N405" t="s">
        <v>160</v>
      </c>
      <c r="O405">
        <v>95</v>
      </c>
      <c r="P405">
        <f t="shared" si="34"/>
        <v>35.15</v>
      </c>
      <c r="Q405" t="s">
        <v>30</v>
      </c>
      <c r="R405">
        <v>46154</v>
      </c>
      <c r="S405">
        <v>401768</v>
      </c>
      <c r="T405">
        <v>500</v>
      </c>
      <c r="U405">
        <f t="shared" si="33"/>
        <v>0.17574999999999999</v>
      </c>
    </row>
    <row r="406" spans="1:21" ht="15.75" x14ac:dyDescent="0.25">
      <c r="A406" t="s">
        <v>1173</v>
      </c>
      <c r="B406">
        <v>43959</v>
      </c>
      <c r="C406" t="s">
        <v>22</v>
      </c>
      <c r="D406" t="s">
        <v>23</v>
      </c>
      <c r="E406" t="s">
        <v>22</v>
      </c>
      <c r="F406" t="s">
        <v>23</v>
      </c>
      <c r="G406" t="s">
        <v>1169</v>
      </c>
      <c r="H406" t="s">
        <v>1170</v>
      </c>
      <c r="I406" t="s">
        <v>974</v>
      </c>
      <c r="J406">
        <v>0</v>
      </c>
      <c r="K406" t="s">
        <v>975</v>
      </c>
      <c r="L406" t="s">
        <v>28</v>
      </c>
      <c r="M406">
        <v>1.1399999999999999</v>
      </c>
      <c r="N406" t="s">
        <v>160</v>
      </c>
      <c r="O406">
        <v>95</v>
      </c>
      <c r="P406">
        <f t="shared" si="34"/>
        <v>108.3</v>
      </c>
      <c r="Q406" t="s">
        <v>30</v>
      </c>
      <c r="R406">
        <v>46154</v>
      </c>
      <c r="S406">
        <v>401768</v>
      </c>
      <c r="U406">
        <f t="shared" si="33"/>
        <v>0</v>
      </c>
    </row>
    <row r="407" spans="1:21" ht="15.75" x14ac:dyDescent="0.25">
      <c r="A407" t="s">
        <v>1174</v>
      </c>
      <c r="B407">
        <v>43959</v>
      </c>
      <c r="C407" t="s">
        <v>22</v>
      </c>
      <c r="D407" t="s">
        <v>23</v>
      </c>
      <c r="E407" t="s">
        <v>22</v>
      </c>
      <c r="F407" t="s">
        <v>23</v>
      </c>
      <c r="G407" t="s">
        <v>1169</v>
      </c>
      <c r="H407" t="s">
        <v>1170</v>
      </c>
      <c r="I407" t="s">
        <v>1046</v>
      </c>
      <c r="J407">
        <v>0</v>
      </c>
      <c r="K407" t="s">
        <v>1047</v>
      </c>
      <c r="L407" t="s">
        <v>28</v>
      </c>
      <c r="M407">
        <v>6.33</v>
      </c>
      <c r="N407" t="s">
        <v>160</v>
      </c>
      <c r="O407">
        <v>95</v>
      </c>
      <c r="P407">
        <f t="shared" si="34"/>
        <v>601.35</v>
      </c>
      <c r="Q407" t="s">
        <v>30</v>
      </c>
      <c r="R407">
        <v>46154</v>
      </c>
      <c r="S407">
        <v>401768</v>
      </c>
      <c r="U407">
        <f t="shared" si="33"/>
        <v>0</v>
      </c>
    </row>
    <row r="408" spans="1:21" ht="15.75" x14ac:dyDescent="0.25">
      <c r="A408" t="s">
        <v>1175</v>
      </c>
      <c r="B408">
        <v>43959</v>
      </c>
      <c r="C408" t="s">
        <v>22</v>
      </c>
      <c r="D408" t="s">
        <v>23</v>
      </c>
      <c r="E408" t="s">
        <v>22</v>
      </c>
      <c r="F408" t="s">
        <v>23</v>
      </c>
      <c r="G408" t="s">
        <v>1169</v>
      </c>
      <c r="H408" t="s">
        <v>1170</v>
      </c>
      <c r="I408" t="s">
        <v>1050</v>
      </c>
      <c r="J408">
        <v>0</v>
      </c>
      <c r="K408" t="s">
        <v>1051</v>
      </c>
      <c r="L408" t="s">
        <v>28</v>
      </c>
      <c r="M408">
        <v>3.23</v>
      </c>
      <c r="N408" t="s">
        <v>160</v>
      </c>
      <c r="O408">
        <v>95</v>
      </c>
      <c r="P408">
        <f t="shared" si="34"/>
        <v>306.85000000000002</v>
      </c>
      <c r="Q408" t="s">
        <v>30</v>
      </c>
      <c r="R408">
        <v>46154</v>
      </c>
      <c r="S408">
        <v>401768</v>
      </c>
      <c r="U408">
        <f t="shared" si="33"/>
        <v>0</v>
      </c>
    </row>
    <row r="409" spans="1:21" ht="15.75" x14ac:dyDescent="0.25">
      <c r="A409" t="s">
        <v>1176</v>
      </c>
      <c r="B409">
        <v>43959</v>
      </c>
      <c r="C409" t="s">
        <v>22</v>
      </c>
      <c r="D409" t="s">
        <v>23</v>
      </c>
      <c r="E409" t="s">
        <v>22</v>
      </c>
      <c r="F409" t="s">
        <v>23</v>
      </c>
      <c r="G409" t="s">
        <v>1169</v>
      </c>
      <c r="H409" t="s">
        <v>1170</v>
      </c>
      <c r="I409" t="s">
        <v>1054</v>
      </c>
      <c r="J409">
        <v>0</v>
      </c>
      <c r="K409" t="s">
        <v>1055</v>
      </c>
      <c r="L409" t="s">
        <v>28</v>
      </c>
      <c r="M409">
        <v>0.78</v>
      </c>
      <c r="N409" t="s">
        <v>160</v>
      </c>
      <c r="O409">
        <v>95</v>
      </c>
      <c r="P409">
        <f t="shared" si="34"/>
        <v>74.100000000000009</v>
      </c>
      <c r="Q409" t="s">
        <v>30</v>
      </c>
      <c r="R409">
        <v>42060</v>
      </c>
      <c r="S409">
        <v>401768</v>
      </c>
      <c r="U409">
        <f t="shared" si="33"/>
        <v>0</v>
      </c>
    </row>
    <row r="410" spans="1:21" ht="15.75" x14ac:dyDescent="0.25">
      <c r="A410" t="s">
        <v>1177</v>
      </c>
      <c r="B410">
        <v>43959</v>
      </c>
      <c r="C410" t="s">
        <v>22</v>
      </c>
      <c r="D410" t="s">
        <v>23</v>
      </c>
      <c r="E410" t="s">
        <v>22</v>
      </c>
      <c r="F410" t="s">
        <v>23</v>
      </c>
      <c r="G410" t="s">
        <v>1169</v>
      </c>
      <c r="H410" t="s">
        <v>1170</v>
      </c>
      <c r="I410" t="s">
        <v>1178</v>
      </c>
      <c r="J410">
        <v>0</v>
      </c>
      <c r="K410" t="s">
        <v>1179</v>
      </c>
      <c r="L410" t="s">
        <v>28</v>
      </c>
      <c r="M410">
        <v>5.75</v>
      </c>
      <c r="N410" t="s">
        <v>160</v>
      </c>
      <c r="O410">
        <v>95</v>
      </c>
      <c r="P410">
        <f t="shared" si="34"/>
        <v>546.25</v>
      </c>
      <c r="Q410" t="s">
        <v>30</v>
      </c>
      <c r="R410">
        <v>46154</v>
      </c>
      <c r="S410">
        <v>401768</v>
      </c>
      <c r="U410">
        <f t="shared" si="33"/>
        <v>0</v>
      </c>
    </row>
    <row r="411" spans="1:21" ht="15.75" x14ac:dyDescent="0.25">
      <c r="A411" t="s">
        <v>1180</v>
      </c>
      <c r="B411">
        <v>43959</v>
      </c>
      <c r="C411" t="s">
        <v>22</v>
      </c>
      <c r="D411" t="s">
        <v>23</v>
      </c>
      <c r="E411" t="s">
        <v>22</v>
      </c>
      <c r="F411" t="s">
        <v>23</v>
      </c>
      <c r="G411" t="s">
        <v>1169</v>
      </c>
      <c r="H411" t="s">
        <v>1170</v>
      </c>
      <c r="I411" t="s">
        <v>1057</v>
      </c>
      <c r="J411">
        <v>0</v>
      </c>
      <c r="K411" t="s">
        <v>1058</v>
      </c>
      <c r="L411" t="s">
        <v>28</v>
      </c>
      <c r="M411">
        <v>0.72</v>
      </c>
      <c r="N411" t="s">
        <v>160</v>
      </c>
      <c r="O411">
        <v>95</v>
      </c>
      <c r="P411">
        <f t="shared" si="34"/>
        <v>68.399999999999991</v>
      </c>
      <c r="Q411" t="s">
        <v>30</v>
      </c>
      <c r="R411">
        <v>46154</v>
      </c>
      <c r="S411">
        <v>401768</v>
      </c>
      <c r="U411">
        <f t="shared" si="33"/>
        <v>0</v>
      </c>
    </row>
    <row r="412" spans="1:21" ht="15.75" x14ac:dyDescent="0.25">
      <c r="A412" t="s">
        <v>1181</v>
      </c>
      <c r="B412">
        <v>43959</v>
      </c>
      <c r="C412" t="s">
        <v>22</v>
      </c>
      <c r="D412" t="s">
        <v>23</v>
      </c>
      <c r="E412" t="s">
        <v>22</v>
      </c>
      <c r="F412" t="s">
        <v>23</v>
      </c>
      <c r="G412" t="s">
        <v>1169</v>
      </c>
      <c r="H412" t="s">
        <v>1170</v>
      </c>
      <c r="I412" t="s">
        <v>1007</v>
      </c>
      <c r="J412">
        <v>0</v>
      </c>
      <c r="K412" t="s">
        <v>1008</v>
      </c>
      <c r="L412" t="s">
        <v>28</v>
      </c>
      <c r="M412">
        <v>0.73</v>
      </c>
      <c r="N412" t="s">
        <v>160</v>
      </c>
      <c r="O412">
        <v>95</v>
      </c>
      <c r="P412">
        <f t="shared" si="34"/>
        <v>69.349999999999994</v>
      </c>
      <c r="Q412" t="s">
        <v>30</v>
      </c>
      <c r="R412">
        <v>46154</v>
      </c>
      <c r="S412">
        <v>401768</v>
      </c>
      <c r="U412">
        <f t="shared" si="33"/>
        <v>0</v>
      </c>
    </row>
    <row r="413" spans="1:21" ht="15.75" x14ac:dyDescent="0.25">
      <c r="A413" t="s">
        <v>1182</v>
      </c>
      <c r="B413">
        <v>43959</v>
      </c>
      <c r="C413" t="s">
        <v>22</v>
      </c>
      <c r="D413" t="s">
        <v>23</v>
      </c>
      <c r="E413" t="s">
        <v>22</v>
      </c>
      <c r="F413" t="s">
        <v>23</v>
      </c>
      <c r="G413" t="s">
        <v>1169</v>
      </c>
      <c r="H413" t="s">
        <v>1170</v>
      </c>
      <c r="I413" t="s">
        <v>1183</v>
      </c>
      <c r="J413">
        <v>0</v>
      </c>
      <c r="K413" t="s">
        <v>1184</v>
      </c>
      <c r="L413" t="s">
        <v>28</v>
      </c>
      <c r="M413">
        <v>1.0900000000000001</v>
      </c>
      <c r="N413" t="s">
        <v>160</v>
      </c>
      <c r="O413">
        <v>95</v>
      </c>
      <c r="P413">
        <f t="shared" si="34"/>
        <v>103.55000000000001</v>
      </c>
      <c r="Q413" t="s">
        <v>30</v>
      </c>
      <c r="R413">
        <v>46154</v>
      </c>
      <c r="S413">
        <v>401768</v>
      </c>
      <c r="T413">
        <v>2000</v>
      </c>
      <c r="U413">
        <f t="shared" si="33"/>
        <v>2.0710000000000002</v>
      </c>
    </row>
    <row r="414" spans="1:21" ht="15.75" x14ac:dyDescent="0.25">
      <c r="A414" t="s">
        <v>1185</v>
      </c>
      <c r="B414">
        <v>45516</v>
      </c>
      <c r="C414" t="s">
        <v>22</v>
      </c>
      <c r="D414" t="s">
        <v>23</v>
      </c>
      <c r="E414" t="s">
        <v>22</v>
      </c>
      <c r="F414" t="s">
        <v>23</v>
      </c>
      <c r="G414" t="s">
        <v>1169</v>
      </c>
      <c r="H414" t="s">
        <v>1170</v>
      </c>
      <c r="I414" t="s">
        <v>1017</v>
      </c>
      <c r="J414">
        <v>0</v>
      </c>
      <c r="K414" t="s">
        <v>1018</v>
      </c>
      <c r="L414" t="s">
        <v>28</v>
      </c>
      <c r="M414">
        <v>1.59</v>
      </c>
      <c r="N414" t="s">
        <v>160</v>
      </c>
      <c r="O414">
        <v>95</v>
      </c>
      <c r="P414">
        <f t="shared" si="34"/>
        <v>151.05000000000001</v>
      </c>
      <c r="Q414" t="s">
        <v>30</v>
      </c>
      <c r="R414">
        <v>46154</v>
      </c>
      <c r="S414">
        <v>401768</v>
      </c>
      <c r="T414">
        <v>5000</v>
      </c>
      <c r="U414">
        <f t="shared" si="33"/>
        <v>7.5525000000000002</v>
      </c>
    </row>
    <row r="415" spans="1:21" ht="15.75" x14ac:dyDescent="0.25">
      <c r="A415" t="s">
        <v>1186</v>
      </c>
      <c r="B415">
        <v>45516</v>
      </c>
      <c r="C415" t="s">
        <v>22</v>
      </c>
      <c r="D415" t="s">
        <v>23</v>
      </c>
      <c r="E415" t="s">
        <v>22</v>
      </c>
      <c r="F415" t="s">
        <v>23</v>
      </c>
      <c r="G415" t="s">
        <v>1169</v>
      </c>
      <c r="H415" t="s">
        <v>1170</v>
      </c>
      <c r="I415" t="s">
        <v>1165</v>
      </c>
      <c r="J415">
        <v>0</v>
      </c>
      <c r="K415" t="s">
        <v>1166</v>
      </c>
      <c r="L415" t="s">
        <v>28</v>
      </c>
      <c r="M415">
        <v>6.01</v>
      </c>
      <c r="N415" t="s">
        <v>160</v>
      </c>
      <c r="O415">
        <v>95</v>
      </c>
      <c r="P415">
        <f t="shared" si="34"/>
        <v>570.94999999999993</v>
      </c>
      <c r="Q415" t="s">
        <v>30</v>
      </c>
      <c r="R415">
        <v>46154</v>
      </c>
      <c r="S415">
        <v>401768</v>
      </c>
      <c r="U415">
        <f t="shared" si="33"/>
        <v>0</v>
      </c>
    </row>
    <row r="416" spans="1:21" ht="15.75" x14ac:dyDescent="0.25">
      <c r="A416" t="s">
        <v>1187</v>
      </c>
      <c r="B416">
        <v>45735</v>
      </c>
      <c r="C416" t="s">
        <v>22</v>
      </c>
      <c r="D416" t="s">
        <v>23</v>
      </c>
      <c r="E416" t="s">
        <v>30</v>
      </c>
      <c r="F416" t="s">
        <v>30</v>
      </c>
      <c r="G416" t="s">
        <v>1169</v>
      </c>
      <c r="H416" t="s">
        <v>1170</v>
      </c>
      <c r="I416" t="s">
        <v>1043</v>
      </c>
      <c r="J416">
        <v>0</v>
      </c>
      <c r="K416" t="s">
        <v>1044</v>
      </c>
      <c r="L416" t="s">
        <v>28</v>
      </c>
      <c r="M416">
        <v>2.5499999999999998</v>
      </c>
      <c r="N416" t="s">
        <v>160</v>
      </c>
      <c r="O416">
        <v>95</v>
      </c>
      <c r="P416">
        <f t="shared" si="34"/>
        <v>242.24999999999997</v>
      </c>
      <c r="Q416" t="s">
        <v>30</v>
      </c>
      <c r="R416">
        <v>45735</v>
      </c>
      <c r="S416">
        <v>401768</v>
      </c>
      <c r="U416">
        <f t="shared" si="33"/>
        <v>0</v>
      </c>
    </row>
    <row r="417" spans="1:21" ht="15.75" x14ac:dyDescent="0.25">
      <c r="A417" t="s">
        <v>1188</v>
      </c>
      <c r="B417">
        <v>45786</v>
      </c>
      <c r="C417" t="s">
        <v>22</v>
      </c>
      <c r="D417" t="s">
        <v>23</v>
      </c>
      <c r="E417" t="s">
        <v>22</v>
      </c>
      <c r="F417" t="s">
        <v>23</v>
      </c>
      <c r="G417" t="s">
        <v>1169</v>
      </c>
      <c r="H417" t="s">
        <v>1170</v>
      </c>
      <c r="I417" t="s">
        <v>1189</v>
      </c>
      <c r="J417">
        <v>0</v>
      </c>
      <c r="K417" t="s">
        <v>1190</v>
      </c>
      <c r="L417" t="s">
        <v>28</v>
      </c>
      <c r="M417">
        <v>0.3</v>
      </c>
      <c r="N417" t="s">
        <v>160</v>
      </c>
      <c r="O417">
        <v>95</v>
      </c>
      <c r="P417">
        <f t="shared" si="34"/>
        <v>28.5</v>
      </c>
      <c r="Q417" t="s">
        <v>30</v>
      </c>
      <c r="R417">
        <v>45789</v>
      </c>
      <c r="S417">
        <v>401768</v>
      </c>
      <c r="U417">
        <f t="shared" si="33"/>
        <v>0</v>
      </c>
    </row>
    <row r="418" spans="1:21" ht="15.75" x14ac:dyDescent="0.25">
      <c r="A418" t="s">
        <v>1191</v>
      </c>
      <c r="B418">
        <v>45895</v>
      </c>
      <c r="C418" t="s">
        <v>22</v>
      </c>
      <c r="D418" t="s">
        <v>23</v>
      </c>
      <c r="E418" t="s">
        <v>30</v>
      </c>
      <c r="F418" t="s">
        <v>30</v>
      </c>
      <c r="G418" t="s">
        <v>1169</v>
      </c>
      <c r="H418" t="s">
        <v>1170</v>
      </c>
      <c r="I418" t="s">
        <v>1192</v>
      </c>
      <c r="J418">
        <v>0</v>
      </c>
      <c r="K418" t="s">
        <v>1193</v>
      </c>
      <c r="L418" t="s">
        <v>28</v>
      </c>
      <c r="M418">
        <v>0.85</v>
      </c>
      <c r="N418" t="s">
        <v>160</v>
      </c>
      <c r="O418">
        <v>95</v>
      </c>
      <c r="P418">
        <f t="shared" si="34"/>
        <v>80.75</v>
      </c>
      <c r="Q418" t="s">
        <v>30</v>
      </c>
      <c r="R418">
        <v>45895</v>
      </c>
      <c r="S418">
        <v>401768</v>
      </c>
      <c r="U418">
        <f t="shared" si="33"/>
        <v>0</v>
      </c>
    </row>
    <row r="419" spans="1:21" ht="15.75" x14ac:dyDescent="0.25">
      <c r="A419" t="s">
        <v>1194</v>
      </c>
      <c r="B419">
        <v>46078</v>
      </c>
      <c r="C419" t="s">
        <v>22</v>
      </c>
      <c r="D419" t="s">
        <v>23</v>
      </c>
      <c r="E419" t="s">
        <v>22</v>
      </c>
      <c r="F419" t="s">
        <v>23</v>
      </c>
      <c r="G419" t="s">
        <v>1169</v>
      </c>
      <c r="H419" t="s">
        <v>1170</v>
      </c>
      <c r="I419" t="s">
        <v>1029</v>
      </c>
      <c r="J419">
        <v>0</v>
      </c>
      <c r="K419" t="s">
        <v>1030</v>
      </c>
      <c r="L419" t="s">
        <v>28</v>
      </c>
      <c r="M419">
        <v>0.98</v>
      </c>
      <c r="N419" t="s">
        <v>160</v>
      </c>
      <c r="O419">
        <v>95</v>
      </c>
      <c r="P419">
        <f t="shared" si="34"/>
        <v>93.1</v>
      </c>
      <c r="Q419" t="s">
        <v>30</v>
      </c>
      <c r="R419">
        <v>46154</v>
      </c>
      <c r="S419">
        <v>401768</v>
      </c>
      <c r="U419">
        <f t="shared" si="33"/>
        <v>0</v>
      </c>
    </row>
    <row r="420" spans="1:21" ht="15.75" x14ac:dyDescent="0.25">
      <c r="A420" t="s">
        <v>1195</v>
      </c>
      <c r="B420">
        <v>45570</v>
      </c>
      <c r="C420" t="s">
        <v>22</v>
      </c>
      <c r="D420" t="s">
        <v>23</v>
      </c>
      <c r="E420" t="s">
        <v>22</v>
      </c>
      <c r="F420" t="s">
        <v>23</v>
      </c>
      <c r="G420" t="s">
        <v>1196</v>
      </c>
      <c r="H420" t="s">
        <v>1197</v>
      </c>
      <c r="I420" t="s">
        <v>1198</v>
      </c>
      <c r="J420">
        <v>0</v>
      </c>
      <c r="K420" t="s">
        <v>1199</v>
      </c>
      <c r="L420" t="s">
        <v>28</v>
      </c>
      <c r="M420">
        <v>175.63</v>
      </c>
      <c r="N420" t="s">
        <v>29</v>
      </c>
      <c r="O420">
        <f>M420</f>
        <v>175.63</v>
      </c>
      <c r="P420">
        <f>O420</f>
        <v>175.63</v>
      </c>
      <c r="Q420" t="s">
        <v>30</v>
      </c>
      <c r="R420">
        <v>45570</v>
      </c>
      <c r="S420">
        <v>401768</v>
      </c>
      <c r="U420">
        <f t="shared" si="33"/>
        <v>0</v>
      </c>
    </row>
    <row r="421" spans="1:21" ht="15.75" x14ac:dyDescent="0.25">
      <c r="A421" t="s">
        <v>1200</v>
      </c>
      <c r="B421">
        <v>45603</v>
      </c>
      <c r="C421" t="s">
        <v>22</v>
      </c>
      <c r="D421" t="s">
        <v>23</v>
      </c>
      <c r="E421" t="s">
        <v>22</v>
      </c>
      <c r="F421" t="s">
        <v>23</v>
      </c>
      <c r="G421" t="s">
        <v>1196</v>
      </c>
      <c r="H421" t="s">
        <v>1197</v>
      </c>
      <c r="I421" t="s">
        <v>1201</v>
      </c>
      <c r="J421">
        <v>0</v>
      </c>
      <c r="K421" t="s">
        <v>1202</v>
      </c>
      <c r="L421" t="s">
        <v>28</v>
      </c>
      <c r="M421">
        <v>175.63</v>
      </c>
      <c r="N421" t="s">
        <v>29</v>
      </c>
      <c r="O421">
        <f>M421</f>
        <v>175.63</v>
      </c>
      <c r="P421">
        <f>O421</f>
        <v>175.63</v>
      </c>
      <c r="Q421" t="s">
        <v>30</v>
      </c>
      <c r="R421">
        <v>45603</v>
      </c>
      <c r="S421">
        <v>401768</v>
      </c>
      <c r="U421">
        <f t="shared" si="33"/>
        <v>0</v>
      </c>
    </row>
    <row r="422" spans="1:21" ht="15.75" x14ac:dyDescent="0.25">
      <c r="A422" t="s">
        <v>1203</v>
      </c>
      <c r="B422">
        <v>45603</v>
      </c>
      <c r="C422" t="s">
        <v>22</v>
      </c>
      <c r="D422" t="s">
        <v>23</v>
      </c>
      <c r="E422" t="s">
        <v>30</v>
      </c>
      <c r="F422" t="s">
        <v>30</v>
      </c>
      <c r="G422" t="s">
        <v>1196</v>
      </c>
      <c r="H422" t="s">
        <v>1197</v>
      </c>
      <c r="I422" t="s">
        <v>1204</v>
      </c>
      <c r="J422">
        <v>0</v>
      </c>
      <c r="K422" t="s">
        <v>725</v>
      </c>
      <c r="L422" t="s">
        <v>28</v>
      </c>
      <c r="M422">
        <v>2.5</v>
      </c>
      <c r="N422" t="s">
        <v>160</v>
      </c>
      <c r="O422">
        <v>95</v>
      </c>
      <c r="P422">
        <f t="shared" ref="P422:P434" si="35">O422*M422</f>
        <v>237.5</v>
      </c>
      <c r="Q422" t="s">
        <v>30</v>
      </c>
      <c r="R422">
        <v>45603</v>
      </c>
      <c r="S422">
        <v>401768</v>
      </c>
      <c r="U422">
        <f t="shared" si="33"/>
        <v>0</v>
      </c>
    </row>
    <row r="423" spans="1:21" ht="15.75" x14ac:dyDescent="0.25">
      <c r="A423" t="s">
        <v>1205</v>
      </c>
      <c r="B423">
        <v>45786</v>
      </c>
      <c r="C423" t="s">
        <v>22</v>
      </c>
      <c r="D423" t="s">
        <v>23</v>
      </c>
      <c r="E423" t="s">
        <v>30</v>
      </c>
      <c r="F423" t="s">
        <v>30</v>
      </c>
      <c r="G423" t="s">
        <v>1196</v>
      </c>
      <c r="H423" t="s">
        <v>1197</v>
      </c>
      <c r="I423" t="s">
        <v>1206</v>
      </c>
      <c r="J423">
        <v>0</v>
      </c>
      <c r="K423" t="s">
        <v>1207</v>
      </c>
      <c r="L423" t="s">
        <v>28</v>
      </c>
      <c r="M423">
        <v>0.3</v>
      </c>
      <c r="N423" t="s">
        <v>160</v>
      </c>
      <c r="O423">
        <v>95</v>
      </c>
      <c r="P423">
        <f t="shared" si="35"/>
        <v>28.5</v>
      </c>
      <c r="Q423" t="s">
        <v>30</v>
      </c>
      <c r="R423">
        <v>45786</v>
      </c>
      <c r="S423">
        <v>401768</v>
      </c>
      <c r="U423">
        <f t="shared" si="33"/>
        <v>0</v>
      </c>
    </row>
    <row r="424" spans="1:21" ht="15.75" x14ac:dyDescent="0.25">
      <c r="A424" t="s">
        <v>1208</v>
      </c>
      <c r="B424">
        <v>45786</v>
      </c>
      <c r="C424" t="s">
        <v>22</v>
      </c>
      <c r="D424" t="s">
        <v>23</v>
      </c>
      <c r="E424" t="s">
        <v>30</v>
      </c>
      <c r="F424" t="s">
        <v>30</v>
      </c>
      <c r="G424" t="s">
        <v>1196</v>
      </c>
      <c r="H424" t="s">
        <v>1197</v>
      </c>
      <c r="I424" t="s">
        <v>1209</v>
      </c>
      <c r="J424">
        <v>0</v>
      </c>
      <c r="K424" t="s">
        <v>1210</v>
      </c>
      <c r="L424" t="s">
        <v>28</v>
      </c>
      <c r="M424">
        <v>0.3</v>
      </c>
      <c r="N424" t="s">
        <v>160</v>
      </c>
      <c r="O424">
        <v>95</v>
      </c>
      <c r="P424">
        <f t="shared" si="35"/>
        <v>28.5</v>
      </c>
      <c r="Q424" t="s">
        <v>30</v>
      </c>
      <c r="R424">
        <v>45786</v>
      </c>
      <c r="S424">
        <v>401768</v>
      </c>
      <c r="U424">
        <f t="shared" si="33"/>
        <v>0</v>
      </c>
    </row>
    <row r="425" spans="1:21" ht="15.75" x14ac:dyDescent="0.25">
      <c r="A425" t="s">
        <v>1211</v>
      </c>
      <c r="B425">
        <v>45954</v>
      </c>
      <c r="C425" t="s">
        <v>22</v>
      </c>
      <c r="D425" t="s">
        <v>23</v>
      </c>
      <c r="E425" t="s">
        <v>30</v>
      </c>
      <c r="F425" t="s">
        <v>30</v>
      </c>
      <c r="G425" t="s">
        <v>1196</v>
      </c>
      <c r="H425" t="s">
        <v>1197</v>
      </c>
      <c r="I425" t="s">
        <v>980</v>
      </c>
      <c r="J425">
        <v>0</v>
      </c>
      <c r="K425" t="s">
        <v>981</v>
      </c>
      <c r="L425" t="s">
        <v>28</v>
      </c>
      <c r="M425">
        <v>3.0609000000000002</v>
      </c>
      <c r="N425" t="s">
        <v>160</v>
      </c>
      <c r="O425">
        <v>95</v>
      </c>
      <c r="P425">
        <f t="shared" si="35"/>
        <v>290.78550000000001</v>
      </c>
      <c r="Q425" t="s">
        <v>30</v>
      </c>
      <c r="R425">
        <v>45954</v>
      </c>
      <c r="S425">
        <v>401768</v>
      </c>
      <c r="U425">
        <f t="shared" si="33"/>
        <v>0</v>
      </c>
    </row>
    <row r="426" spans="1:21" ht="15.75" x14ac:dyDescent="0.25">
      <c r="A426" t="s">
        <v>1212</v>
      </c>
      <c r="B426">
        <v>43959</v>
      </c>
      <c r="C426" t="s">
        <v>22</v>
      </c>
      <c r="D426" t="s">
        <v>23</v>
      </c>
      <c r="E426" t="s">
        <v>22</v>
      </c>
      <c r="F426" t="s">
        <v>23</v>
      </c>
      <c r="G426" t="s">
        <v>1213</v>
      </c>
      <c r="H426" t="s">
        <v>1214</v>
      </c>
      <c r="I426" t="s">
        <v>968</v>
      </c>
      <c r="J426">
        <v>0</v>
      </c>
      <c r="K426" t="s">
        <v>969</v>
      </c>
      <c r="L426" t="s">
        <v>28</v>
      </c>
      <c r="M426">
        <v>0.6</v>
      </c>
      <c r="N426" t="s">
        <v>160</v>
      </c>
      <c r="O426">
        <v>95</v>
      </c>
      <c r="P426">
        <f t="shared" si="35"/>
        <v>57</v>
      </c>
      <c r="Q426" t="s">
        <v>30</v>
      </c>
      <c r="R426">
        <v>45288</v>
      </c>
      <c r="S426">
        <v>401768</v>
      </c>
      <c r="U426">
        <f t="shared" si="33"/>
        <v>0</v>
      </c>
    </row>
    <row r="427" spans="1:21" ht="15.75" x14ac:dyDescent="0.25">
      <c r="A427" t="s">
        <v>1215</v>
      </c>
      <c r="B427">
        <v>43959</v>
      </c>
      <c r="C427" t="s">
        <v>22</v>
      </c>
      <c r="D427" t="s">
        <v>23</v>
      </c>
      <c r="E427" t="s">
        <v>22</v>
      </c>
      <c r="F427" t="s">
        <v>23</v>
      </c>
      <c r="G427" t="s">
        <v>1213</v>
      </c>
      <c r="H427" t="s">
        <v>1214</v>
      </c>
      <c r="I427" t="s">
        <v>1039</v>
      </c>
      <c r="J427">
        <v>0</v>
      </c>
      <c r="K427" t="s">
        <v>1040</v>
      </c>
      <c r="L427" t="s">
        <v>28</v>
      </c>
      <c r="M427">
        <v>0.37</v>
      </c>
      <c r="N427" t="s">
        <v>160</v>
      </c>
      <c r="O427">
        <v>95</v>
      </c>
      <c r="P427">
        <f t="shared" si="35"/>
        <v>35.15</v>
      </c>
      <c r="Q427" t="s">
        <v>30</v>
      </c>
      <c r="R427">
        <v>45288</v>
      </c>
      <c r="S427">
        <v>401768</v>
      </c>
      <c r="U427">
        <f t="shared" si="33"/>
        <v>0</v>
      </c>
    </row>
    <row r="428" spans="1:21" ht="15.75" x14ac:dyDescent="0.25">
      <c r="A428" t="s">
        <v>1216</v>
      </c>
      <c r="B428">
        <v>43959</v>
      </c>
      <c r="C428" t="s">
        <v>22</v>
      </c>
      <c r="D428" t="s">
        <v>23</v>
      </c>
      <c r="E428" t="s">
        <v>22</v>
      </c>
      <c r="F428" t="s">
        <v>23</v>
      </c>
      <c r="G428" t="s">
        <v>1213</v>
      </c>
      <c r="H428" t="s">
        <v>1214</v>
      </c>
      <c r="I428" t="s">
        <v>1046</v>
      </c>
      <c r="J428">
        <v>0</v>
      </c>
      <c r="K428" t="s">
        <v>1047</v>
      </c>
      <c r="L428" t="s">
        <v>28</v>
      </c>
      <c r="M428">
        <v>5.17</v>
      </c>
      <c r="N428" t="s">
        <v>160</v>
      </c>
      <c r="O428">
        <v>95</v>
      </c>
      <c r="P428">
        <f t="shared" si="35"/>
        <v>491.15</v>
      </c>
      <c r="Q428" t="s">
        <v>30</v>
      </c>
      <c r="R428">
        <v>45321</v>
      </c>
      <c r="S428">
        <v>401768</v>
      </c>
      <c r="U428">
        <f t="shared" si="33"/>
        <v>0</v>
      </c>
    </row>
    <row r="429" spans="1:21" ht="15.75" x14ac:dyDescent="0.25">
      <c r="A429" t="s">
        <v>1217</v>
      </c>
      <c r="B429">
        <v>43959</v>
      </c>
      <c r="C429" t="s">
        <v>22</v>
      </c>
      <c r="D429" t="s">
        <v>23</v>
      </c>
      <c r="E429" t="s">
        <v>22</v>
      </c>
      <c r="F429" t="s">
        <v>23</v>
      </c>
      <c r="G429" t="s">
        <v>1213</v>
      </c>
      <c r="H429" t="s">
        <v>1214</v>
      </c>
      <c r="I429" t="s">
        <v>1139</v>
      </c>
      <c r="J429">
        <v>0</v>
      </c>
      <c r="K429" t="s">
        <v>1140</v>
      </c>
      <c r="L429" t="s">
        <v>28</v>
      </c>
      <c r="M429">
        <v>0.83</v>
      </c>
      <c r="N429" t="s">
        <v>160</v>
      </c>
      <c r="O429">
        <v>95</v>
      </c>
      <c r="P429">
        <f t="shared" si="35"/>
        <v>78.849999999999994</v>
      </c>
      <c r="Q429" t="s">
        <v>30</v>
      </c>
      <c r="R429">
        <v>45288</v>
      </c>
      <c r="S429">
        <v>401768</v>
      </c>
      <c r="U429">
        <f t="shared" si="33"/>
        <v>0</v>
      </c>
    </row>
    <row r="430" spans="1:21" ht="15.75" x14ac:dyDescent="0.25">
      <c r="A430" t="s">
        <v>1218</v>
      </c>
      <c r="B430">
        <v>44182</v>
      </c>
      <c r="C430" t="s">
        <v>22</v>
      </c>
      <c r="D430" t="s">
        <v>23</v>
      </c>
      <c r="E430" t="s">
        <v>22</v>
      </c>
      <c r="F430" t="s">
        <v>23</v>
      </c>
      <c r="G430" t="s">
        <v>1213</v>
      </c>
      <c r="H430" t="s">
        <v>1214</v>
      </c>
      <c r="I430" t="s">
        <v>1089</v>
      </c>
      <c r="J430">
        <v>0</v>
      </c>
      <c r="K430" t="s">
        <v>1090</v>
      </c>
      <c r="L430" t="s">
        <v>28</v>
      </c>
      <c r="M430">
        <v>10</v>
      </c>
      <c r="N430" t="s">
        <v>160</v>
      </c>
      <c r="O430">
        <v>95</v>
      </c>
      <c r="P430">
        <f t="shared" si="35"/>
        <v>950</v>
      </c>
      <c r="Q430" t="s">
        <v>30</v>
      </c>
      <c r="R430">
        <v>44182</v>
      </c>
      <c r="S430">
        <v>401768</v>
      </c>
      <c r="U430">
        <f t="shared" si="33"/>
        <v>0</v>
      </c>
    </row>
    <row r="431" spans="1:21" ht="15.75" x14ac:dyDescent="0.25">
      <c r="A431" t="s">
        <v>1219</v>
      </c>
      <c r="B431">
        <v>44231</v>
      </c>
      <c r="C431" t="s">
        <v>22</v>
      </c>
      <c r="D431" t="s">
        <v>23</v>
      </c>
      <c r="E431" t="s">
        <v>22</v>
      </c>
      <c r="F431" t="s">
        <v>23</v>
      </c>
      <c r="G431" t="s">
        <v>1213</v>
      </c>
      <c r="H431" t="s">
        <v>1214</v>
      </c>
      <c r="I431" t="s">
        <v>1161</v>
      </c>
      <c r="J431">
        <v>0</v>
      </c>
      <c r="K431" t="s">
        <v>1162</v>
      </c>
      <c r="L431" t="s">
        <v>28</v>
      </c>
      <c r="M431">
        <v>5.94</v>
      </c>
      <c r="N431" t="s">
        <v>160</v>
      </c>
      <c r="O431">
        <v>95</v>
      </c>
      <c r="P431">
        <f t="shared" si="35"/>
        <v>564.30000000000007</v>
      </c>
      <c r="Q431" t="s">
        <v>30</v>
      </c>
      <c r="R431">
        <v>44231</v>
      </c>
      <c r="S431">
        <v>401768</v>
      </c>
      <c r="U431">
        <f t="shared" si="33"/>
        <v>0</v>
      </c>
    </row>
    <row r="432" spans="1:21" ht="15.75" x14ac:dyDescent="0.25">
      <c r="A432" t="s">
        <v>1220</v>
      </c>
      <c r="B432">
        <v>44295</v>
      </c>
      <c r="C432" t="s">
        <v>22</v>
      </c>
      <c r="D432" t="s">
        <v>23</v>
      </c>
      <c r="E432" t="s">
        <v>22</v>
      </c>
      <c r="F432" t="s">
        <v>23</v>
      </c>
      <c r="G432" t="s">
        <v>1213</v>
      </c>
      <c r="H432" t="s">
        <v>1214</v>
      </c>
      <c r="I432" t="s">
        <v>971</v>
      </c>
      <c r="J432">
        <v>0</v>
      </c>
      <c r="K432" t="s">
        <v>972</v>
      </c>
      <c r="L432" t="s">
        <v>28</v>
      </c>
      <c r="M432">
        <v>0.31</v>
      </c>
      <c r="N432" t="s">
        <v>160</v>
      </c>
      <c r="O432">
        <v>95</v>
      </c>
      <c r="P432">
        <f t="shared" si="35"/>
        <v>29.45</v>
      </c>
      <c r="Q432" t="s">
        <v>30</v>
      </c>
      <c r="R432">
        <v>45288</v>
      </c>
      <c r="S432">
        <v>401768</v>
      </c>
      <c r="U432">
        <f t="shared" si="33"/>
        <v>0</v>
      </c>
    </row>
    <row r="433" spans="1:21" ht="15.75" x14ac:dyDescent="0.25">
      <c r="A433" t="s">
        <v>1221</v>
      </c>
      <c r="B433">
        <v>44592</v>
      </c>
      <c r="C433" t="s">
        <v>22</v>
      </c>
      <c r="D433" t="s">
        <v>23</v>
      </c>
      <c r="E433" t="s">
        <v>22</v>
      </c>
      <c r="F433" t="s">
        <v>23</v>
      </c>
      <c r="G433" t="s">
        <v>1213</v>
      </c>
      <c r="H433" t="s">
        <v>1214</v>
      </c>
      <c r="I433" t="s">
        <v>1050</v>
      </c>
      <c r="J433">
        <v>0</v>
      </c>
      <c r="K433" t="s">
        <v>1051</v>
      </c>
      <c r="L433" t="s">
        <v>28</v>
      </c>
      <c r="M433">
        <v>2.7387999999999999</v>
      </c>
      <c r="N433" t="s">
        <v>160</v>
      </c>
      <c r="O433">
        <v>95</v>
      </c>
      <c r="P433">
        <f t="shared" si="35"/>
        <v>260.18599999999998</v>
      </c>
      <c r="Q433" t="s">
        <v>30</v>
      </c>
      <c r="R433">
        <v>44985</v>
      </c>
      <c r="S433">
        <v>401768</v>
      </c>
      <c r="U433">
        <f t="shared" si="33"/>
        <v>0</v>
      </c>
    </row>
    <row r="434" spans="1:21" ht="15.75" x14ac:dyDescent="0.25">
      <c r="A434" t="s">
        <v>1222</v>
      </c>
      <c r="B434">
        <v>44925</v>
      </c>
      <c r="C434" t="s">
        <v>22</v>
      </c>
      <c r="D434" t="s">
        <v>23</v>
      </c>
      <c r="E434" t="s">
        <v>22</v>
      </c>
      <c r="F434" t="s">
        <v>23</v>
      </c>
      <c r="G434" t="s">
        <v>1213</v>
      </c>
      <c r="H434" t="s">
        <v>1214</v>
      </c>
      <c r="I434" t="s">
        <v>974</v>
      </c>
      <c r="J434">
        <v>0</v>
      </c>
      <c r="K434" t="s">
        <v>975</v>
      </c>
      <c r="L434" t="s">
        <v>28</v>
      </c>
      <c r="M434">
        <v>0.9</v>
      </c>
      <c r="N434" t="s">
        <v>160</v>
      </c>
      <c r="O434">
        <v>95</v>
      </c>
      <c r="P434">
        <f t="shared" si="35"/>
        <v>85.5</v>
      </c>
      <c r="Q434" t="s">
        <v>30</v>
      </c>
      <c r="R434">
        <v>45321</v>
      </c>
      <c r="S434">
        <v>401768</v>
      </c>
      <c r="U434">
        <f t="shared" si="33"/>
        <v>0</v>
      </c>
    </row>
    <row r="435" spans="1:21" ht="15.75" x14ac:dyDescent="0.25">
      <c r="A435" t="s">
        <v>1223</v>
      </c>
      <c r="B435">
        <v>44272</v>
      </c>
      <c r="C435" t="s">
        <v>22</v>
      </c>
      <c r="D435" t="s">
        <v>23</v>
      </c>
      <c r="E435" t="s">
        <v>22</v>
      </c>
      <c r="F435" t="s">
        <v>23</v>
      </c>
      <c r="G435" t="s">
        <v>1224</v>
      </c>
      <c r="H435" t="s">
        <v>1225</v>
      </c>
      <c r="I435" t="s">
        <v>1226</v>
      </c>
      <c r="J435">
        <v>0</v>
      </c>
      <c r="K435" t="s">
        <v>1227</v>
      </c>
      <c r="L435" t="s">
        <v>28</v>
      </c>
      <c r="M435">
        <v>68.8</v>
      </c>
      <c r="N435" t="s">
        <v>29</v>
      </c>
      <c r="O435">
        <f>M435</f>
        <v>68.8</v>
      </c>
      <c r="P435">
        <f>O435</f>
        <v>68.8</v>
      </c>
      <c r="Q435" t="s">
        <v>30</v>
      </c>
      <c r="R435">
        <v>44644</v>
      </c>
      <c r="S435">
        <v>401768</v>
      </c>
      <c r="T435">
        <v>2352</v>
      </c>
      <c r="U435">
        <f t="shared" si="33"/>
        <v>1.6181760000000001</v>
      </c>
    </row>
    <row r="436" spans="1:21" ht="15.75" x14ac:dyDescent="0.25">
      <c r="A436" t="s">
        <v>1228</v>
      </c>
      <c r="B436">
        <v>44644</v>
      </c>
      <c r="C436" t="s">
        <v>22</v>
      </c>
      <c r="D436" t="s">
        <v>23</v>
      </c>
      <c r="E436" t="s">
        <v>22</v>
      </c>
      <c r="F436" t="s">
        <v>23</v>
      </c>
      <c r="G436" t="s">
        <v>1224</v>
      </c>
      <c r="H436" t="s">
        <v>1225</v>
      </c>
      <c r="I436" t="s">
        <v>1229</v>
      </c>
      <c r="J436">
        <v>0</v>
      </c>
      <c r="K436" t="s">
        <v>1230</v>
      </c>
      <c r="L436" t="s">
        <v>28</v>
      </c>
      <c r="M436">
        <v>145</v>
      </c>
      <c r="N436" t="s">
        <v>29</v>
      </c>
      <c r="O436">
        <f>M436</f>
        <v>145</v>
      </c>
      <c r="P436">
        <f>O436</f>
        <v>145</v>
      </c>
      <c r="Q436" t="s">
        <v>30</v>
      </c>
      <c r="R436">
        <v>45974</v>
      </c>
      <c r="S436">
        <v>401768</v>
      </c>
      <c r="U436">
        <f t="shared" si="33"/>
        <v>0</v>
      </c>
    </row>
    <row r="437" spans="1:21" ht="15.75" x14ac:dyDescent="0.25">
      <c r="A437" t="s">
        <v>1231</v>
      </c>
      <c r="B437">
        <v>45700</v>
      </c>
      <c r="C437" t="s">
        <v>22</v>
      </c>
      <c r="D437" t="s">
        <v>23</v>
      </c>
      <c r="E437" t="s">
        <v>22</v>
      </c>
      <c r="F437" t="s">
        <v>23</v>
      </c>
      <c r="G437" t="s">
        <v>1232</v>
      </c>
      <c r="H437" t="s">
        <v>1233</v>
      </c>
      <c r="I437" t="s">
        <v>1234</v>
      </c>
      <c r="J437">
        <v>0</v>
      </c>
      <c r="K437" t="s">
        <v>1235</v>
      </c>
      <c r="L437" t="s">
        <v>28</v>
      </c>
      <c r="M437">
        <v>80</v>
      </c>
      <c r="N437" t="s">
        <v>29</v>
      </c>
      <c r="O437">
        <f>M437</f>
        <v>80</v>
      </c>
      <c r="P437">
        <f>O437</f>
        <v>80</v>
      </c>
      <c r="Q437" t="s">
        <v>30</v>
      </c>
      <c r="R437">
        <v>45700</v>
      </c>
      <c r="S437">
        <v>401768</v>
      </c>
      <c r="U437">
        <f t="shared" si="33"/>
        <v>0</v>
      </c>
    </row>
    <row r="438" spans="1:21" ht="15.75" x14ac:dyDescent="0.25">
      <c r="A438" t="s">
        <v>1236</v>
      </c>
      <c r="B438">
        <v>45616</v>
      </c>
      <c r="C438" t="s">
        <v>22</v>
      </c>
      <c r="D438" t="s">
        <v>23</v>
      </c>
      <c r="E438" t="s">
        <v>22</v>
      </c>
      <c r="F438" t="s">
        <v>23</v>
      </c>
      <c r="G438" t="s">
        <v>1237</v>
      </c>
      <c r="H438" t="s">
        <v>1238</v>
      </c>
      <c r="I438" t="s">
        <v>1239</v>
      </c>
      <c r="J438">
        <v>0</v>
      </c>
      <c r="K438" t="s">
        <v>1240</v>
      </c>
      <c r="L438" t="s">
        <v>28</v>
      </c>
      <c r="M438">
        <v>550</v>
      </c>
      <c r="N438" t="s">
        <v>29</v>
      </c>
      <c r="O438">
        <f>M438</f>
        <v>550</v>
      </c>
      <c r="P438">
        <f>O438</f>
        <v>550</v>
      </c>
      <c r="Q438" t="s">
        <v>30</v>
      </c>
      <c r="R438">
        <v>45616</v>
      </c>
      <c r="S438">
        <v>401768</v>
      </c>
      <c r="U438">
        <f t="shared" si="33"/>
        <v>0</v>
      </c>
    </row>
    <row r="439" spans="1:21" ht="15.75" x14ac:dyDescent="0.25">
      <c r="A439" t="s">
        <v>1241</v>
      </c>
      <c r="B439">
        <v>43959</v>
      </c>
      <c r="C439" t="s">
        <v>22</v>
      </c>
      <c r="D439" t="s">
        <v>23</v>
      </c>
      <c r="E439" t="s">
        <v>22</v>
      </c>
      <c r="F439" t="s">
        <v>23</v>
      </c>
      <c r="G439" t="s">
        <v>1242</v>
      </c>
      <c r="H439" t="s">
        <v>1243</v>
      </c>
      <c r="I439" t="s">
        <v>1244</v>
      </c>
      <c r="J439">
        <v>0</v>
      </c>
      <c r="K439" t="s">
        <v>1245</v>
      </c>
      <c r="L439" t="s">
        <v>28</v>
      </c>
      <c r="M439">
        <v>0.67</v>
      </c>
      <c r="N439" t="s">
        <v>160</v>
      </c>
      <c r="O439">
        <v>95</v>
      </c>
      <c r="P439">
        <f t="shared" ref="P439:P479" si="36">O439*M439</f>
        <v>63.650000000000006</v>
      </c>
      <c r="Q439" t="s">
        <v>30</v>
      </c>
      <c r="R439">
        <v>44642</v>
      </c>
      <c r="S439">
        <v>401768</v>
      </c>
      <c r="U439">
        <f t="shared" si="33"/>
        <v>0</v>
      </c>
    </row>
    <row r="440" spans="1:21" ht="15.75" x14ac:dyDescent="0.25">
      <c r="A440" t="s">
        <v>1246</v>
      </c>
      <c r="B440">
        <v>43959</v>
      </c>
      <c r="C440" t="s">
        <v>22</v>
      </c>
      <c r="D440" t="s">
        <v>23</v>
      </c>
      <c r="E440" t="s">
        <v>22</v>
      </c>
      <c r="F440" t="s">
        <v>23</v>
      </c>
      <c r="G440" t="s">
        <v>1242</v>
      </c>
      <c r="H440" t="s">
        <v>1243</v>
      </c>
      <c r="I440" t="s">
        <v>1247</v>
      </c>
      <c r="J440">
        <v>0</v>
      </c>
      <c r="K440" t="s">
        <v>1248</v>
      </c>
      <c r="L440" t="s">
        <v>28</v>
      </c>
      <c r="M440">
        <v>1.1299999999999999</v>
      </c>
      <c r="N440" t="s">
        <v>160</v>
      </c>
      <c r="O440">
        <v>95</v>
      </c>
      <c r="P440">
        <f t="shared" si="36"/>
        <v>107.35</v>
      </c>
      <c r="Q440" t="s">
        <v>30</v>
      </c>
      <c r="R440">
        <v>46164</v>
      </c>
      <c r="S440">
        <v>401768</v>
      </c>
      <c r="U440">
        <f t="shared" si="33"/>
        <v>0</v>
      </c>
    </row>
    <row r="441" spans="1:21" ht="15.75" x14ac:dyDescent="0.25">
      <c r="A441" t="s">
        <v>1249</v>
      </c>
      <c r="B441">
        <v>43959</v>
      </c>
      <c r="C441" t="s">
        <v>22</v>
      </c>
      <c r="D441" t="s">
        <v>23</v>
      </c>
      <c r="E441" t="s">
        <v>22</v>
      </c>
      <c r="F441" t="s">
        <v>23</v>
      </c>
      <c r="G441" t="s">
        <v>1242</v>
      </c>
      <c r="H441" t="s">
        <v>1243</v>
      </c>
      <c r="I441" t="s">
        <v>1250</v>
      </c>
      <c r="J441">
        <v>0</v>
      </c>
      <c r="K441" t="s">
        <v>1251</v>
      </c>
      <c r="L441" t="s">
        <v>28</v>
      </c>
      <c r="M441">
        <v>0.7</v>
      </c>
      <c r="N441" t="s">
        <v>160</v>
      </c>
      <c r="O441">
        <v>95</v>
      </c>
      <c r="P441">
        <f t="shared" si="36"/>
        <v>66.5</v>
      </c>
      <c r="Q441" t="s">
        <v>30</v>
      </c>
      <c r="R441">
        <v>44690</v>
      </c>
      <c r="S441">
        <v>401768</v>
      </c>
      <c r="U441">
        <f t="shared" si="33"/>
        <v>0</v>
      </c>
    </row>
    <row r="442" spans="1:21" ht="15.75" x14ac:dyDescent="0.25">
      <c r="A442" t="s">
        <v>1252</v>
      </c>
      <c r="B442">
        <v>43959</v>
      </c>
      <c r="C442" t="s">
        <v>22</v>
      </c>
      <c r="D442" t="s">
        <v>23</v>
      </c>
      <c r="E442" t="s">
        <v>22</v>
      </c>
      <c r="F442" t="s">
        <v>23</v>
      </c>
      <c r="G442" t="s">
        <v>1242</v>
      </c>
      <c r="H442" t="s">
        <v>1243</v>
      </c>
      <c r="I442" t="s">
        <v>1253</v>
      </c>
      <c r="J442">
        <v>0</v>
      </c>
      <c r="K442" t="s">
        <v>1254</v>
      </c>
      <c r="L442" t="s">
        <v>28</v>
      </c>
      <c r="M442">
        <v>1.28</v>
      </c>
      <c r="N442" t="s">
        <v>160</v>
      </c>
      <c r="O442">
        <v>95</v>
      </c>
      <c r="P442">
        <f t="shared" si="36"/>
        <v>121.60000000000001</v>
      </c>
      <c r="Q442" t="s">
        <v>30</v>
      </c>
      <c r="R442">
        <v>46164</v>
      </c>
      <c r="S442">
        <v>401768</v>
      </c>
      <c r="U442">
        <f t="shared" si="33"/>
        <v>0</v>
      </c>
    </row>
    <row r="443" spans="1:21" ht="15.75" x14ac:dyDescent="0.25">
      <c r="A443" t="s">
        <v>1255</v>
      </c>
      <c r="B443">
        <v>43959</v>
      </c>
      <c r="C443" t="s">
        <v>22</v>
      </c>
      <c r="D443" t="s">
        <v>23</v>
      </c>
      <c r="E443" t="s">
        <v>22</v>
      </c>
      <c r="F443" t="s">
        <v>23</v>
      </c>
      <c r="G443" t="s">
        <v>1242</v>
      </c>
      <c r="H443" t="s">
        <v>1243</v>
      </c>
      <c r="I443" t="s">
        <v>1256</v>
      </c>
      <c r="J443">
        <v>0</v>
      </c>
      <c r="K443" t="s">
        <v>1257</v>
      </c>
      <c r="L443" t="s">
        <v>28</v>
      </c>
      <c r="M443">
        <v>1.31</v>
      </c>
      <c r="N443" t="s">
        <v>160</v>
      </c>
      <c r="O443">
        <v>95</v>
      </c>
      <c r="P443">
        <f t="shared" si="36"/>
        <v>124.45</v>
      </c>
      <c r="Q443" t="s">
        <v>30</v>
      </c>
      <c r="R443">
        <v>46164</v>
      </c>
      <c r="S443">
        <v>401768</v>
      </c>
      <c r="U443">
        <f t="shared" si="33"/>
        <v>0</v>
      </c>
    </row>
    <row r="444" spans="1:21" ht="15.75" x14ac:dyDescent="0.25">
      <c r="A444" t="s">
        <v>1258</v>
      </c>
      <c r="B444">
        <v>43959</v>
      </c>
      <c r="C444" t="s">
        <v>22</v>
      </c>
      <c r="D444" t="s">
        <v>23</v>
      </c>
      <c r="E444" t="s">
        <v>22</v>
      </c>
      <c r="F444" t="s">
        <v>23</v>
      </c>
      <c r="G444" t="s">
        <v>1242</v>
      </c>
      <c r="H444" t="s">
        <v>1243</v>
      </c>
      <c r="I444" t="s">
        <v>1259</v>
      </c>
      <c r="J444">
        <v>0</v>
      </c>
      <c r="K444" t="s">
        <v>1260</v>
      </c>
      <c r="L444" t="s">
        <v>28</v>
      </c>
      <c r="M444">
        <v>1.57</v>
      </c>
      <c r="N444" t="s">
        <v>160</v>
      </c>
      <c r="O444">
        <v>95</v>
      </c>
      <c r="P444">
        <f t="shared" si="36"/>
        <v>149.15</v>
      </c>
      <c r="Q444" t="s">
        <v>30</v>
      </c>
      <c r="R444">
        <v>46164</v>
      </c>
      <c r="S444">
        <v>401768</v>
      </c>
      <c r="U444">
        <f t="shared" si="33"/>
        <v>0</v>
      </c>
    </row>
    <row r="445" spans="1:21" ht="15.75" x14ac:dyDescent="0.25">
      <c r="A445" t="s">
        <v>1261</v>
      </c>
      <c r="B445">
        <v>43959</v>
      </c>
      <c r="C445" t="s">
        <v>22</v>
      </c>
      <c r="D445" t="s">
        <v>23</v>
      </c>
      <c r="E445" t="s">
        <v>22</v>
      </c>
      <c r="F445" t="s">
        <v>23</v>
      </c>
      <c r="G445" t="s">
        <v>1242</v>
      </c>
      <c r="H445" t="s">
        <v>1243</v>
      </c>
      <c r="I445" t="s">
        <v>1262</v>
      </c>
      <c r="J445">
        <v>0</v>
      </c>
      <c r="K445" t="s">
        <v>1263</v>
      </c>
      <c r="L445" t="s">
        <v>28</v>
      </c>
      <c r="M445">
        <v>1.1399999999999999</v>
      </c>
      <c r="N445" t="s">
        <v>160</v>
      </c>
      <c r="O445">
        <v>95</v>
      </c>
      <c r="P445">
        <f t="shared" si="36"/>
        <v>108.3</v>
      </c>
      <c r="Q445" t="s">
        <v>30</v>
      </c>
      <c r="R445">
        <v>46164</v>
      </c>
      <c r="S445">
        <v>401768</v>
      </c>
      <c r="U445">
        <f t="shared" si="33"/>
        <v>0</v>
      </c>
    </row>
    <row r="446" spans="1:21" ht="15.75" x14ac:dyDescent="0.25">
      <c r="A446" t="s">
        <v>1264</v>
      </c>
      <c r="B446">
        <v>43959</v>
      </c>
      <c r="C446" t="s">
        <v>22</v>
      </c>
      <c r="D446" t="s">
        <v>23</v>
      </c>
      <c r="E446" t="s">
        <v>22</v>
      </c>
      <c r="F446" t="s">
        <v>23</v>
      </c>
      <c r="G446" t="s">
        <v>1242</v>
      </c>
      <c r="H446" t="s">
        <v>1243</v>
      </c>
      <c r="I446" t="s">
        <v>1265</v>
      </c>
      <c r="J446">
        <v>0</v>
      </c>
      <c r="K446" t="s">
        <v>1266</v>
      </c>
      <c r="L446" t="s">
        <v>28</v>
      </c>
      <c r="M446">
        <v>1.1299999999999999</v>
      </c>
      <c r="N446" t="s">
        <v>160</v>
      </c>
      <c r="O446">
        <v>95</v>
      </c>
      <c r="P446">
        <f t="shared" si="36"/>
        <v>107.35</v>
      </c>
      <c r="Q446" t="s">
        <v>30</v>
      </c>
      <c r="R446">
        <v>46164</v>
      </c>
      <c r="S446">
        <v>401768</v>
      </c>
      <c r="U446">
        <f t="shared" si="33"/>
        <v>0</v>
      </c>
    </row>
    <row r="447" spans="1:21" ht="15.75" x14ac:dyDescent="0.25">
      <c r="A447" t="s">
        <v>1267</v>
      </c>
      <c r="B447">
        <v>43959</v>
      </c>
      <c r="C447" t="s">
        <v>22</v>
      </c>
      <c r="D447" t="s">
        <v>23</v>
      </c>
      <c r="E447" t="s">
        <v>22</v>
      </c>
      <c r="F447" t="s">
        <v>23</v>
      </c>
      <c r="G447" t="s">
        <v>1242</v>
      </c>
      <c r="H447" t="s">
        <v>1243</v>
      </c>
      <c r="I447" t="s">
        <v>1268</v>
      </c>
      <c r="J447">
        <v>0</v>
      </c>
      <c r="K447" t="s">
        <v>1269</v>
      </c>
      <c r="L447" t="s">
        <v>28</v>
      </c>
      <c r="M447">
        <v>1.1499999999999999</v>
      </c>
      <c r="N447" t="s">
        <v>160</v>
      </c>
      <c r="O447">
        <v>95</v>
      </c>
      <c r="P447">
        <f t="shared" si="36"/>
        <v>109.24999999999999</v>
      </c>
      <c r="Q447" t="s">
        <v>30</v>
      </c>
      <c r="R447">
        <v>46164</v>
      </c>
      <c r="S447">
        <v>401768</v>
      </c>
      <c r="U447">
        <f t="shared" si="33"/>
        <v>0</v>
      </c>
    </row>
    <row r="448" spans="1:21" ht="15.75" x14ac:dyDescent="0.25">
      <c r="A448" t="s">
        <v>1270</v>
      </c>
      <c r="B448">
        <v>43959</v>
      </c>
      <c r="C448" t="s">
        <v>22</v>
      </c>
      <c r="D448" t="s">
        <v>23</v>
      </c>
      <c r="E448" t="s">
        <v>22</v>
      </c>
      <c r="F448" t="s">
        <v>23</v>
      </c>
      <c r="G448" t="s">
        <v>1242</v>
      </c>
      <c r="H448" t="s">
        <v>1243</v>
      </c>
      <c r="I448" t="s">
        <v>1271</v>
      </c>
      <c r="J448">
        <v>0</v>
      </c>
      <c r="K448" t="s">
        <v>1272</v>
      </c>
      <c r="L448" t="s">
        <v>28</v>
      </c>
      <c r="M448">
        <v>1.28</v>
      </c>
      <c r="N448" t="s">
        <v>160</v>
      </c>
      <c r="O448">
        <v>95</v>
      </c>
      <c r="P448">
        <f t="shared" si="36"/>
        <v>121.60000000000001</v>
      </c>
      <c r="Q448" t="s">
        <v>30</v>
      </c>
      <c r="R448">
        <v>46164</v>
      </c>
      <c r="S448">
        <v>401768</v>
      </c>
      <c r="U448">
        <f t="shared" si="33"/>
        <v>0</v>
      </c>
    </row>
    <row r="449" spans="1:21" ht="15.75" x14ac:dyDescent="0.25">
      <c r="A449" t="s">
        <v>1273</v>
      </c>
      <c r="B449">
        <v>43959</v>
      </c>
      <c r="C449" t="s">
        <v>22</v>
      </c>
      <c r="D449" t="s">
        <v>23</v>
      </c>
      <c r="E449" t="s">
        <v>22</v>
      </c>
      <c r="F449" t="s">
        <v>23</v>
      </c>
      <c r="G449" t="s">
        <v>1242</v>
      </c>
      <c r="H449" t="s">
        <v>1243</v>
      </c>
      <c r="I449" t="s">
        <v>1274</v>
      </c>
      <c r="J449">
        <v>0</v>
      </c>
      <c r="K449" t="s">
        <v>1275</v>
      </c>
      <c r="L449" t="s">
        <v>28</v>
      </c>
      <c r="M449">
        <v>1.3</v>
      </c>
      <c r="N449" t="s">
        <v>160</v>
      </c>
      <c r="O449">
        <v>95</v>
      </c>
      <c r="P449">
        <f t="shared" si="36"/>
        <v>123.5</v>
      </c>
      <c r="Q449" t="s">
        <v>30</v>
      </c>
      <c r="R449">
        <v>46164</v>
      </c>
      <c r="S449">
        <v>401768</v>
      </c>
      <c r="U449">
        <f t="shared" si="33"/>
        <v>0</v>
      </c>
    </row>
    <row r="450" spans="1:21" ht="15.75" x14ac:dyDescent="0.25">
      <c r="A450" t="s">
        <v>1276</v>
      </c>
      <c r="B450">
        <v>43959</v>
      </c>
      <c r="C450" t="s">
        <v>22</v>
      </c>
      <c r="D450" t="s">
        <v>23</v>
      </c>
      <c r="E450" t="s">
        <v>22</v>
      </c>
      <c r="F450" t="s">
        <v>23</v>
      </c>
      <c r="G450" t="s">
        <v>1242</v>
      </c>
      <c r="H450" t="s">
        <v>1243</v>
      </c>
      <c r="I450" t="s">
        <v>1277</v>
      </c>
      <c r="J450">
        <v>0</v>
      </c>
      <c r="K450" t="s">
        <v>1278</v>
      </c>
      <c r="L450" t="s">
        <v>28</v>
      </c>
      <c r="M450">
        <v>2.14</v>
      </c>
      <c r="N450" t="s">
        <v>160</v>
      </c>
      <c r="O450">
        <v>95</v>
      </c>
      <c r="P450">
        <f t="shared" si="36"/>
        <v>203.3</v>
      </c>
      <c r="Q450" t="s">
        <v>30</v>
      </c>
      <c r="R450">
        <v>46164</v>
      </c>
      <c r="S450">
        <v>401768</v>
      </c>
      <c r="U450">
        <f t="shared" si="33"/>
        <v>0</v>
      </c>
    </row>
    <row r="451" spans="1:21" ht="15.75" x14ac:dyDescent="0.25">
      <c r="A451" t="s">
        <v>1279</v>
      </c>
      <c r="B451">
        <v>43959</v>
      </c>
      <c r="C451" t="s">
        <v>22</v>
      </c>
      <c r="D451" t="s">
        <v>23</v>
      </c>
      <c r="E451" t="s">
        <v>22</v>
      </c>
      <c r="F451" t="s">
        <v>23</v>
      </c>
      <c r="G451" t="s">
        <v>1242</v>
      </c>
      <c r="H451" t="s">
        <v>1243</v>
      </c>
      <c r="I451" t="s">
        <v>1280</v>
      </c>
      <c r="J451">
        <v>0</v>
      </c>
      <c r="K451" t="s">
        <v>1281</v>
      </c>
      <c r="L451" t="s">
        <v>28</v>
      </c>
      <c r="M451">
        <v>1.26</v>
      </c>
      <c r="N451" t="s">
        <v>160</v>
      </c>
      <c r="O451">
        <v>95</v>
      </c>
      <c r="P451">
        <f t="shared" si="36"/>
        <v>119.7</v>
      </c>
      <c r="Q451" t="s">
        <v>30</v>
      </c>
      <c r="R451">
        <v>46164</v>
      </c>
      <c r="S451">
        <v>401768</v>
      </c>
      <c r="U451">
        <f t="shared" ref="U451:U514" si="37">T451*P451/100000</f>
        <v>0</v>
      </c>
    </row>
    <row r="452" spans="1:21" ht="15.75" x14ac:dyDescent="0.25">
      <c r="A452" t="s">
        <v>1282</v>
      </c>
      <c r="B452">
        <v>43959</v>
      </c>
      <c r="C452" t="s">
        <v>22</v>
      </c>
      <c r="D452" t="s">
        <v>23</v>
      </c>
      <c r="E452" t="s">
        <v>22</v>
      </c>
      <c r="F452" t="s">
        <v>23</v>
      </c>
      <c r="G452" t="s">
        <v>1242</v>
      </c>
      <c r="H452" t="s">
        <v>1243</v>
      </c>
      <c r="I452" t="s">
        <v>1283</v>
      </c>
      <c r="J452">
        <v>0</v>
      </c>
      <c r="K452" t="s">
        <v>1284</v>
      </c>
      <c r="L452" t="s">
        <v>28</v>
      </c>
      <c r="M452">
        <v>1.21</v>
      </c>
      <c r="N452" t="s">
        <v>160</v>
      </c>
      <c r="O452">
        <v>95</v>
      </c>
      <c r="P452">
        <f t="shared" si="36"/>
        <v>114.95</v>
      </c>
      <c r="Q452" t="s">
        <v>30</v>
      </c>
      <c r="R452">
        <v>46164</v>
      </c>
      <c r="S452">
        <v>401768</v>
      </c>
      <c r="U452">
        <f t="shared" si="37"/>
        <v>0</v>
      </c>
    </row>
    <row r="453" spans="1:21" ht="15.75" x14ac:dyDescent="0.25">
      <c r="A453" t="s">
        <v>1285</v>
      </c>
      <c r="B453">
        <v>43959</v>
      </c>
      <c r="C453" t="s">
        <v>22</v>
      </c>
      <c r="D453" t="s">
        <v>23</v>
      </c>
      <c r="E453" t="s">
        <v>22</v>
      </c>
      <c r="F453" t="s">
        <v>23</v>
      </c>
      <c r="G453" t="s">
        <v>1242</v>
      </c>
      <c r="H453" t="s">
        <v>1243</v>
      </c>
      <c r="I453" t="s">
        <v>1286</v>
      </c>
      <c r="J453">
        <v>0</v>
      </c>
      <c r="K453" t="s">
        <v>1287</v>
      </c>
      <c r="L453" t="s">
        <v>28</v>
      </c>
      <c r="M453">
        <v>1.25</v>
      </c>
      <c r="N453" t="s">
        <v>160</v>
      </c>
      <c r="O453">
        <v>95</v>
      </c>
      <c r="P453">
        <f t="shared" si="36"/>
        <v>118.75</v>
      </c>
      <c r="Q453" t="s">
        <v>30</v>
      </c>
      <c r="R453">
        <v>46164</v>
      </c>
      <c r="S453">
        <v>401768</v>
      </c>
      <c r="U453">
        <f t="shared" si="37"/>
        <v>0</v>
      </c>
    </row>
    <row r="454" spans="1:21" ht="15.75" x14ac:dyDescent="0.25">
      <c r="A454" t="s">
        <v>1288</v>
      </c>
      <c r="B454">
        <v>43959</v>
      </c>
      <c r="C454" t="s">
        <v>22</v>
      </c>
      <c r="D454" t="s">
        <v>23</v>
      </c>
      <c r="E454" t="s">
        <v>22</v>
      </c>
      <c r="F454" t="s">
        <v>23</v>
      </c>
      <c r="G454" t="s">
        <v>1242</v>
      </c>
      <c r="H454" t="s">
        <v>1243</v>
      </c>
      <c r="I454" t="s">
        <v>1289</v>
      </c>
      <c r="J454">
        <v>0</v>
      </c>
      <c r="K454" t="s">
        <v>1290</v>
      </c>
      <c r="L454" t="s">
        <v>28</v>
      </c>
      <c r="M454">
        <v>1.37</v>
      </c>
      <c r="N454" t="s">
        <v>160</v>
      </c>
      <c r="O454">
        <v>95</v>
      </c>
      <c r="P454">
        <f t="shared" si="36"/>
        <v>130.15</v>
      </c>
      <c r="Q454" t="s">
        <v>30</v>
      </c>
      <c r="R454">
        <v>46164</v>
      </c>
      <c r="S454">
        <v>401768</v>
      </c>
      <c r="U454">
        <f t="shared" si="37"/>
        <v>0</v>
      </c>
    </row>
    <row r="455" spans="1:21" ht="15.75" x14ac:dyDescent="0.25">
      <c r="A455" t="s">
        <v>1291</v>
      </c>
      <c r="B455">
        <v>43959</v>
      </c>
      <c r="C455" t="s">
        <v>22</v>
      </c>
      <c r="D455" t="s">
        <v>23</v>
      </c>
      <c r="E455" t="s">
        <v>22</v>
      </c>
      <c r="F455" t="s">
        <v>23</v>
      </c>
      <c r="G455" t="s">
        <v>1242</v>
      </c>
      <c r="H455" t="s">
        <v>1243</v>
      </c>
      <c r="I455" t="s">
        <v>1292</v>
      </c>
      <c r="J455">
        <v>0</v>
      </c>
      <c r="K455" t="s">
        <v>1293</v>
      </c>
      <c r="L455" t="s">
        <v>28</v>
      </c>
      <c r="M455">
        <v>1.22</v>
      </c>
      <c r="N455" t="s">
        <v>160</v>
      </c>
      <c r="O455">
        <v>95</v>
      </c>
      <c r="P455">
        <f t="shared" si="36"/>
        <v>115.89999999999999</v>
      </c>
      <c r="Q455" t="s">
        <v>30</v>
      </c>
      <c r="R455">
        <v>44739</v>
      </c>
      <c r="S455">
        <v>401768</v>
      </c>
      <c r="U455">
        <f t="shared" si="37"/>
        <v>0</v>
      </c>
    </row>
    <row r="456" spans="1:21" ht="15.75" x14ac:dyDescent="0.25">
      <c r="A456" t="s">
        <v>1294</v>
      </c>
      <c r="B456">
        <v>43959</v>
      </c>
      <c r="C456" t="s">
        <v>22</v>
      </c>
      <c r="D456" t="s">
        <v>23</v>
      </c>
      <c r="E456" t="s">
        <v>22</v>
      </c>
      <c r="F456" t="s">
        <v>23</v>
      </c>
      <c r="G456" t="s">
        <v>1242</v>
      </c>
      <c r="H456" t="s">
        <v>1243</v>
      </c>
      <c r="I456" t="s">
        <v>1295</v>
      </c>
      <c r="J456">
        <v>0</v>
      </c>
      <c r="K456" t="s">
        <v>1296</v>
      </c>
      <c r="L456" t="s">
        <v>28</v>
      </c>
      <c r="M456">
        <v>1.53</v>
      </c>
      <c r="N456" t="s">
        <v>160</v>
      </c>
      <c r="O456">
        <v>95</v>
      </c>
      <c r="P456">
        <f t="shared" si="36"/>
        <v>145.35</v>
      </c>
      <c r="Q456" t="s">
        <v>30</v>
      </c>
      <c r="R456">
        <v>46164</v>
      </c>
      <c r="S456">
        <v>401768</v>
      </c>
      <c r="U456">
        <f t="shared" si="37"/>
        <v>0</v>
      </c>
    </row>
    <row r="457" spans="1:21" ht="15.75" x14ac:dyDescent="0.25">
      <c r="A457" t="s">
        <v>1297</v>
      </c>
      <c r="B457">
        <v>43959</v>
      </c>
      <c r="C457" t="s">
        <v>22</v>
      </c>
      <c r="D457" t="s">
        <v>23</v>
      </c>
      <c r="E457" t="s">
        <v>22</v>
      </c>
      <c r="F457" t="s">
        <v>23</v>
      </c>
      <c r="G457" t="s">
        <v>1242</v>
      </c>
      <c r="H457" t="s">
        <v>1243</v>
      </c>
      <c r="I457" t="s">
        <v>1298</v>
      </c>
      <c r="J457">
        <v>0</v>
      </c>
      <c r="K457" t="s">
        <v>1299</v>
      </c>
      <c r="L457" t="s">
        <v>28</v>
      </c>
      <c r="M457">
        <v>0.77</v>
      </c>
      <c r="N457" t="s">
        <v>160</v>
      </c>
      <c r="O457">
        <v>95</v>
      </c>
      <c r="P457">
        <f t="shared" si="36"/>
        <v>73.150000000000006</v>
      </c>
      <c r="Q457" t="s">
        <v>30</v>
      </c>
      <c r="R457">
        <v>46164</v>
      </c>
      <c r="S457">
        <v>401768</v>
      </c>
      <c r="U457">
        <f t="shared" si="37"/>
        <v>0</v>
      </c>
    </row>
    <row r="458" spans="1:21" ht="15.75" x14ac:dyDescent="0.25">
      <c r="A458" t="s">
        <v>1300</v>
      </c>
      <c r="B458">
        <v>43959</v>
      </c>
      <c r="C458" t="s">
        <v>22</v>
      </c>
      <c r="D458" t="s">
        <v>23</v>
      </c>
      <c r="E458" t="s">
        <v>22</v>
      </c>
      <c r="F458" t="s">
        <v>23</v>
      </c>
      <c r="G458" t="s">
        <v>1242</v>
      </c>
      <c r="H458" t="s">
        <v>1243</v>
      </c>
      <c r="I458" t="s">
        <v>1301</v>
      </c>
      <c r="J458">
        <v>0</v>
      </c>
      <c r="K458" t="s">
        <v>1302</v>
      </c>
      <c r="L458" t="s">
        <v>28</v>
      </c>
      <c r="M458">
        <v>1.54</v>
      </c>
      <c r="N458" t="s">
        <v>160</v>
      </c>
      <c r="O458">
        <v>95</v>
      </c>
      <c r="P458">
        <f t="shared" si="36"/>
        <v>146.30000000000001</v>
      </c>
      <c r="Q458" t="s">
        <v>30</v>
      </c>
      <c r="R458">
        <v>46164</v>
      </c>
      <c r="S458">
        <v>401768</v>
      </c>
      <c r="U458">
        <f t="shared" si="37"/>
        <v>0</v>
      </c>
    </row>
    <row r="459" spans="1:21" ht="15.75" x14ac:dyDescent="0.25">
      <c r="A459" t="s">
        <v>1303</v>
      </c>
      <c r="B459">
        <v>43959</v>
      </c>
      <c r="C459" t="s">
        <v>22</v>
      </c>
      <c r="D459" t="s">
        <v>23</v>
      </c>
      <c r="E459" t="s">
        <v>22</v>
      </c>
      <c r="F459" t="s">
        <v>23</v>
      </c>
      <c r="G459" t="s">
        <v>1242</v>
      </c>
      <c r="H459" t="s">
        <v>1243</v>
      </c>
      <c r="I459" t="s">
        <v>1304</v>
      </c>
      <c r="J459">
        <v>0</v>
      </c>
      <c r="K459" t="s">
        <v>1305</v>
      </c>
      <c r="L459" t="s">
        <v>28</v>
      </c>
      <c r="M459">
        <v>1.35</v>
      </c>
      <c r="N459" t="s">
        <v>160</v>
      </c>
      <c r="O459">
        <v>95</v>
      </c>
      <c r="P459">
        <f t="shared" si="36"/>
        <v>128.25</v>
      </c>
      <c r="Q459" t="s">
        <v>30</v>
      </c>
      <c r="R459">
        <v>46164</v>
      </c>
      <c r="S459">
        <v>401768</v>
      </c>
      <c r="U459">
        <f t="shared" si="37"/>
        <v>0</v>
      </c>
    </row>
    <row r="460" spans="1:21" ht="15.75" x14ac:dyDescent="0.25">
      <c r="A460" t="s">
        <v>1306</v>
      </c>
      <c r="B460">
        <v>43959</v>
      </c>
      <c r="C460" t="s">
        <v>22</v>
      </c>
      <c r="D460" t="s">
        <v>23</v>
      </c>
      <c r="E460" t="s">
        <v>22</v>
      </c>
      <c r="F460" t="s">
        <v>23</v>
      </c>
      <c r="G460" t="s">
        <v>1242</v>
      </c>
      <c r="H460" t="s">
        <v>1243</v>
      </c>
      <c r="I460" t="s">
        <v>1307</v>
      </c>
      <c r="J460">
        <v>0</v>
      </c>
      <c r="K460" t="s">
        <v>1308</v>
      </c>
      <c r="L460" t="s">
        <v>28</v>
      </c>
      <c r="M460">
        <v>2.4</v>
      </c>
      <c r="N460" t="s">
        <v>160</v>
      </c>
      <c r="O460">
        <v>95</v>
      </c>
      <c r="P460">
        <f t="shared" si="36"/>
        <v>228</v>
      </c>
      <c r="Q460" t="s">
        <v>30</v>
      </c>
      <c r="R460">
        <v>45681</v>
      </c>
      <c r="S460">
        <v>401768</v>
      </c>
      <c r="U460">
        <f t="shared" si="37"/>
        <v>0</v>
      </c>
    </row>
    <row r="461" spans="1:21" ht="15.75" x14ac:dyDescent="0.25">
      <c r="A461" t="s">
        <v>1309</v>
      </c>
      <c r="B461">
        <v>43959</v>
      </c>
      <c r="C461" t="s">
        <v>22</v>
      </c>
      <c r="D461" t="s">
        <v>23</v>
      </c>
      <c r="E461" t="s">
        <v>22</v>
      </c>
      <c r="F461" t="s">
        <v>23</v>
      </c>
      <c r="G461" t="s">
        <v>1242</v>
      </c>
      <c r="H461" t="s">
        <v>1243</v>
      </c>
      <c r="I461" t="s">
        <v>1310</v>
      </c>
      <c r="J461">
        <v>0</v>
      </c>
      <c r="K461" t="s">
        <v>1311</v>
      </c>
      <c r="L461" t="s">
        <v>28</v>
      </c>
      <c r="M461">
        <v>1.71</v>
      </c>
      <c r="N461" t="s">
        <v>160</v>
      </c>
      <c r="O461">
        <v>95</v>
      </c>
      <c r="P461">
        <f t="shared" si="36"/>
        <v>162.44999999999999</v>
      </c>
      <c r="Q461" t="s">
        <v>30</v>
      </c>
      <c r="R461">
        <v>46164</v>
      </c>
      <c r="S461">
        <v>401768</v>
      </c>
      <c r="U461">
        <f t="shared" si="37"/>
        <v>0</v>
      </c>
    </row>
    <row r="462" spans="1:21" ht="15.75" x14ac:dyDescent="0.25">
      <c r="A462" t="s">
        <v>1312</v>
      </c>
      <c r="B462">
        <v>43959</v>
      </c>
      <c r="C462" t="s">
        <v>22</v>
      </c>
      <c r="D462" t="s">
        <v>23</v>
      </c>
      <c r="E462" t="s">
        <v>22</v>
      </c>
      <c r="F462" t="s">
        <v>23</v>
      </c>
      <c r="G462" t="s">
        <v>1242</v>
      </c>
      <c r="H462" t="s">
        <v>1243</v>
      </c>
      <c r="I462" t="s">
        <v>1313</v>
      </c>
      <c r="J462">
        <v>0</v>
      </c>
      <c r="K462" t="s">
        <v>1314</v>
      </c>
      <c r="L462" t="s">
        <v>28</v>
      </c>
      <c r="M462">
        <v>1.86</v>
      </c>
      <c r="N462" t="s">
        <v>160</v>
      </c>
      <c r="O462">
        <v>95</v>
      </c>
      <c r="P462">
        <f t="shared" si="36"/>
        <v>176.70000000000002</v>
      </c>
      <c r="Q462" t="s">
        <v>30</v>
      </c>
      <c r="R462">
        <v>46164</v>
      </c>
      <c r="S462">
        <v>401768</v>
      </c>
      <c r="U462">
        <f t="shared" si="37"/>
        <v>0</v>
      </c>
    </row>
    <row r="463" spans="1:21" ht="15.75" x14ac:dyDescent="0.25">
      <c r="A463" t="s">
        <v>1315</v>
      </c>
      <c r="B463">
        <v>43959</v>
      </c>
      <c r="C463" t="s">
        <v>22</v>
      </c>
      <c r="D463" t="s">
        <v>23</v>
      </c>
      <c r="E463" t="s">
        <v>22</v>
      </c>
      <c r="F463" t="s">
        <v>23</v>
      </c>
      <c r="G463" t="s">
        <v>1242</v>
      </c>
      <c r="H463" t="s">
        <v>1243</v>
      </c>
      <c r="I463" t="s">
        <v>1316</v>
      </c>
      <c r="J463">
        <v>0</v>
      </c>
      <c r="K463" t="s">
        <v>1317</v>
      </c>
      <c r="L463" t="s">
        <v>28</v>
      </c>
      <c r="M463">
        <v>0.83</v>
      </c>
      <c r="N463" t="s">
        <v>160</v>
      </c>
      <c r="O463">
        <v>95</v>
      </c>
      <c r="P463">
        <f t="shared" si="36"/>
        <v>78.849999999999994</v>
      </c>
      <c r="Q463" t="s">
        <v>30</v>
      </c>
      <c r="R463">
        <v>46164</v>
      </c>
      <c r="S463">
        <v>401768</v>
      </c>
      <c r="U463">
        <f t="shared" si="37"/>
        <v>0</v>
      </c>
    </row>
    <row r="464" spans="1:21" ht="15.75" x14ac:dyDescent="0.25">
      <c r="A464" t="s">
        <v>1318</v>
      </c>
      <c r="B464">
        <v>43959</v>
      </c>
      <c r="C464" t="s">
        <v>22</v>
      </c>
      <c r="D464" t="s">
        <v>23</v>
      </c>
      <c r="E464" t="s">
        <v>22</v>
      </c>
      <c r="F464" t="s">
        <v>23</v>
      </c>
      <c r="G464" t="s">
        <v>1242</v>
      </c>
      <c r="H464" t="s">
        <v>1243</v>
      </c>
      <c r="I464" t="s">
        <v>1319</v>
      </c>
      <c r="J464">
        <v>0</v>
      </c>
      <c r="K464" t="s">
        <v>1320</v>
      </c>
      <c r="L464" t="s">
        <v>28</v>
      </c>
      <c r="M464">
        <v>0.86</v>
      </c>
      <c r="N464" t="s">
        <v>160</v>
      </c>
      <c r="O464">
        <v>95</v>
      </c>
      <c r="P464">
        <f t="shared" si="36"/>
        <v>81.7</v>
      </c>
      <c r="Q464" t="s">
        <v>30</v>
      </c>
      <c r="R464">
        <v>46164</v>
      </c>
      <c r="S464">
        <v>401768</v>
      </c>
      <c r="U464">
        <f t="shared" si="37"/>
        <v>0</v>
      </c>
    </row>
    <row r="465" spans="1:21" ht="15.75" x14ac:dyDescent="0.25">
      <c r="A465" t="s">
        <v>1321</v>
      </c>
      <c r="B465">
        <v>43959</v>
      </c>
      <c r="C465" t="s">
        <v>22</v>
      </c>
      <c r="D465" t="s">
        <v>23</v>
      </c>
      <c r="E465" t="s">
        <v>22</v>
      </c>
      <c r="F465" t="s">
        <v>23</v>
      </c>
      <c r="G465" t="s">
        <v>1242</v>
      </c>
      <c r="H465" t="s">
        <v>1243</v>
      </c>
      <c r="I465" t="s">
        <v>1322</v>
      </c>
      <c r="J465">
        <v>0</v>
      </c>
      <c r="K465" t="s">
        <v>1323</v>
      </c>
      <c r="L465" t="s">
        <v>28</v>
      </c>
      <c r="M465">
        <v>0.85</v>
      </c>
      <c r="N465" t="s">
        <v>160</v>
      </c>
      <c r="O465">
        <v>95</v>
      </c>
      <c r="P465">
        <f t="shared" si="36"/>
        <v>80.75</v>
      </c>
      <c r="Q465" t="s">
        <v>30</v>
      </c>
      <c r="R465">
        <v>46164</v>
      </c>
      <c r="S465">
        <v>401768</v>
      </c>
      <c r="U465">
        <f t="shared" si="37"/>
        <v>0</v>
      </c>
    </row>
    <row r="466" spans="1:21" ht="15.75" x14ac:dyDescent="0.25">
      <c r="A466" t="s">
        <v>1324</v>
      </c>
      <c r="B466">
        <v>43959</v>
      </c>
      <c r="C466" t="s">
        <v>22</v>
      </c>
      <c r="D466" t="s">
        <v>23</v>
      </c>
      <c r="E466" t="s">
        <v>22</v>
      </c>
      <c r="F466" t="s">
        <v>23</v>
      </c>
      <c r="G466" t="s">
        <v>1242</v>
      </c>
      <c r="H466" t="s">
        <v>1243</v>
      </c>
      <c r="I466" t="s">
        <v>1325</v>
      </c>
      <c r="J466">
        <v>0</v>
      </c>
      <c r="K466" t="s">
        <v>1326</v>
      </c>
      <c r="L466" t="s">
        <v>28</v>
      </c>
      <c r="M466">
        <v>0.98</v>
      </c>
      <c r="N466" t="s">
        <v>160</v>
      </c>
      <c r="O466">
        <v>95</v>
      </c>
      <c r="P466">
        <f t="shared" si="36"/>
        <v>93.1</v>
      </c>
      <c r="Q466" t="s">
        <v>30</v>
      </c>
      <c r="R466">
        <v>46164</v>
      </c>
      <c r="S466">
        <v>401768</v>
      </c>
      <c r="U466">
        <f t="shared" si="37"/>
        <v>0</v>
      </c>
    </row>
    <row r="467" spans="1:21" ht="15.75" x14ac:dyDescent="0.25">
      <c r="A467" t="s">
        <v>1327</v>
      </c>
      <c r="B467">
        <v>43959</v>
      </c>
      <c r="C467" t="s">
        <v>22</v>
      </c>
      <c r="D467" t="s">
        <v>23</v>
      </c>
      <c r="E467" t="s">
        <v>22</v>
      </c>
      <c r="F467" t="s">
        <v>23</v>
      </c>
      <c r="G467" t="s">
        <v>1242</v>
      </c>
      <c r="H467" t="s">
        <v>1243</v>
      </c>
      <c r="I467" t="s">
        <v>1328</v>
      </c>
      <c r="J467">
        <v>0</v>
      </c>
      <c r="K467" t="s">
        <v>1329</v>
      </c>
      <c r="L467" t="s">
        <v>28</v>
      </c>
      <c r="M467">
        <v>1.1299999999999999</v>
      </c>
      <c r="N467" t="s">
        <v>160</v>
      </c>
      <c r="O467">
        <v>95</v>
      </c>
      <c r="P467">
        <f t="shared" si="36"/>
        <v>107.35</v>
      </c>
      <c r="Q467" t="s">
        <v>30</v>
      </c>
      <c r="R467">
        <v>46164</v>
      </c>
      <c r="S467">
        <v>401768</v>
      </c>
      <c r="U467">
        <f t="shared" si="37"/>
        <v>0</v>
      </c>
    </row>
    <row r="468" spans="1:21" ht="15.75" x14ac:dyDescent="0.25">
      <c r="A468" t="s">
        <v>1330</v>
      </c>
      <c r="B468">
        <v>43959</v>
      </c>
      <c r="C468" t="s">
        <v>22</v>
      </c>
      <c r="D468" t="s">
        <v>23</v>
      </c>
      <c r="E468" t="s">
        <v>22</v>
      </c>
      <c r="F468" t="s">
        <v>23</v>
      </c>
      <c r="G468" t="s">
        <v>1242</v>
      </c>
      <c r="H468" t="s">
        <v>1243</v>
      </c>
      <c r="I468" t="s">
        <v>1331</v>
      </c>
      <c r="J468">
        <v>0</v>
      </c>
      <c r="K468" t="s">
        <v>1332</v>
      </c>
      <c r="L468" t="s">
        <v>28</v>
      </c>
      <c r="M468">
        <v>1.22</v>
      </c>
      <c r="N468" t="s">
        <v>160</v>
      </c>
      <c r="O468">
        <v>95</v>
      </c>
      <c r="P468">
        <f t="shared" si="36"/>
        <v>115.89999999999999</v>
      </c>
      <c r="Q468" t="s">
        <v>30</v>
      </c>
      <c r="R468">
        <v>46164</v>
      </c>
      <c r="S468">
        <v>401768</v>
      </c>
      <c r="U468">
        <f t="shared" si="37"/>
        <v>0</v>
      </c>
    </row>
    <row r="469" spans="1:21" ht="15.75" x14ac:dyDescent="0.25">
      <c r="A469" t="s">
        <v>1333</v>
      </c>
      <c r="B469">
        <v>43959</v>
      </c>
      <c r="C469" t="s">
        <v>22</v>
      </c>
      <c r="D469" t="s">
        <v>23</v>
      </c>
      <c r="E469" t="s">
        <v>22</v>
      </c>
      <c r="F469" t="s">
        <v>23</v>
      </c>
      <c r="G469" t="s">
        <v>1242</v>
      </c>
      <c r="H469" t="s">
        <v>1243</v>
      </c>
      <c r="I469" t="s">
        <v>1334</v>
      </c>
      <c r="J469">
        <v>0</v>
      </c>
      <c r="K469" t="s">
        <v>1335</v>
      </c>
      <c r="L469" t="s">
        <v>28</v>
      </c>
      <c r="M469">
        <v>7.0000000000000007E-2</v>
      </c>
      <c r="N469" t="s">
        <v>160</v>
      </c>
      <c r="O469">
        <v>95</v>
      </c>
      <c r="P469">
        <f t="shared" si="36"/>
        <v>6.65</v>
      </c>
      <c r="Q469" t="s">
        <v>30</v>
      </c>
      <c r="R469">
        <v>43824</v>
      </c>
      <c r="S469">
        <v>401768</v>
      </c>
      <c r="U469">
        <f t="shared" si="37"/>
        <v>0</v>
      </c>
    </row>
    <row r="470" spans="1:21" ht="15.75" x14ac:dyDescent="0.25">
      <c r="A470" t="s">
        <v>1336</v>
      </c>
      <c r="B470">
        <v>43959</v>
      </c>
      <c r="C470" t="s">
        <v>22</v>
      </c>
      <c r="D470" t="s">
        <v>23</v>
      </c>
      <c r="E470" t="s">
        <v>22</v>
      </c>
      <c r="F470" t="s">
        <v>23</v>
      </c>
      <c r="G470" t="s">
        <v>1242</v>
      </c>
      <c r="H470" t="s">
        <v>1243</v>
      </c>
      <c r="I470" t="s">
        <v>1337</v>
      </c>
      <c r="J470">
        <v>0</v>
      </c>
      <c r="K470" t="s">
        <v>1338</v>
      </c>
      <c r="L470" t="s">
        <v>28</v>
      </c>
      <c r="M470">
        <v>7.0000000000000007E-2</v>
      </c>
      <c r="N470" t="s">
        <v>160</v>
      </c>
      <c r="O470">
        <v>95</v>
      </c>
      <c r="P470">
        <f t="shared" si="36"/>
        <v>6.65</v>
      </c>
      <c r="Q470" t="s">
        <v>30</v>
      </c>
      <c r="R470">
        <v>43824</v>
      </c>
      <c r="S470">
        <v>401768</v>
      </c>
      <c r="U470">
        <f t="shared" si="37"/>
        <v>0</v>
      </c>
    </row>
    <row r="471" spans="1:21" ht="15.75" x14ac:dyDescent="0.25">
      <c r="A471" t="s">
        <v>1339</v>
      </c>
      <c r="B471">
        <v>43959</v>
      </c>
      <c r="C471" t="s">
        <v>22</v>
      </c>
      <c r="D471" t="s">
        <v>23</v>
      </c>
      <c r="E471" t="s">
        <v>22</v>
      </c>
      <c r="F471" t="s">
        <v>23</v>
      </c>
      <c r="G471" t="s">
        <v>1242</v>
      </c>
      <c r="H471" t="s">
        <v>1243</v>
      </c>
      <c r="I471" t="s">
        <v>1340</v>
      </c>
      <c r="J471">
        <v>0</v>
      </c>
      <c r="K471" t="s">
        <v>1341</v>
      </c>
      <c r="L471" t="s">
        <v>28</v>
      </c>
      <c r="M471">
        <v>7.0000000000000007E-2</v>
      </c>
      <c r="N471" t="s">
        <v>160</v>
      </c>
      <c r="O471">
        <v>95</v>
      </c>
      <c r="P471">
        <f t="shared" si="36"/>
        <v>6.65</v>
      </c>
      <c r="Q471" t="s">
        <v>30</v>
      </c>
      <c r="R471">
        <v>43824</v>
      </c>
      <c r="S471">
        <v>401768</v>
      </c>
      <c r="U471">
        <f t="shared" si="37"/>
        <v>0</v>
      </c>
    </row>
    <row r="472" spans="1:21" ht="15.75" x14ac:dyDescent="0.25">
      <c r="A472" t="s">
        <v>1342</v>
      </c>
      <c r="B472">
        <v>43977</v>
      </c>
      <c r="C472" t="s">
        <v>22</v>
      </c>
      <c r="D472" t="s">
        <v>23</v>
      </c>
      <c r="E472" t="s">
        <v>22</v>
      </c>
      <c r="F472" t="s">
        <v>23</v>
      </c>
      <c r="G472" t="s">
        <v>1242</v>
      </c>
      <c r="H472" t="s">
        <v>1243</v>
      </c>
      <c r="I472" t="s">
        <v>1304</v>
      </c>
      <c r="J472">
        <v>0</v>
      </c>
      <c r="K472" t="s">
        <v>1305</v>
      </c>
      <c r="L472" t="s">
        <v>28</v>
      </c>
      <c r="M472">
        <v>1.2</v>
      </c>
      <c r="N472" t="s">
        <v>160</v>
      </c>
      <c r="O472">
        <v>95</v>
      </c>
      <c r="P472">
        <f t="shared" si="36"/>
        <v>114</v>
      </c>
      <c r="Q472" t="s">
        <v>30</v>
      </c>
      <c r="R472">
        <v>43977</v>
      </c>
      <c r="S472">
        <v>401768</v>
      </c>
      <c r="U472">
        <f t="shared" si="37"/>
        <v>0</v>
      </c>
    </row>
    <row r="473" spans="1:21" ht="15.75" x14ac:dyDescent="0.25">
      <c r="A473" t="s">
        <v>1343</v>
      </c>
      <c r="B473">
        <v>45744</v>
      </c>
      <c r="C473" t="s">
        <v>22</v>
      </c>
      <c r="D473" t="s">
        <v>23</v>
      </c>
      <c r="E473" t="s">
        <v>22</v>
      </c>
      <c r="F473" t="s">
        <v>23</v>
      </c>
      <c r="G473" t="s">
        <v>1242</v>
      </c>
      <c r="H473" t="s">
        <v>1243</v>
      </c>
      <c r="I473" t="s">
        <v>1344</v>
      </c>
      <c r="J473">
        <v>0</v>
      </c>
      <c r="K473" t="s">
        <v>1345</v>
      </c>
      <c r="L473" t="s">
        <v>28</v>
      </c>
      <c r="M473">
        <v>1.55</v>
      </c>
      <c r="N473" t="s">
        <v>160</v>
      </c>
      <c r="O473">
        <v>95</v>
      </c>
      <c r="P473">
        <f t="shared" si="36"/>
        <v>147.25</v>
      </c>
      <c r="Q473" t="s">
        <v>30</v>
      </c>
      <c r="R473">
        <v>46164</v>
      </c>
      <c r="S473">
        <v>401768</v>
      </c>
      <c r="U473">
        <f t="shared" si="37"/>
        <v>0</v>
      </c>
    </row>
    <row r="474" spans="1:21" ht="15.75" x14ac:dyDescent="0.25">
      <c r="A474" t="s">
        <v>1346</v>
      </c>
      <c r="B474">
        <v>45744</v>
      </c>
      <c r="C474" t="s">
        <v>22</v>
      </c>
      <c r="D474" t="s">
        <v>23</v>
      </c>
      <c r="E474" t="s">
        <v>22</v>
      </c>
      <c r="F474" t="s">
        <v>23</v>
      </c>
      <c r="G474" t="s">
        <v>1242</v>
      </c>
      <c r="H474" t="s">
        <v>1243</v>
      </c>
      <c r="I474" t="s">
        <v>1347</v>
      </c>
      <c r="J474">
        <v>0</v>
      </c>
      <c r="K474" t="s">
        <v>1348</v>
      </c>
      <c r="L474" t="s">
        <v>28</v>
      </c>
      <c r="M474">
        <v>1.56</v>
      </c>
      <c r="N474" t="s">
        <v>160</v>
      </c>
      <c r="O474">
        <v>95</v>
      </c>
      <c r="P474">
        <f t="shared" si="36"/>
        <v>148.20000000000002</v>
      </c>
      <c r="Q474" t="s">
        <v>30</v>
      </c>
      <c r="R474">
        <v>46164</v>
      </c>
      <c r="S474">
        <v>401768</v>
      </c>
      <c r="U474">
        <f t="shared" si="37"/>
        <v>0</v>
      </c>
    </row>
    <row r="475" spans="1:21" ht="15.75" x14ac:dyDescent="0.25">
      <c r="A475" t="s">
        <v>1349</v>
      </c>
      <c r="B475">
        <v>45744</v>
      </c>
      <c r="C475" t="s">
        <v>22</v>
      </c>
      <c r="D475" t="s">
        <v>23</v>
      </c>
      <c r="E475" t="s">
        <v>22</v>
      </c>
      <c r="F475" t="s">
        <v>23</v>
      </c>
      <c r="G475" t="s">
        <v>1242</v>
      </c>
      <c r="H475" t="s">
        <v>1243</v>
      </c>
      <c r="I475" t="s">
        <v>1350</v>
      </c>
      <c r="J475">
        <v>0</v>
      </c>
      <c r="K475" t="s">
        <v>1351</v>
      </c>
      <c r="L475" t="s">
        <v>28</v>
      </c>
      <c r="M475">
        <v>1.76</v>
      </c>
      <c r="N475" t="s">
        <v>160</v>
      </c>
      <c r="O475">
        <v>95</v>
      </c>
      <c r="P475">
        <f t="shared" si="36"/>
        <v>167.2</v>
      </c>
      <c r="Q475" t="s">
        <v>30</v>
      </c>
      <c r="R475">
        <v>46164</v>
      </c>
      <c r="S475">
        <v>401768</v>
      </c>
      <c r="U475">
        <f t="shared" si="37"/>
        <v>0</v>
      </c>
    </row>
    <row r="476" spans="1:21" ht="15.75" x14ac:dyDescent="0.25">
      <c r="A476" t="s">
        <v>1352</v>
      </c>
      <c r="B476">
        <v>45744</v>
      </c>
      <c r="C476" t="s">
        <v>22</v>
      </c>
      <c r="D476" t="s">
        <v>23</v>
      </c>
      <c r="E476" t="s">
        <v>22</v>
      </c>
      <c r="F476" t="s">
        <v>23</v>
      </c>
      <c r="G476" t="s">
        <v>1242</v>
      </c>
      <c r="H476" t="s">
        <v>1243</v>
      </c>
      <c r="I476" t="s">
        <v>1353</v>
      </c>
      <c r="J476">
        <v>0</v>
      </c>
      <c r="K476" t="s">
        <v>1354</v>
      </c>
      <c r="L476" t="s">
        <v>28</v>
      </c>
      <c r="M476">
        <v>1.46</v>
      </c>
      <c r="N476" t="s">
        <v>160</v>
      </c>
      <c r="O476">
        <v>95</v>
      </c>
      <c r="P476">
        <f t="shared" si="36"/>
        <v>138.69999999999999</v>
      </c>
      <c r="Q476" t="s">
        <v>30</v>
      </c>
      <c r="R476">
        <v>46164</v>
      </c>
      <c r="S476">
        <v>401768</v>
      </c>
      <c r="U476">
        <f t="shared" si="37"/>
        <v>0</v>
      </c>
    </row>
    <row r="477" spans="1:21" ht="15.75" x14ac:dyDescent="0.25">
      <c r="A477" t="s">
        <v>1355</v>
      </c>
      <c r="B477">
        <v>45744</v>
      </c>
      <c r="C477" t="s">
        <v>22</v>
      </c>
      <c r="D477" t="s">
        <v>23</v>
      </c>
      <c r="E477" t="s">
        <v>22</v>
      </c>
      <c r="F477" t="s">
        <v>23</v>
      </c>
      <c r="G477" t="s">
        <v>1242</v>
      </c>
      <c r="H477" t="s">
        <v>1243</v>
      </c>
      <c r="I477" t="s">
        <v>1356</v>
      </c>
      <c r="J477">
        <v>0</v>
      </c>
      <c r="K477" t="s">
        <v>1357</v>
      </c>
      <c r="L477" t="s">
        <v>28</v>
      </c>
      <c r="M477">
        <v>2.96</v>
      </c>
      <c r="N477" t="s">
        <v>160</v>
      </c>
      <c r="O477">
        <v>95</v>
      </c>
      <c r="P477">
        <f t="shared" si="36"/>
        <v>281.2</v>
      </c>
      <c r="Q477" t="s">
        <v>30</v>
      </c>
      <c r="R477">
        <v>46164</v>
      </c>
      <c r="S477">
        <v>401768</v>
      </c>
      <c r="U477">
        <f t="shared" si="37"/>
        <v>0</v>
      </c>
    </row>
    <row r="478" spans="1:21" ht="15.75" x14ac:dyDescent="0.25">
      <c r="A478" t="s">
        <v>1358</v>
      </c>
      <c r="B478">
        <v>45744</v>
      </c>
      <c r="C478" t="s">
        <v>22</v>
      </c>
      <c r="D478" t="s">
        <v>23</v>
      </c>
      <c r="E478" t="s">
        <v>22</v>
      </c>
      <c r="F478" t="s">
        <v>23</v>
      </c>
      <c r="G478" t="s">
        <v>1242</v>
      </c>
      <c r="H478" t="s">
        <v>1243</v>
      </c>
      <c r="I478" t="s">
        <v>1359</v>
      </c>
      <c r="J478">
        <v>0</v>
      </c>
      <c r="K478" t="s">
        <v>1360</v>
      </c>
      <c r="L478" t="s">
        <v>28</v>
      </c>
      <c r="M478">
        <v>2.4</v>
      </c>
      <c r="N478" t="s">
        <v>160</v>
      </c>
      <c r="O478">
        <v>95</v>
      </c>
      <c r="P478">
        <f t="shared" si="36"/>
        <v>228</v>
      </c>
      <c r="Q478" t="s">
        <v>30</v>
      </c>
      <c r="R478">
        <v>46164</v>
      </c>
      <c r="S478">
        <v>401768</v>
      </c>
      <c r="U478">
        <f t="shared" si="37"/>
        <v>0</v>
      </c>
    </row>
    <row r="479" spans="1:21" ht="15.75" x14ac:dyDescent="0.25">
      <c r="A479" t="s">
        <v>1361</v>
      </c>
      <c r="B479">
        <v>43959</v>
      </c>
      <c r="C479" t="s">
        <v>22</v>
      </c>
      <c r="D479" t="s">
        <v>23</v>
      </c>
      <c r="E479" t="s">
        <v>22</v>
      </c>
      <c r="F479" t="s">
        <v>23</v>
      </c>
      <c r="G479" t="s">
        <v>1362</v>
      </c>
      <c r="H479" t="s">
        <v>1363</v>
      </c>
      <c r="I479" t="s">
        <v>762</v>
      </c>
      <c r="J479">
        <v>0</v>
      </c>
      <c r="K479" t="s">
        <v>763</v>
      </c>
      <c r="L479" t="s">
        <v>28</v>
      </c>
      <c r="M479">
        <v>7</v>
      </c>
      <c r="N479" t="s">
        <v>160</v>
      </c>
      <c r="O479">
        <v>95</v>
      </c>
      <c r="P479">
        <f t="shared" si="36"/>
        <v>665</v>
      </c>
      <c r="Q479" t="s">
        <v>30</v>
      </c>
      <c r="R479">
        <v>43840</v>
      </c>
      <c r="S479">
        <v>401768</v>
      </c>
      <c r="U479">
        <f t="shared" si="37"/>
        <v>0</v>
      </c>
    </row>
    <row r="480" spans="1:21" ht="15.75" x14ac:dyDescent="0.25">
      <c r="A480" t="s">
        <v>1364</v>
      </c>
      <c r="B480">
        <v>43959</v>
      </c>
      <c r="C480" t="s">
        <v>22</v>
      </c>
      <c r="D480" t="s">
        <v>23</v>
      </c>
      <c r="E480" t="s">
        <v>22</v>
      </c>
      <c r="F480" t="s">
        <v>23</v>
      </c>
      <c r="G480" t="s">
        <v>1365</v>
      </c>
      <c r="H480" t="s">
        <v>1366</v>
      </c>
      <c r="I480" t="s">
        <v>1367</v>
      </c>
      <c r="J480">
        <v>0</v>
      </c>
      <c r="K480" t="s">
        <v>1368</v>
      </c>
      <c r="L480" t="s">
        <v>28</v>
      </c>
      <c r="M480">
        <v>37.32</v>
      </c>
      <c r="N480" t="s">
        <v>29</v>
      </c>
      <c r="O480">
        <f>M480</f>
        <v>37.32</v>
      </c>
      <c r="P480">
        <f>O480</f>
        <v>37.32</v>
      </c>
      <c r="Q480" t="s">
        <v>30</v>
      </c>
      <c r="R480">
        <v>42917</v>
      </c>
      <c r="S480">
        <v>401768</v>
      </c>
      <c r="U480">
        <f t="shared" si="37"/>
        <v>0</v>
      </c>
    </row>
    <row r="481" spans="1:21" ht="15.75" x14ac:dyDescent="0.25">
      <c r="A481" t="s">
        <v>1369</v>
      </c>
      <c r="B481">
        <v>43959</v>
      </c>
      <c r="C481" t="s">
        <v>22</v>
      </c>
      <c r="D481" t="s">
        <v>23</v>
      </c>
      <c r="E481" t="s">
        <v>22</v>
      </c>
      <c r="F481" t="s">
        <v>23</v>
      </c>
      <c r="G481" t="s">
        <v>1365</v>
      </c>
      <c r="H481" t="s">
        <v>1366</v>
      </c>
      <c r="I481" t="s">
        <v>1370</v>
      </c>
      <c r="J481">
        <v>0</v>
      </c>
      <c r="K481" t="s">
        <v>1371</v>
      </c>
      <c r="L481" t="s">
        <v>28</v>
      </c>
      <c r="M481">
        <v>37.32</v>
      </c>
      <c r="N481" t="s">
        <v>29</v>
      </c>
      <c r="O481">
        <f>M481</f>
        <v>37.32</v>
      </c>
      <c r="P481">
        <f>O481</f>
        <v>37.32</v>
      </c>
      <c r="Q481" t="s">
        <v>30</v>
      </c>
      <c r="R481">
        <v>42917</v>
      </c>
      <c r="S481">
        <v>401768</v>
      </c>
      <c r="U481">
        <f t="shared" si="37"/>
        <v>0</v>
      </c>
    </row>
    <row r="482" spans="1:21" ht="15.75" x14ac:dyDescent="0.25">
      <c r="A482" t="s">
        <v>1372</v>
      </c>
      <c r="B482">
        <v>45229</v>
      </c>
      <c r="C482" t="s">
        <v>22</v>
      </c>
      <c r="D482" t="s">
        <v>23</v>
      </c>
      <c r="E482" t="s">
        <v>22</v>
      </c>
      <c r="F482" t="s">
        <v>23</v>
      </c>
      <c r="G482" t="s">
        <v>1365</v>
      </c>
      <c r="H482" t="s">
        <v>1366</v>
      </c>
      <c r="I482" t="s">
        <v>1373</v>
      </c>
      <c r="J482">
        <v>0</v>
      </c>
      <c r="K482" t="s">
        <v>1374</v>
      </c>
      <c r="L482" t="s">
        <v>28</v>
      </c>
      <c r="M482">
        <v>69.790000000000006</v>
      </c>
      <c r="N482" t="s">
        <v>29</v>
      </c>
      <c r="O482">
        <f>M482</f>
        <v>69.790000000000006</v>
      </c>
      <c r="P482">
        <f>O482</f>
        <v>69.790000000000006</v>
      </c>
      <c r="Q482" t="s">
        <v>30</v>
      </c>
      <c r="R482">
        <v>46123</v>
      </c>
      <c r="S482">
        <v>401768</v>
      </c>
      <c r="T482">
        <v>50000</v>
      </c>
      <c r="U482">
        <f t="shared" si="37"/>
        <v>34.895000000000003</v>
      </c>
    </row>
    <row r="483" spans="1:21" ht="15.75" x14ac:dyDescent="0.25">
      <c r="A483" t="s">
        <v>1375</v>
      </c>
      <c r="B483">
        <v>43959</v>
      </c>
      <c r="C483" t="s">
        <v>22</v>
      </c>
      <c r="D483" t="s">
        <v>23</v>
      </c>
      <c r="E483" t="s">
        <v>30</v>
      </c>
      <c r="F483" t="s">
        <v>30</v>
      </c>
      <c r="G483" t="s">
        <v>1376</v>
      </c>
      <c r="H483" t="s">
        <v>1377</v>
      </c>
      <c r="I483" t="s">
        <v>1378</v>
      </c>
      <c r="J483">
        <v>0</v>
      </c>
      <c r="K483" t="s">
        <v>1379</v>
      </c>
      <c r="L483" t="s">
        <v>28</v>
      </c>
      <c r="M483">
        <v>2.2400000000000002</v>
      </c>
      <c r="N483" t="s">
        <v>151</v>
      </c>
      <c r="O483">
        <v>110</v>
      </c>
      <c r="P483">
        <f t="shared" ref="P483:P489" si="38">O483*M483</f>
        <v>246.40000000000003</v>
      </c>
      <c r="Q483" t="s">
        <v>30</v>
      </c>
      <c r="R483">
        <v>41387</v>
      </c>
      <c r="S483">
        <v>401768</v>
      </c>
      <c r="U483">
        <f t="shared" si="37"/>
        <v>0</v>
      </c>
    </row>
    <row r="484" spans="1:21" ht="15.75" x14ac:dyDescent="0.25">
      <c r="A484" t="s">
        <v>1380</v>
      </c>
      <c r="B484">
        <v>43959</v>
      </c>
      <c r="C484" t="s">
        <v>22</v>
      </c>
      <c r="D484" t="s">
        <v>23</v>
      </c>
      <c r="E484" t="s">
        <v>30</v>
      </c>
      <c r="F484" t="s">
        <v>30</v>
      </c>
      <c r="G484" t="s">
        <v>1376</v>
      </c>
      <c r="H484" t="s">
        <v>1377</v>
      </c>
      <c r="I484" t="s">
        <v>1381</v>
      </c>
      <c r="J484">
        <v>0</v>
      </c>
      <c r="K484" t="s">
        <v>1382</v>
      </c>
      <c r="L484" t="s">
        <v>28</v>
      </c>
      <c r="M484">
        <v>3.66</v>
      </c>
      <c r="N484" t="s">
        <v>151</v>
      </c>
      <c r="O484">
        <v>110</v>
      </c>
      <c r="P484">
        <f t="shared" si="38"/>
        <v>402.6</v>
      </c>
      <c r="Q484" t="s">
        <v>30</v>
      </c>
      <c r="R484">
        <v>41387</v>
      </c>
      <c r="S484">
        <v>401768</v>
      </c>
      <c r="U484">
        <f t="shared" si="37"/>
        <v>0</v>
      </c>
    </row>
    <row r="485" spans="1:21" ht="15.75" x14ac:dyDescent="0.25">
      <c r="A485" t="s">
        <v>1383</v>
      </c>
      <c r="B485">
        <v>43959</v>
      </c>
      <c r="C485" t="s">
        <v>22</v>
      </c>
      <c r="D485" t="s">
        <v>23</v>
      </c>
      <c r="E485" t="s">
        <v>30</v>
      </c>
      <c r="F485" t="s">
        <v>30</v>
      </c>
      <c r="G485" t="s">
        <v>1376</v>
      </c>
      <c r="H485" t="s">
        <v>1377</v>
      </c>
      <c r="I485" t="s">
        <v>1384</v>
      </c>
      <c r="J485">
        <v>0</v>
      </c>
      <c r="K485" t="s">
        <v>1385</v>
      </c>
      <c r="L485" t="s">
        <v>28</v>
      </c>
      <c r="M485">
        <v>2.2400000000000002</v>
      </c>
      <c r="N485" t="s">
        <v>151</v>
      </c>
      <c r="O485">
        <v>110</v>
      </c>
      <c r="P485">
        <f t="shared" si="38"/>
        <v>246.40000000000003</v>
      </c>
      <c r="Q485" t="s">
        <v>30</v>
      </c>
      <c r="R485">
        <v>41387</v>
      </c>
      <c r="S485">
        <v>401768</v>
      </c>
      <c r="U485">
        <f t="shared" si="37"/>
        <v>0</v>
      </c>
    </row>
    <row r="486" spans="1:21" ht="15.75" x14ac:dyDescent="0.25">
      <c r="A486" t="s">
        <v>1386</v>
      </c>
      <c r="B486">
        <v>43959</v>
      </c>
      <c r="C486" t="s">
        <v>22</v>
      </c>
      <c r="D486" t="s">
        <v>23</v>
      </c>
      <c r="E486" t="s">
        <v>30</v>
      </c>
      <c r="F486" t="s">
        <v>30</v>
      </c>
      <c r="G486" t="s">
        <v>1376</v>
      </c>
      <c r="H486" t="s">
        <v>1377</v>
      </c>
      <c r="I486" t="s">
        <v>1387</v>
      </c>
      <c r="J486">
        <v>0</v>
      </c>
      <c r="K486" t="s">
        <v>1388</v>
      </c>
      <c r="L486" t="s">
        <v>28</v>
      </c>
      <c r="M486">
        <v>3.66</v>
      </c>
      <c r="N486" t="s">
        <v>151</v>
      </c>
      <c r="O486">
        <v>110</v>
      </c>
      <c r="P486">
        <f t="shared" si="38"/>
        <v>402.6</v>
      </c>
      <c r="Q486" t="s">
        <v>30</v>
      </c>
      <c r="R486">
        <v>41387</v>
      </c>
      <c r="S486">
        <v>401768</v>
      </c>
      <c r="U486">
        <f t="shared" si="37"/>
        <v>0</v>
      </c>
    </row>
    <row r="487" spans="1:21" ht="15.75" x14ac:dyDescent="0.25">
      <c r="A487" t="s">
        <v>1389</v>
      </c>
      <c r="B487">
        <v>43959</v>
      </c>
      <c r="C487" t="s">
        <v>22</v>
      </c>
      <c r="D487" t="s">
        <v>23</v>
      </c>
      <c r="E487" t="s">
        <v>22</v>
      </c>
      <c r="F487" t="s">
        <v>23</v>
      </c>
      <c r="G487" t="s">
        <v>1390</v>
      </c>
      <c r="H487" t="s">
        <v>1391</v>
      </c>
      <c r="I487" t="s">
        <v>762</v>
      </c>
      <c r="J487">
        <v>0</v>
      </c>
      <c r="K487" t="s">
        <v>763</v>
      </c>
      <c r="L487" t="s">
        <v>28</v>
      </c>
      <c r="M487">
        <v>5</v>
      </c>
      <c r="N487" t="s">
        <v>160</v>
      </c>
      <c r="O487">
        <v>95</v>
      </c>
      <c r="P487">
        <f t="shared" si="38"/>
        <v>475</v>
      </c>
      <c r="Q487" t="s">
        <v>30</v>
      </c>
      <c r="R487">
        <v>43822</v>
      </c>
      <c r="S487">
        <v>401768</v>
      </c>
      <c r="T487">
        <v>1500</v>
      </c>
      <c r="U487">
        <f t="shared" si="37"/>
        <v>7.125</v>
      </c>
    </row>
    <row r="488" spans="1:21" ht="15.75" x14ac:dyDescent="0.25">
      <c r="A488" t="s">
        <v>1392</v>
      </c>
      <c r="B488">
        <v>43959</v>
      </c>
      <c r="C488" t="s">
        <v>22</v>
      </c>
      <c r="D488" t="s">
        <v>23</v>
      </c>
      <c r="E488" t="s">
        <v>22</v>
      </c>
      <c r="F488" t="s">
        <v>23</v>
      </c>
      <c r="G488" t="s">
        <v>1390</v>
      </c>
      <c r="H488" t="s">
        <v>1391</v>
      </c>
      <c r="I488" t="s">
        <v>1393</v>
      </c>
      <c r="J488">
        <v>0</v>
      </c>
      <c r="K488" t="s">
        <v>1394</v>
      </c>
      <c r="L488" t="s">
        <v>28</v>
      </c>
      <c r="M488">
        <v>34.01</v>
      </c>
      <c r="N488" t="s">
        <v>160</v>
      </c>
      <c r="O488">
        <v>95</v>
      </c>
      <c r="P488">
        <f t="shared" si="38"/>
        <v>3230.95</v>
      </c>
      <c r="Q488" t="s">
        <v>30</v>
      </c>
      <c r="R488">
        <v>45541</v>
      </c>
      <c r="S488">
        <v>401768</v>
      </c>
      <c r="U488">
        <f t="shared" si="37"/>
        <v>0</v>
      </c>
    </row>
    <row r="489" spans="1:21" ht="15.75" x14ac:dyDescent="0.25">
      <c r="A489" t="s">
        <v>1395</v>
      </c>
      <c r="B489">
        <v>43959</v>
      </c>
      <c r="C489" t="s">
        <v>22</v>
      </c>
      <c r="D489" t="s">
        <v>23</v>
      </c>
      <c r="E489" t="s">
        <v>22</v>
      </c>
      <c r="F489" t="s">
        <v>23</v>
      </c>
      <c r="G489" t="s">
        <v>1390</v>
      </c>
      <c r="H489" t="s">
        <v>1391</v>
      </c>
      <c r="I489" t="s">
        <v>1396</v>
      </c>
      <c r="J489">
        <v>0</v>
      </c>
      <c r="K489" t="s">
        <v>1397</v>
      </c>
      <c r="L489" t="s">
        <v>28</v>
      </c>
      <c r="M489">
        <v>33.01</v>
      </c>
      <c r="N489" t="s">
        <v>160</v>
      </c>
      <c r="O489">
        <v>95</v>
      </c>
      <c r="P489">
        <f t="shared" si="38"/>
        <v>3135.95</v>
      </c>
      <c r="Q489" t="s">
        <v>30</v>
      </c>
      <c r="R489">
        <v>45563</v>
      </c>
      <c r="S489">
        <v>401768</v>
      </c>
      <c r="T489">
        <v>300</v>
      </c>
      <c r="U489">
        <f t="shared" si="37"/>
        <v>9.4078499999999998</v>
      </c>
    </row>
    <row r="490" spans="1:21" ht="15.75" x14ac:dyDescent="0.25">
      <c r="A490" t="s">
        <v>1398</v>
      </c>
      <c r="B490">
        <v>43959</v>
      </c>
      <c r="C490" t="s">
        <v>22</v>
      </c>
      <c r="D490" t="s">
        <v>23</v>
      </c>
      <c r="E490" t="s">
        <v>22</v>
      </c>
      <c r="F490" t="s">
        <v>23</v>
      </c>
      <c r="G490" t="s">
        <v>1399</v>
      </c>
      <c r="H490" t="s">
        <v>1400</v>
      </c>
      <c r="I490" t="s">
        <v>1401</v>
      </c>
      <c r="J490">
        <v>0</v>
      </c>
      <c r="K490" t="s">
        <v>1402</v>
      </c>
      <c r="L490" t="s">
        <v>28</v>
      </c>
      <c r="M490">
        <v>39.159999999999997</v>
      </c>
      <c r="N490" t="s">
        <v>29</v>
      </c>
      <c r="O490">
        <f t="shared" ref="O490:O519" si="39">M490</f>
        <v>39.159999999999997</v>
      </c>
      <c r="P490">
        <f t="shared" ref="P490:P519" si="40">O490</f>
        <v>39.159999999999997</v>
      </c>
      <c r="Q490" t="s">
        <v>30</v>
      </c>
      <c r="R490">
        <v>43020</v>
      </c>
      <c r="S490">
        <v>401768</v>
      </c>
      <c r="U490">
        <f t="shared" si="37"/>
        <v>0</v>
      </c>
    </row>
    <row r="491" spans="1:21" ht="15.75" x14ac:dyDescent="0.25">
      <c r="A491" t="s">
        <v>1403</v>
      </c>
      <c r="B491">
        <v>43959</v>
      </c>
      <c r="C491" t="s">
        <v>22</v>
      </c>
      <c r="D491" t="s">
        <v>23</v>
      </c>
      <c r="E491" t="s">
        <v>30</v>
      </c>
      <c r="F491" t="s">
        <v>30</v>
      </c>
      <c r="G491" t="s">
        <v>1399</v>
      </c>
      <c r="H491" t="s">
        <v>1400</v>
      </c>
      <c r="I491" t="s">
        <v>1404</v>
      </c>
      <c r="J491">
        <v>0</v>
      </c>
      <c r="K491" t="s">
        <v>30</v>
      </c>
      <c r="L491" t="s">
        <v>28</v>
      </c>
      <c r="M491">
        <v>40.840000000000003</v>
      </c>
      <c r="N491" t="s">
        <v>29</v>
      </c>
      <c r="O491">
        <f t="shared" si="39"/>
        <v>40.840000000000003</v>
      </c>
      <c r="P491">
        <f t="shared" si="40"/>
        <v>40.840000000000003</v>
      </c>
      <c r="Q491" t="s">
        <v>30</v>
      </c>
      <c r="R491">
        <v>43049</v>
      </c>
      <c r="S491">
        <v>401768</v>
      </c>
      <c r="U491">
        <f t="shared" si="37"/>
        <v>0</v>
      </c>
    </row>
    <row r="492" spans="1:21" ht="15.75" x14ac:dyDescent="0.25">
      <c r="A492" t="s">
        <v>1405</v>
      </c>
      <c r="B492">
        <v>43959</v>
      </c>
      <c r="C492" t="s">
        <v>22</v>
      </c>
      <c r="D492" t="s">
        <v>23</v>
      </c>
      <c r="E492" t="s">
        <v>22</v>
      </c>
      <c r="F492" t="s">
        <v>23</v>
      </c>
      <c r="G492" t="s">
        <v>1399</v>
      </c>
      <c r="H492" t="s">
        <v>1400</v>
      </c>
      <c r="I492" t="s">
        <v>1406</v>
      </c>
      <c r="J492">
        <v>0</v>
      </c>
      <c r="K492" t="s">
        <v>1407</v>
      </c>
      <c r="L492" t="s">
        <v>28</v>
      </c>
      <c r="M492">
        <v>42.54</v>
      </c>
      <c r="N492" t="s">
        <v>29</v>
      </c>
      <c r="O492">
        <f t="shared" si="39"/>
        <v>42.54</v>
      </c>
      <c r="P492">
        <f t="shared" si="40"/>
        <v>42.54</v>
      </c>
      <c r="Q492" t="s">
        <v>30</v>
      </c>
      <c r="R492">
        <v>43049</v>
      </c>
      <c r="S492">
        <v>401768</v>
      </c>
      <c r="U492">
        <f t="shared" si="37"/>
        <v>0</v>
      </c>
    </row>
    <row r="493" spans="1:21" ht="15.75" x14ac:dyDescent="0.25">
      <c r="A493" t="s">
        <v>1408</v>
      </c>
      <c r="B493">
        <v>43959</v>
      </c>
      <c r="C493" t="s">
        <v>22</v>
      </c>
      <c r="D493" t="s">
        <v>23</v>
      </c>
      <c r="E493" t="s">
        <v>22</v>
      </c>
      <c r="F493" t="s">
        <v>23</v>
      </c>
      <c r="G493" t="s">
        <v>1399</v>
      </c>
      <c r="H493" t="s">
        <v>1400</v>
      </c>
      <c r="I493" t="s">
        <v>1409</v>
      </c>
      <c r="J493">
        <v>0</v>
      </c>
      <c r="K493" t="s">
        <v>1410</v>
      </c>
      <c r="L493" t="s">
        <v>28</v>
      </c>
      <c r="M493">
        <v>24.38</v>
      </c>
      <c r="N493" t="s">
        <v>29</v>
      </c>
      <c r="O493">
        <f t="shared" si="39"/>
        <v>24.38</v>
      </c>
      <c r="P493">
        <f t="shared" si="40"/>
        <v>24.38</v>
      </c>
      <c r="Q493" t="s">
        <v>30</v>
      </c>
      <c r="R493">
        <v>43227</v>
      </c>
      <c r="S493">
        <v>401768</v>
      </c>
      <c r="U493">
        <f t="shared" si="37"/>
        <v>0</v>
      </c>
    </row>
    <row r="494" spans="1:21" ht="15.75" x14ac:dyDescent="0.25">
      <c r="A494" t="s">
        <v>1411</v>
      </c>
      <c r="B494">
        <v>43959</v>
      </c>
      <c r="C494" t="s">
        <v>22</v>
      </c>
      <c r="D494" t="s">
        <v>23</v>
      </c>
      <c r="E494" t="s">
        <v>22</v>
      </c>
      <c r="F494" t="s">
        <v>23</v>
      </c>
      <c r="G494" t="s">
        <v>1399</v>
      </c>
      <c r="H494" t="s">
        <v>1400</v>
      </c>
      <c r="I494" t="s">
        <v>1412</v>
      </c>
      <c r="J494">
        <v>0</v>
      </c>
      <c r="K494" t="s">
        <v>1413</v>
      </c>
      <c r="L494" t="s">
        <v>28</v>
      </c>
      <c r="M494">
        <v>21.98</v>
      </c>
      <c r="N494" t="s">
        <v>29</v>
      </c>
      <c r="O494">
        <f t="shared" si="39"/>
        <v>21.98</v>
      </c>
      <c r="P494">
        <f t="shared" si="40"/>
        <v>21.98</v>
      </c>
      <c r="Q494" t="s">
        <v>30</v>
      </c>
      <c r="R494">
        <v>43390</v>
      </c>
      <c r="S494">
        <v>401768</v>
      </c>
      <c r="U494">
        <f t="shared" si="37"/>
        <v>0</v>
      </c>
    </row>
    <row r="495" spans="1:21" ht="15.75" x14ac:dyDescent="0.25">
      <c r="A495" t="s">
        <v>1414</v>
      </c>
      <c r="B495">
        <v>43959</v>
      </c>
      <c r="C495" t="s">
        <v>22</v>
      </c>
      <c r="D495" t="s">
        <v>23</v>
      </c>
      <c r="E495" t="s">
        <v>22</v>
      </c>
      <c r="F495" t="s">
        <v>23</v>
      </c>
      <c r="G495" t="s">
        <v>1399</v>
      </c>
      <c r="H495" t="s">
        <v>1400</v>
      </c>
      <c r="I495" t="s">
        <v>1415</v>
      </c>
      <c r="J495">
        <v>0</v>
      </c>
      <c r="K495" t="s">
        <v>1416</v>
      </c>
      <c r="L495" t="s">
        <v>28</v>
      </c>
      <c r="M495">
        <v>69.91</v>
      </c>
      <c r="N495" t="s">
        <v>29</v>
      </c>
      <c r="O495">
        <f t="shared" si="39"/>
        <v>69.91</v>
      </c>
      <c r="P495">
        <f t="shared" si="40"/>
        <v>69.91</v>
      </c>
      <c r="Q495" t="s">
        <v>30</v>
      </c>
      <c r="R495">
        <v>42986</v>
      </c>
      <c r="S495">
        <v>401768</v>
      </c>
      <c r="U495">
        <f t="shared" si="37"/>
        <v>0</v>
      </c>
    </row>
    <row r="496" spans="1:21" ht="15.75" x14ac:dyDescent="0.25">
      <c r="A496" t="s">
        <v>1417</v>
      </c>
      <c r="B496">
        <v>43959</v>
      </c>
      <c r="C496" t="s">
        <v>22</v>
      </c>
      <c r="D496" t="s">
        <v>23</v>
      </c>
      <c r="E496" t="s">
        <v>30</v>
      </c>
      <c r="F496" t="s">
        <v>30</v>
      </c>
      <c r="G496" t="s">
        <v>1399</v>
      </c>
      <c r="H496" t="s">
        <v>1400</v>
      </c>
      <c r="I496" t="s">
        <v>1418</v>
      </c>
      <c r="J496">
        <v>0</v>
      </c>
      <c r="K496" t="s">
        <v>30</v>
      </c>
      <c r="L496" t="s">
        <v>28</v>
      </c>
      <c r="M496">
        <v>61</v>
      </c>
      <c r="N496" t="s">
        <v>29</v>
      </c>
      <c r="O496">
        <f t="shared" si="39"/>
        <v>61</v>
      </c>
      <c r="P496">
        <f t="shared" si="40"/>
        <v>61</v>
      </c>
      <c r="Q496" t="s">
        <v>30</v>
      </c>
      <c r="R496">
        <v>43049</v>
      </c>
      <c r="S496">
        <v>401768</v>
      </c>
      <c r="U496">
        <f t="shared" si="37"/>
        <v>0</v>
      </c>
    </row>
    <row r="497" spans="1:21" ht="15.75" x14ac:dyDescent="0.25">
      <c r="A497" t="s">
        <v>1419</v>
      </c>
      <c r="B497">
        <v>43959</v>
      </c>
      <c r="C497" t="s">
        <v>22</v>
      </c>
      <c r="D497" t="s">
        <v>23</v>
      </c>
      <c r="E497" t="s">
        <v>22</v>
      </c>
      <c r="F497" t="s">
        <v>23</v>
      </c>
      <c r="G497" t="s">
        <v>1399</v>
      </c>
      <c r="H497" t="s">
        <v>1400</v>
      </c>
      <c r="I497" t="s">
        <v>1420</v>
      </c>
      <c r="J497">
        <v>0</v>
      </c>
      <c r="K497" t="s">
        <v>1421</v>
      </c>
      <c r="L497" t="s">
        <v>28</v>
      </c>
      <c r="M497">
        <v>75.510000000000005</v>
      </c>
      <c r="N497" t="s">
        <v>29</v>
      </c>
      <c r="O497">
        <f t="shared" si="39"/>
        <v>75.510000000000005</v>
      </c>
      <c r="P497">
        <f t="shared" si="40"/>
        <v>75.510000000000005</v>
      </c>
      <c r="Q497" t="s">
        <v>30</v>
      </c>
      <c r="R497">
        <v>43312</v>
      </c>
      <c r="S497">
        <v>401768</v>
      </c>
      <c r="U497">
        <f t="shared" si="37"/>
        <v>0</v>
      </c>
    </row>
    <row r="498" spans="1:21" ht="15.75" x14ac:dyDescent="0.25">
      <c r="A498" t="s">
        <v>1422</v>
      </c>
      <c r="B498">
        <v>43959</v>
      </c>
      <c r="C498" t="s">
        <v>22</v>
      </c>
      <c r="D498" t="s">
        <v>23</v>
      </c>
      <c r="E498" t="s">
        <v>22</v>
      </c>
      <c r="F498" t="s">
        <v>23</v>
      </c>
      <c r="G498" t="s">
        <v>1399</v>
      </c>
      <c r="H498" t="s">
        <v>1400</v>
      </c>
      <c r="I498" t="s">
        <v>1423</v>
      </c>
      <c r="J498">
        <v>0</v>
      </c>
      <c r="K498" t="s">
        <v>1424</v>
      </c>
      <c r="L498" t="s">
        <v>28</v>
      </c>
      <c r="M498">
        <v>70.05</v>
      </c>
      <c r="N498" t="s">
        <v>29</v>
      </c>
      <c r="O498">
        <f t="shared" si="39"/>
        <v>70.05</v>
      </c>
      <c r="P498">
        <f t="shared" si="40"/>
        <v>70.05</v>
      </c>
      <c r="Q498" t="s">
        <v>30</v>
      </c>
      <c r="R498">
        <v>45528</v>
      </c>
      <c r="S498">
        <v>401768</v>
      </c>
      <c r="U498">
        <f t="shared" si="37"/>
        <v>0</v>
      </c>
    </row>
    <row r="499" spans="1:21" ht="15.75" x14ac:dyDescent="0.25">
      <c r="A499" t="s">
        <v>1425</v>
      </c>
      <c r="B499">
        <v>43959</v>
      </c>
      <c r="C499" t="s">
        <v>22</v>
      </c>
      <c r="D499" t="s">
        <v>23</v>
      </c>
      <c r="E499" t="s">
        <v>30</v>
      </c>
      <c r="F499" t="s">
        <v>30</v>
      </c>
      <c r="G499" t="s">
        <v>1399</v>
      </c>
      <c r="H499" t="s">
        <v>1400</v>
      </c>
      <c r="I499" t="s">
        <v>1426</v>
      </c>
      <c r="J499">
        <v>0</v>
      </c>
      <c r="K499" t="s">
        <v>30</v>
      </c>
      <c r="L499" t="s">
        <v>28</v>
      </c>
      <c r="M499">
        <v>80.040000000000006</v>
      </c>
      <c r="N499" t="s">
        <v>29</v>
      </c>
      <c r="O499">
        <f t="shared" si="39"/>
        <v>80.040000000000006</v>
      </c>
      <c r="P499">
        <f t="shared" si="40"/>
        <v>80.040000000000006</v>
      </c>
      <c r="Q499" t="s">
        <v>30</v>
      </c>
      <c r="R499">
        <v>43049</v>
      </c>
      <c r="S499">
        <v>401768</v>
      </c>
      <c r="U499">
        <f t="shared" si="37"/>
        <v>0</v>
      </c>
    </row>
    <row r="500" spans="1:21" ht="15.75" x14ac:dyDescent="0.25">
      <c r="A500" t="s">
        <v>1427</v>
      </c>
      <c r="B500">
        <v>43959</v>
      </c>
      <c r="C500" t="s">
        <v>22</v>
      </c>
      <c r="D500" t="s">
        <v>23</v>
      </c>
      <c r="E500" t="s">
        <v>22</v>
      </c>
      <c r="F500" t="s">
        <v>23</v>
      </c>
      <c r="G500" t="s">
        <v>1399</v>
      </c>
      <c r="H500" t="s">
        <v>1400</v>
      </c>
      <c r="I500" t="s">
        <v>1428</v>
      </c>
      <c r="J500">
        <v>0</v>
      </c>
      <c r="K500" t="s">
        <v>1429</v>
      </c>
      <c r="L500" t="s">
        <v>28</v>
      </c>
      <c r="M500">
        <v>4000</v>
      </c>
      <c r="N500" t="s">
        <v>29</v>
      </c>
      <c r="O500">
        <f t="shared" si="39"/>
        <v>4000</v>
      </c>
      <c r="P500">
        <f t="shared" si="40"/>
        <v>4000</v>
      </c>
      <c r="Q500" t="s">
        <v>30</v>
      </c>
      <c r="R500">
        <v>41716</v>
      </c>
      <c r="S500">
        <v>401768</v>
      </c>
      <c r="U500">
        <f t="shared" si="37"/>
        <v>0</v>
      </c>
    </row>
    <row r="501" spans="1:21" ht="15.75" x14ac:dyDescent="0.25">
      <c r="A501" t="s">
        <v>1430</v>
      </c>
      <c r="B501">
        <v>43959</v>
      </c>
      <c r="C501" t="s">
        <v>22</v>
      </c>
      <c r="D501" t="s">
        <v>23</v>
      </c>
      <c r="E501" t="s">
        <v>22</v>
      </c>
      <c r="F501" t="s">
        <v>23</v>
      </c>
      <c r="G501" t="s">
        <v>1399</v>
      </c>
      <c r="H501" t="s">
        <v>1400</v>
      </c>
      <c r="I501" t="s">
        <v>1431</v>
      </c>
      <c r="J501">
        <v>0</v>
      </c>
      <c r="K501" t="s">
        <v>1432</v>
      </c>
      <c r="L501" t="s">
        <v>28</v>
      </c>
      <c r="M501">
        <v>40000</v>
      </c>
      <c r="N501" t="s">
        <v>29</v>
      </c>
      <c r="O501">
        <f t="shared" si="39"/>
        <v>40000</v>
      </c>
      <c r="P501">
        <f t="shared" si="40"/>
        <v>40000</v>
      </c>
      <c r="Q501" t="s">
        <v>30</v>
      </c>
      <c r="R501">
        <v>41705</v>
      </c>
      <c r="S501">
        <v>401768</v>
      </c>
      <c r="U501">
        <f t="shared" si="37"/>
        <v>0</v>
      </c>
    </row>
    <row r="502" spans="1:21" ht="15.75" x14ac:dyDescent="0.25">
      <c r="A502" t="s">
        <v>1433</v>
      </c>
      <c r="B502">
        <v>43959</v>
      </c>
      <c r="C502" t="s">
        <v>22</v>
      </c>
      <c r="D502" t="s">
        <v>23</v>
      </c>
      <c r="E502" t="s">
        <v>30</v>
      </c>
      <c r="F502" t="s">
        <v>30</v>
      </c>
      <c r="G502" t="s">
        <v>1399</v>
      </c>
      <c r="H502" t="s">
        <v>1400</v>
      </c>
      <c r="I502" t="s">
        <v>1434</v>
      </c>
      <c r="J502">
        <v>0</v>
      </c>
      <c r="K502" t="s">
        <v>1435</v>
      </c>
      <c r="L502" t="s">
        <v>28</v>
      </c>
      <c r="M502">
        <v>45.7</v>
      </c>
      <c r="N502" t="s">
        <v>29</v>
      </c>
      <c r="O502">
        <f t="shared" si="39"/>
        <v>45.7</v>
      </c>
      <c r="P502">
        <f t="shared" si="40"/>
        <v>45.7</v>
      </c>
      <c r="Q502" t="s">
        <v>30</v>
      </c>
      <c r="R502">
        <v>41704</v>
      </c>
      <c r="S502">
        <v>401768</v>
      </c>
      <c r="U502">
        <f t="shared" si="37"/>
        <v>0</v>
      </c>
    </row>
    <row r="503" spans="1:21" ht="15.75" x14ac:dyDescent="0.25">
      <c r="A503" t="s">
        <v>1436</v>
      </c>
      <c r="B503">
        <v>43959</v>
      </c>
      <c r="C503" t="s">
        <v>22</v>
      </c>
      <c r="D503" t="s">
        <v>23</v>
      </c>
      <c r="E503" t="s">
        <v>22</v>
      </c>
      <c r="F503" t="s">
        <v>23</v>
      </c>
      <c r="G503" t="s">
        <v>1399</v>
      </c>
      <c r="H503" t="s">
        <v>1400</v>
      </c>
      <c r="I503" t="s">
        <v>1437</v>
      </c>
      <c r="J503">
        <v>0</v>
      </c>
      <c r="K503" t="s">
        <v>1438</v>
      </c>
      <c r="L503" t="s">
        <v>28</v>
      </c>
      <c r="M503">
        <v>48.61</v>
      </c>
      <c r="N503" t="s">
        <v>29</v>
      </c>
      <c r="O503">
        <f t="shared" si="39"/>
        <v>48.61</v>
      </c>
      <c r="P503">
        <f t="shared" si="40"/>
        <v>48.61</v>
      </c>
      <c r="Q503" t="s">
        <v>30</v>
      </c>
      <c r="R503">
        <v>45751</v>
      </c>
      <c r="S503">
        <v>401768</v>
      </c>
      <c r="U503">
        <f t="shared" si="37"/>
        <v>0</v>
      </c>
    </row>
    <row r="504" spans="1:21" ht="15.75" x14ac:dyDescent="0.25">
      <c r="A504" t="s">
        <v>1439</v>
      </c>
      <c r="B504">
        <v>43959</v>
      </c>
      <c r="C504" t="s">
        <v>22</v>
      </c>
      <c r="D504" t="s">
        <v>23</v>
      </c>
      <c r="E504" t="s">
        <v>22</v>
      </c>
      <c r="F504" t="s">
        <v>23</v>
      </c>
      <c r="G504" t="s">
        <v>1399</v>
      </c>
      <c r="H504" t="s">
        <v>1400</v>
      </c>
      <c r="I504" t="s">
        <v>1440</v>
      </c>
      <c r="J504">
        <v>0</v>
      </c>
      <c r="K504" t="s">
        <v>1441</v>
      </c>
      <c r="L504" t="s">
        <v>28</v>
      </c>
      <c r="M504">
        <v>52.55</v>
      </c>
      <c r="N504" t="s">
        <v>29</v>
      </c>
      <c r="O504">
        <f t="shared" si="39"/>
        <v>52.55</v>
      </c>
      <c r="P504">
        <f t="shared" si="40"/>
        <v>52.55</v>
      </c>
      <c r="Q504" t="s">
        <v>30</v>
      </c>
      <c r="R504">
        <v>43040</v>
      </c>
      <c r="S504">
        <v>401768</v>
      </c>
      <c r="U504">
        <f t="shared" si="37"/>
        <v>0</v>
      </c>
    </row>
    <row r="505" spans="1:21" ht="15.75" x14ac:dyDescent="0.25">
      <c r="A505" t="s">
        <v>1442</v>
      </c>
      <c r="B505">
        <v>43959</v>
      </c>
      <c r="C505" t="s">
        <v>22</v>
      </c>
      <c r="D505" t="s">
        <v>23</v>
      </c>
      <c r="E505" t="s">
        <v>22</v>
      </c>
      <c r="F505" t="s">
        <v>23</v>
      </c>
      <c r="G505" t="s">
        <v>1399</v>
      </c>
      <c r="H505" t="s">
        <v>1400</v>
      </c>
      <c r="I505" t="s">
        <v>1443</v>
      </c>
      <c r="J505">
        <v>0</v>
      </c>
      <c r="K505" t="s">
        <v>1444</v>
      </c>
      <c r="L505" t="s">
        <v>28</v>
      </c>
      <c r="M505">
        <v>39.99</v>
      </c>
      <c r="N505" t="s">
        <v>29</v>
      </c>
      <c r="O505">
        <f t="shared" si="39"/>
        <v>39.99</v>
      </c>
      <c r="P505">
        <f t="shared" si="40"/>
        <v>39.99</v>
      </c>
      <c r="Q505" t="s">
        <v>30</v>
      </c>
      <c r="R505">
        <v>42934</v>
      </c>
      <c r="S505">
        <v>401768</v>
      </c>
      <c r="U505">
        <f t="shared" si="37"/>
        <v>0</v>
      </c>
    </row>
    <row r="506" spans="1:21" ht="15.75" x14ac:dyDescent="0.25">
      <c r="A506" t="s">
        <v>1445</v>
      </c>
      <c r="B506">
        <v>43959</v>
      </c>
      <c r="C506" t="s">
        <v>22</v>
      </c>
      <c r="D506" t="s">
        <v>23</v>
      </c>
      <c r="E506" t="s">
        <v>22</v>
      </c>
      <c r="F506" t="s">
        <v>23</v>
      </c>
      <c r="G506" t="s">
        <v>1399</v>
      </c>
      <c r="H506" t="s">
        <v>1400</v>
      </c>
      <c r="I506" t="s">
        <v>1446</v>
      </c>
      <c r="J506">
        <v>0</v>
      </c>
      <c r="K506" t="s">
        <v>1447</v>
      </c>
      <c r="L506" t="s">
        <v>28</v>
      </c>
      <c r="M506">
        <v>28.18</v>
      </c>
      <c r="N506" t="s">
        <v>29</v>
      </c>
      <c r="O506">
        <f t="shared" si="39"/>
        <v>28.18</v>
      </c>
      <c r="P506">
        <f t="shared" si="40"/>
        <v>28.18</v>
      </c>
      <c r="Q506" t="s">
        <v>30</v>
      </c>
      <c r="R506">
        <v>45751</v>
      </c>
      <c r="S506">
        <v>401768</v>
      </c>
      <c r="U506">
        <f t="shared" si="37"/>
        <v>0</v>
      </c>
    </row>
    <row r="507" spans="1:21" ht="15.75" x14ac:dyDescent="0.25">
      <c r="A507" t="s">
        <v>1448</v>
      </c>
      <c r="B507">
        <v>43959</v>
      </c>
      <c r="C507" t="s">
        <v>22</v>
      </c>
      <c r="D507" t="s">
        <v>23</v>
      </c>
      <c r="E507" t="s">
        <v>22</v>
      </c>
      <c r="F507" t="s">
        <v>23</v>
      </c>
      <c r="G507" t="s">
        <v>1399</v>
      </c>
      <c r="H507" t="s">
        <v>1400</v>
      </c>
      <c r="I507" t="s">
        <v>1449</v>
      </c>
      <c r="J507">
        <v>0</v>
      </c>
      <c r="K507" t="s">
        <v>1450</v>
      </c>
      <c r="L507" t="s">
        <v>28</v>
      </c>
      <c r="M507">
        <v>70.05</v>
      </c>
      <c r="N507" t="s">
        <v>29</v>
      </c>
      <c r="O507">
        <f t="shared" si="39"/>
        <v>70.05</v>
      </c>
      <c r="P507">
        <f t="shared" si="40"/>
        <v>70.05</v>
      </c>
      <c r="Q507" t="s">
        <v>30</v>
      </c>
      <c r="R507">
        <v>45528</v>
      </c>
      <c r="S507">
        <v>401768</v>
      </c>
      <c r="U507">
        <f t="shared" si="37"/>
        <v>0</v>
      </c>
    </row>
    <row r="508" spans="1:21" ht="15.75" x14ac:dyDescent="0.25">
      <c r="A508" t="s">
        <v>1451</v>
      </c>
      <c r="B508">
        <v>43959</v>
      </c>
      <c r="C508" t="s">
        <v>22</v>
      </c>
      <c r="D508" t="s">
        <v>23</v>
      </c>
      <c r="E508" t="s">
        <v>22</v>
      </c>
      <c r="F508" t="s">
        <v>23</v>
      </c>
      <c r="G508" t="s">
        <v>1399</v>
      </c>
      <c r="H508" t="s">
        <v>1400</v>
      </c>
      <c r="I508" t="s">
        <v>1452</v>
      </c>
      <c r="J508">
        <v>0</v>
      </c>
      <c r="K508" t="s">
        <v>1453</v>
      </c>
      <c r="L508" t="s">
        <v>28</v>
      </c>
      <c r="M508">
        <v>71.16</v>
      </c>
      <c r="N508" t="s">
        <v>29</v>
      </c>
      <c r="O508">
        <f t="shared" si="39"/>
        <v>71.16</v>
      </c>
      <c r="P508">
        <f t="shared" si="40"/>
        <v>71.16</v>
      </c>
      <c r="Q508" t="s">
        <v>30</v>
      </c>
      <c r="R508">
        <v>42719</v>
      </c>
      <c r="S508">
        <v>401768</v>
      </c>
      <c r="U508">
        <f t="shared" si="37"/>
        <v>0</v>
      </c>
    </row>
    <row r="509" spans="1:21" ht="15.75" x14ac:dyDescent="0.25">
      <c r="A509" t="s">
        <v>1454</v>
      </c>
      <c r="B509">
        <v>43959</v>
      </c>
      <c r="C509" t="s">
        <v>22</v>
      </c>
      <c r="D509" t="s">
        <v>23</v>
      </c>
      <c r="E509" t="s">
        <v>22</v>
      </c>
      <c r="F509" t="s">
        <v>23</v>
      </c>
      <c r="G509" t="s">
        <v>1399</v>
      </c>
      <c r="H509" t="s">
        <v>1400</v>
      </c>
      <c r="I509" t="s">
        <v>1455</v>
      </c>
      <c r="J509">
        <v>0</v>
      </c>
      <c r="K509" t="s">
        <v>1456</v>
      </c>
      <c r="L509" t="s">
        <v>28</v>
      </c>
      <c r="M509">
        <v>77.75</v>
      </c>
      <c r="N509" t="s">
        <v>29</v>
      </c>
      <c r="O509">
        <f t="shared" si="39"/>
        <v>77.75</v>
      </c>
      <c r="P509">
        <f t="shared" si="40"/>
        <v>77.75</v>
      </c>
      <c r="Q509" t="s">
        <v>30</v>
      </c>
      <c r="R509">
        <v>43187</v>
      </c>
      <c r="S509">
        <v>401768</v>
      </c>
      <c r="U509">
        <f t="shared" si="37"/>
        <v>0</v>
      </c>
    </row>
    <row r="510" spans="1:21" ht="15.75" x14ac:dyDescent="0.25">
      <c r="A510" t="s">
        <v>1457</v>
      </c>
      <c r="B510">
        <v>43959</v>
      </c>
      <c r="C510" t="s">
        <v>22</v>
      </c>
      <c r="D510" t="s">
        <v>23</v>
      </c>
      <c r="E510" t="s">
        <v>22</v>
      </c>
      <c r="F510" t="s">
        <v>23</v>
      </c>
      <c r="G510" t="s">
        <v>1399</v>
      </c>
      <c r="H510" t="s">
        <v>1400</v>
      </c>
      <c r="I510" t="s">
        <v>1458</v>
      </c>
      <c r="J510">
        <v>0</v>
      </c>
      <c r="K510" t="s">
        <v>1459</v>
      </c>
      <c r="L510" t="s">
        <v>28</v>
      </c>
      <c r="M510">
        <v>77.569999999999993</v>
      </c>
      <c r="N510" t="s">
        <v>29</v>
      </c>
      <c r="O510">
        <f t="shared" si="39"/>
        <v>77.569999999999993</v>
      </c>
      <c r="P510">
        <f t="shared" si="40"/>
        <v>77.569999999999993</v>
      </c>
      <c r="Q510" t="s">
        <v>30</v>
      </c>
      <c r="R510">
        <v>43227</v>
      </c>
      <c r="S510">
        <v>401768</v>
      </c>
      <c r="U510">
        <f t="shared" si="37"/>
        <v>0</v>
      </c>
    </row>
    <row r="511" spans="1:21" ht="15.75" x14ac:dyDescent="0.25">
      <c r="A511" t="s">
        <v>1460</v>
      </c>
      <c r="B511">
        <v>43959</v>
      </c>
      <c r="C511" t="s">
        <v>22</v>
      </c>
      <c r="D511" t="s">
        <v>23</v>
      </c>
      <c r="E511" t="s">
        <v>22</v>
      </c>
      <c r="F511" t="s">
        <v>23</v>
      </c>
      <c r="G511" t="s">
        <v>1399</v>
      </c>
      <c r="H511" t="s">
        <v>1400</v>
      </c>
      <c r="I511" t="s">
        <v>1461</v>
      </c>
      <c r="J511">
        <v>0</v>
      </c>
      <c r="K511" t="s">
        <v>1462</v>
      </c>
      <c r="L511" t="s">
        <v>28</v>
      </c>
      <c r="M511">
        <v>10.75</v>
      </c>
      <c r="N511" t="s">
        <v>29</v>
      </c>
      <c r="O511">
        <f t="shared" si="39"/>
        <v>10.75</v>
      </c>
      <c r="P511">
        <f t="shared" si="40"/>
        <v>10.75</v>
      </c>
      <c r="Q511" t="s">
        <v>30</v>
      </c>
      <c r="R511">
        <v>42016</v>
      </c>
      <c r="S511">
        <v>401768</v>
      </c>
      <c r="U511">
        <f t="shared" si="37"/>
        <v>0</v>
      </c>
    </row>
    <row r="512" spans="1:21" ht="15.75" x14ac:dyDescent="0.25">
      <c r="A512" t="s">
        <v>1463</v>
      </c>
      <c r="B512">
        <v>43959</v>
      </c>
      <c r="C512" t="s">
        <v>22</v>
      </c>
      <c r="D512" t="s">
        <v>23</v>
      </c>
      <c r="E512" t="s">
        <v>22</v>
      </c>
      <c r="F512" t="s">
        <v>23</v>
      </c>
      <c r="G512" t="s">
        <v>1399</v>
      </c>
      <c r="H512" t="s">
        <v>1400</v>
      </c>
      <c r="I512" t="s">
        <v>1464</v>
      </c>
      <c r="J512">
        <v>0</v>
      </c>
      <c r="K512" t="s">
        <v>1465</v>
      </c>
      <c r="L512" t="s">
        <v>28</v>
      </c>
      <c r="M512">
        <v>2000</v>
      </c>
      <c r="N512" t="s">
        <v>29</v>
      </c>
      <c r="O512">
        <f t="shared" si="39"/>
        <v>2000</v>
      </c>
      <c r="P512">
        <f t="shared" si="40"/>
        <v>2000</v>
      </c>
      <c r="Q512" t="s">
        <v>30</v>
      </c>
      <c r="R512">
        <v>41716</v>
      </c>
      <c r="S512">
        <v>401768</v>
      </c>
      <c r="U512">
        <f t="shared" si="37"/>
        <v>0</v>
      </c>
    </row>
    <row r="513" spans="1:21" ht="15.75" x14ac:dyDescent="0.25">
      <c r="A513" t="s">
        <v>1466</v>
      </c>
      <c r="B513">
        <v>43959</v>
      </c>
      <c r="C513" t="s">
        <v>22</v>
      </c>
      <c r="D513" t="s">
        <v>23</v>
      </c>
      <c r="E513" t="s">
        <v>22</v>
      </c>
      <c r="F513" t="s">
        <v>23</v>
      </c>
      <c r="G513" t="s">
        <v>1467</v>
      </c>
      <c r="H513" t="s">
        <v>1468</v>
      </c>
      <c r="I513" t="s">
        <v>1469</v>
      </c>
      <c r="J513">
        <v>0</v>
      </c>
      <c r="K513" t="s">
        <v>1470</v>
      </c>
      <c r="L513" t="s">
        <v>28</v>
      </c>
      <c r="M513">
        <v>57.14</v>
      </c>
      <c r="N513" t="s">
        <v>29</v>
      </c>
      <c r="O513">
        <f t="shared" si="39"/>
        <v>57.14</v>
      </c>
      <c r="P513">
        <f t="shared" si="40"/>
        <v>57.14</v>
      </c>
      <c r="Q513" t="s">
        <v>30</v>
      </c>
      <c r="R513">
        <v>44856</v>
      </c>
      <c r="S513">
        <v>401768</v>
      </c>
      <c r="U513">
        <f t="shared" si="37"/>
        <v>0</v>
      </c>
    </row>
    <row r="514" spans="1:21" ht="15.75" x14ac:dyDescent="0.25">
      <c r="A514" t="s">
        <v>1471</v>
      </c>
      <c r="B514">
        <v>43959</v>
      </c>
      <c r="C514" t="s">
        <v>22</v>
      </c>
      <c r="D514" t="s">
        <v>23</v>
      </c>
      <c r="E514" t="s">
        <v>22</v>
      </c>
      <c r="F514" t="s">
        <v>23</v>
      </c>
      <c r="G514" t="s">
        <v>1467</v>
      </c>
      <c r="H514" t="s">
        <v>1468</v>
      </c>
      <c r="I514" t="s">
        <v>1472</v>
      </c>
      <c r="J514">
        <v>0</v>
      </c>
      <c r="K514" t="s">
        <v>1473</v>
      </c>
      <c r="L514" t="s">
        <v>28</v>
      </c>
      <c r="M514">
        <v>43.51</v>
      </c>
      <c r="N514" t="s">
        <v>29</v>
      </c>
      <c r="O514">
        <f t="shared" si="39"/>
        <v>43.51</v>
      </c>
      <c r="P514">
        <f t="shared" si="40"/>
        <v>43.51</v>
      </c>
      <c r="Q514" t="s">
        <v>30</v>
      </c>
      <c r="R514">
        <v>44856</v>
      </c>
      <c r="S514">
        <v>401768</v>
      </c>
      <c r="U514">
        <f t="shared" si="37"/>
        <v>0</v>
      </c>
    </row>
    <row r="515" spans="1:21" ht="15.75" x14ac:dyDescent="0.25">
      <c r="A515" t="s">
        <v>1474</v>
      </c>
      <c r="B515">
        <v>43959</v>
      </c>
      <c r="C515" t="s">
        <v>22</v>
      </c>
      <c r="D515" t="s">
        <v>23</v>
      </c>
      <c r="E515" t="s">
        <v>22</v>
      </c>
      <c r="F515" t="s">
        <v>23</v>
      </c>
      <c r="G515" t="s">
        <v>1467</v>
      </c>
      <c r="H515" t="s">
        <v>1468</v>
      </c>
      <c r="I515" t="s">
        <v>1475</v>
      </c>
      <c r="J515">
        <v>0</v>
      </c>
      <c r="K515" t="s">
        <v>1476</v>
      </c>
      <c r="L515" t="s">
        <v>28</v>
      </c>
      <c r="M515">
        <v>6.11</v>
      </c>
      <c r="N515" t="s">
        <v>29</v>
      </c>
      <c r="O515">
        <f t="shared" si="39"/>
        <v>6.11</v>
      </c>
      <c r="P515">
        <f t="shared" si="40"/>
        <v>6.11</v>
      </c>
      <c r="Q515" t="s">
        <v>30</v>
      </c>
      <c r="R515">
        <v>44856</v>
      </c>
      <c r="S515">
        <v>401768</v>
      </c>
      <c r="U515">
        <f t="shared" ref="U515:U578" si="41">T515*P515/100000</f>
        <v>0</v>
      </c>
    </row>
    <row r="516" spans="1:21" ht="15.75" x14ac:dyDescent="0.25">
      <c r="A516" t="s">
        <v>1477</v>
      </c>
      <c r="B516">
        <v>43959</v>
      </c>
      <c r="C516" t="s">
        <v>22</v>
      </c>
      <c r="D516" t="s">
        <v>23</v>
      </c>
      <c r="E516" t="s">
        <v>22</v>
      </c>
      <c r="F516" t="s">
        <v>23</v>
      </c>
      <c r="G516" t="s">
        <v>1467</v>
      </c>
      <c r="H516" t="s">
        <v>1468</v>
      </c>
      <c r="I516" t="s">
        <v>1478</v>
      </c>
      <c r="J516">
        <v>0</v>
      </c>
      <c r="K516" t="s">
        <v>1479</v>
      </c>
      <c r="L516" t="s">
        <v>28</v>
      </c>
      <c r="M516">
        <v>86</v>
      </c>
      <c r="N516" t="s">
        <v>29</v>
      </c>
      <c r="O516">
        <f t="shared" si="39"/>
        <v>86</v>
      </c>
      <c r="P516">
        <f t="shared" si="40"/>
        <v>86</v>
      </c>
      <c r="Q516" t="s">
        <v>30</v>
      </c>
      <c r="R516">
        <v>44856</v>
      </c>
      <c r="S516">
        <v>401768</v>
      </c>
      <c r="U516">
        <f t="shared" si="41"/>
        <v>0</v>
      </c>
    </row>
    <row r="517" spans="1:21" ht="15.75" x14ac:dyDescent="0.25">
      <c r="A517" t="s">
        <v>1480</v>
      </c>
      <c r="B517">
        <v>44861</v>
      </c>
      <c r="C517" t="s">
        <v>22</v>
      </c>
      <c r="D517" t="s">
        <v>23</v>
      </c>
      <c r="E517" t="s">
        <v>22</v>
      </c>
      <c r="F517" t="s">
        <v>23</v>
      </c>
      <c r="G517" t="s">
        <v>1467</v>
      </c>
      <c r="H517" t="s">
        <v>1468</v>
      </c>
      <c r="I517" t="s">
        <v>315</v>
      </c>
      <c r="J517">
        <v>0</v>
      </c>
      <c r="K517" t="s">
        <v>316</v>
      </c>
      <c r="L517" t="s">
        <v>28</v>
      </c>
      <c r="M517">
        <v>613309.19999999995</v>
      </c>
      <c r="N517" t="s">
        <v>29</v>
      </c>
      <c r="O517">
        <f t="shared" si="39"/>
        <v>613309.19999999995</v>
      </c>
      <c r="P517">
        <f t="shared" si="40"/>
        <v>613309.19999999995</v>
      </c>
      <c r="Q517" t="s">
        <v>30</v>
      </c>
      <c r="R517">
        <v>44861</v>
      </c>
      <c r="S517">
        <v>401768</v>
      </c>
      <c r="U517">
        <f t="shared" si="41"/>
        <v>0</v>
      </c>
    </row>
    <row r="518" spans="1:21" ht="15.75" x14ac:dyDescent="0.25">
      <c r="A518" t="s">
        <v>1481</v>
      </c>
      <c r="B518">
        <v>45294</v>
      </c>
      <c r="C518" t="s">
        <v>22</v>
      </c>
      <c r="D518" t="s">
        <v>23</v>
      </c>
      <c r="E518" t="s">
        <v>30</v>
      </c>
      <c r="F518" t="s">
        <v>30</v>
      </c>
      <c r="G518" t="s">
        <v>1467</v>
      </c>
      <c r="H518" t="s">
        <v>1468</v>
      </c>
      <c r="I518" t="s">
        <v>1482</v>
      </c>
      <c r="J518">
        <v>0</v>
      </c>
      <c r="K518" t="s">
        <v>1483</v>
      </c>
      <c r="L518" t="s">
        <v>36</v>
      </c>
      <c r="M518">
        <v>5800</v>
      </c>
      <c r="N518" t="s">
        <v>29</v>
      </c>
      <c r="O518">
        <f t="shared" si="39"/>
        <v>5800</v>
      </c>
      <c r="P518">
        <f t="shared" si="40"/>
        <v>5800</v>
      </c>
      <c r="Q518" t="s">
        <v>30</v>
      </c>
      <c r="R518">
        <v>45294</v>
      </c>
      <c r="S518">
        <v>401768</v>
      </c>
      <c r="U518">
        <f t="shared" si="41"/>
        <v>0</v>
      </c>
    </row>
    <row r="519" spans="1:21" ht="15.75" x14ac:dyDescent="0.25">
      <c r="A519" t="s">
        <v>1484</v>
      </c>
      <c r="B519">
        <v>45294</v>
      </c>
      <c r="C519" t="s">
        <v>22</v>
      </c>
      <c r="D519" t="s">
        <v>23</v>
      </c>
      <c r="E519" t="s">
        <v>30</v>
      </c>
      <c r="F519" t="s">
        <v>30</v>
      </c>
      <c r="G519" t="s">
        <v>1467</v>
      </c>
      <c r="H519" t="s">
        <v>1468</v>
      </c>
      <c r="I519" t="s">
        <v>1485</v>
      </c>
      <c r="J519">
        <v>0</v>
      </c>
      <c r="K519" t="s">
        <v>1486</v>
      </c>
      <c r="L519" t="s">
        <v>36</v>
      </c>
      <c r="M519">
        <v>15300</v>
      </c>
      <c r="N519" t="s">
        <v>29</v>
      </c>
      <c r="O519">
        <f t="shared" si="39"/>
        <v>15300</v>
      </c>
      <c r="P519">
        <f t="shared" si="40"/>
        <v>15300</v>
      </c>
      <c r="Q519" t="s">
        <v>30</v>
      </c>
      <c r="R519">
        <v>45294</v>
      </c>
      <c r="S519">
        <v>401768</v>
      </c>
      <c r="U519">
        <f t="shared" si="41"/>
        <v>0</v>
      </c>
    </row>
    <row r="520" spans="1:21" ht="15.75" x14ac:dyDescent="0.25">
      <c r="A520" t="s">
        <v>1487</v>
      </c>
      <c r="B520">
        <v>43959</v>
      </c>
      <c r="C520" t="s">
        <v>22</v>
      </c>
      <c r="D520" t="s">
        <v>23</v>
      </c>
      <c r="E520" t="s">
        <v>22</v>
      </c>
      <c r="F520" t="s">
        <v>23</v>
      </c>
      <c r="G520" t="s">
        <v>1488</v>
      </c>
      <c r="H520" t="s">
        <v>1489</v>
      </c>
      <c r="I520" t="s">
        <v>1490</v>
      </c>
      <c r="J520">
        <v>0</v>
      </c>
      <c r="K520" t="s">
        <v>1491</v>
      </c>
      <c r="L520" t="s">
        <v>28</v>
      </c>
      <c r="M520">
        <v>1.1599999999999999</v>
      </c>
      <c r="N520" t="s">
        <v>160</v>
      </c>
      <c r="O520">
        <v>95</v>
      </c>
      <c r="P520">
        <f>O520*M520</f>
        <v>110.19999999999999</v>
      </c>
      <c r="Q520" t="s">
        <v>30</v>
      </c>
      <c r="R520">
        <v>46170</v>
      </c>
      <c r="S520">
        <v>401768</v>
      </c>
      <c r="U520">
        <f t="shared" si="41"/>
        <v>0</v>
      </c>
    </row>
    <row r="521" spans="1:21" ht="15.75" x14ac:dyDescent="0.25">
      <c r="A521" t="s">
        <v>1492</v>
      </c>
      <c r="B521">
        <v>43959</v>
      </c>
      <c r="C521" t="s">
        <v>22</v>
      </c>
      <c r="D521" t="s">
        <v>23</v>
      </c>
      <c r="E521" t="s">
        <v>22</v>
      </c>
      <c r="F521" t="s">
        <v>23</v>
      </c>
      <c r="G521" t="s">
        <v>1488</v>
      </c>
      <c r="H521" t="s">
        <v>1489</v>
      </c>
      <c r="I521" t="s">
        <v>1493</v>
      </c>
      <c r="J521">
        <v>0</v>
      </c>
      <c r="K521" t="s">
        <v>1494</v>
      </c>
      <c r="L521" t="s">
        <v>28</v>
      </c>
      <c r="M521">
        <v>2.8</v>
      </c>
      <c r="N521" t="s">
        <v>160</v>
      </c>
      <c r="O521">
        <v>95</v>
      </c>
      <c r="P521">
        <f>O521*M521</f>
        <v>266</v>
      </c>
      <c r="Q521" t="s">
        <v>30</v>
      </c>
      <c r="R521">
        <v>46170</v>
      </c>
      <c r="S521">
        <v>401768</v>
      </c>
      <c r="U521">
        <f t="shared" si="41"/>
        <v>0</v>
      </c>
    </row>
    <row r="522" spans="1:21" ht="15.75" x14ac:dyDescent="0.25">
      <c r="A522" t="s">
        <v>1495</v>
      </c>
      <c r="B522">
        <v>43959</v>
      </c>
      <c r="C522" t="s">
        <v>22</v>
      </c>
      <c r="D522" t="s">
        <v>23</v>
      </c>
      <c r="E522" t="s">
        <v>22</v>
      </c>
      <c r="F522" t="s">
        <v>23</v>
      </c>
      <c r="G522" t="s">
        <v>1488</v>
      </c>
      <c r="H522" t="s">
        <v>1489</v>
      </c>
      <c r="I522" t="s">
        <v>1496</v>
      </c>
      <c r="J522">
        <v>0</v>
      </c>
      <c r="K522" t="s">
        <v>1497</v>
      </c>
      <c r="L522" t="s">
        <v>28</v>
      </c>
      <c r="M522">
        <v>0.94</v>
      </c>
      <c r="N522" t="s">
        <v>160</v>
      </c>
      <c r="O522">
        <v>95</v>
      </c>
      <c r="P522">
        <f>O522*M522</f>
        <v>89.3</v>
      </c>
      <c r="Q522" t="s">
        <v>30</v>
      </c>
      <c r="R522">
        <v>46170</v>
      </c>
      <c r="S522">
        <v>401768</v>
      </c>
      <c r="U522">
        <f t="shared" si="41"/>
        <v>0</v>
      </c>
    </row>
    <row r="523" spans="1:21" ht="15.75" x14ac:dyDescent="0.25">
      <c r="A523" t="s">
        <v>1498</v>
      </c>
      <c r="B523">
        <v>43959</v>
      </c>
      <c r="C523" t="s">
        <v>22</v>
      </c>
      <c r="D523" t="s">
        <v>23</v>
      </c>
      <c r="E523" t="s">
        <v>22</v>
      </c>
      <c r="F523" t="s">
        <v>23</v>
      </c>
      <c r="G523" t="s">
        <v>1488</v>
      </c>
      <c r="H523" t="s">
        <v>1489</v>
      </c>
      <c r="I523" t="s">
        <v>1499</v>
      </c>
      <c r="J523">
        <v>0</v>
      </c>
      <c r="K523" t="s">
        <v>1500</v>
      </c>
      <c r="L523" t="s">
        <v>28</v>
      </c>
      <c r="M523">
        <v>2.8</v>
      </c>
      <c r="N523" t="s">
        <v>160</v>
      </c>
      <c r="O523">
        <v>95</v>
      </c>
      <c r="P523">
        <f>O523*M523</f>
        <v>266</v>
      </c>
      <c r="Q523" t="s">
        <v>30</v>
      </c>
      <c r="R523">
        <v>46139</v>
      </c>
      <c r="S523">
        <v>401768</v>
      </c>
      <c r="U523">
        <f t="shared" si="41"/>
        <v>0</v>
      </c>
    </row>
    <row r="524" spans="1:21" ht="15.75" x14ac:dyDescent="0.25">
      <c r="A524" t="s">
        <v>1501</v>
      </c>
      <c r="B524">
        <v>43959</v>
      </c>
      <c r="C524" t="s">
        <v>22</v>
      </c>
      <c r="D524" t="s">
        <v>23</v>
      </c>
      <c r="E524" t="s">
        <v>22</v>
      </c>
      <c r="F524" t="s">
        <v>23</v>
      </c>
      <c r="G524" t="s">
        <v>1502</v>
      </c>
      <c r="H524" t="s">
        <v>1503</v>
      </c>
      <c r="I524" t="s">
        <v>1504</v>
      </c>
      <c r="J524">
        <v>0</v>
      </c>
      <c r="K524" t="s">
        <v>1505</v>
      </c>
      <c r="L524" t="s">
        <v>28</v>
      </c>
      <c r="M524">
        <v>57.88</v>
      </c>
      <c r="N524" t="s">
        <v>29</v>
      </c>
      <c r="O524">
        <f t="shared" ref="O524:O551" si="42">M524</f>
        <v>57.88</v>
      </c>
      <c r="P524">
        <f t="shared" ref="P524:P551" si="43">O524</f>
        <v>57.88</v>
      </c>
      <c r="Q524" t="s">
        <v>30</v>
      </c>
      <c r="R524">
        <v>42181</v>
      </c>
      <c r="S524">
        <v>401768</v>
      </c>
      <c r="U524">
        <f t="shared" si="41"/>
        <v>0</v>
      </c>
    </row>
    <row r="525" spans="1:21" ht="15.75" x14ac:dyDescent="0.25">
      <c r="A525" t="s">
        <v>1506</v>
      </c>
      <c r="B525">
        <v>43959</v>
      </c>
      <c r="C525" t="s">
        <v>22</v>
      </c>
      <c r="D525" t="s">
        <v>23</v>
      </c>
      <c r="E525" t="s">
        <v>22</v>
      </c>
      <c r="F525" t="s">
        <v>23</v>
      </c>
      <c r="G525" t="s">
        <v>1502</v>
      </c>
      <c r="H525" t="s">
        <v>1503</v>
      </c>
      <c r="I525" t="s">
        <v>1507</v>
      </c>
      <c r="J525">
        <v>0</v>
      </c>
      <c r="K525" t="s">
        <v>1508</v>
      </c>
      <c r="L525" t="s">
        <v>28</v>
      </c>
      <c r="M525">
        <v>54.78</v>
      </c>
      <c r="N525" t="s">
        <v>29</v>
      </c>
      <c r="O525">
        <f t="shared" si="42"/>
        <v>54.78</v>
      </c>
      <c r="P525">
        <f t="shared" si="43"/>
        <v>54.78</v>
      </c>
      <c r="Q525" t="s">
        <v>30</v>
      </c>
      <c r="R525">
        <v>41717</v>
      </c>
      <c r="S525">
        <v>401768</v>
      </c>
      <c r="U525">
        <f t="shared" si="41"/>
        <v>0</v>
      </c>
    </row>
    <row r="526" spans="1:21" ht="15.75" x14ac:dyDescent="0.25">
      <c r="A526" t="s">
        <v>1509</v>
      </c>
      <c r="B526">
        <v>44021</v>
      </c>
      <c r="C526" t="s">
        <v>22</v>
      </c>
      <c r="D526" t="s">
        <v>23</v>
      </c>
      <c r="E526" t="s">
        <v>22</v>
      </c>
      <c r="F526" t="s">
        <v>23</v>
      </c>
      <c r="G526" t="s">
        <v>1510</v>
      </c>
      <c r="H526" t="s">
        <v>1511</v>
      </c>
      <c r="I526" t="s">
        <v>1512</v>
      </c>
      <c r="J526">
        <v>0</v>
      </c>
      <c r="K526" t="s">
        <v>1513</v>
      </c>
      <c r="L526" t="s">
        <v>28</v>
      </c>
      <c r="M526">
        <v>236.12</v>
      </c>
      <c r="N526" t="s">
        <v>29</v>
      </c>
      <c r="O526">
        <f t="shared" si="42"/>
        <v>236.12</v>
      </c>
      <c r="P526">
        <f t="shared" si="43"/>
        <v>236.12</v>
      </c>
      <c r="Q526" t="s">
        <v>30</v>
      </c>
      <c r="R526">
        <v>46144</v>
      </c>
      <c r="S526">
        <v>401768</v>
      </c>
      <c r="T526">
        <v>24064</v>
      </c>
      <c r="U526">
        <f t="shared" si="41"/>
        <v>56.819916799999994</v>
      </c>
    </row>
    <row r="527" spans="1:21" ht="15.75" x14ac:dyDescent="0.25">
      <c r="A527" t="s">
        <v>1514</v>
      </c>
      <c r="B527">
        <v>44539</v>
      </c>
      <c r="C527" t="s">
        <v>22</v>
      </c>
      <c r="D527" t="s">
        <v>23</v>
      </c>
      <c r="E527" t="s">
        <v>22</v>
      </c>
      <c r="F527" t="s">
        <v>23</v>
      </c>
      <c r="G527" t="s">
        <v>1510</v>
      </c>
      <c r="H527" t="s">
        <v>1511</v>
      </c>
      <c r="I527" t="s">
        <v>1515</v>
      </c>
      <c r="J527">
        <v>0</v>
      </c>
      <c r="K527" t="s">
        <v>1516</v>
      </c>
      <c r="L527" t="s">
        <v>28</v>
      </c>
      <c r="M527">
        <v>53.15</v>
      </c>
      <c r="N527" t="s">
        <v>29</v>
      </c>
      <c r="O527">
        <f t="shared" si="42"/>
        <v>53.15</v>
      </c>
      <c r="P527">
        <f t="shared" si="43"/>
        <v>53.15</v>
      </c>
      <c r="Q527" t="s">
        <v>30</v>
      </c>
      <c r="R527">
        <v>46144</v>
      </c>
      <c r="S527">
        <v>401768</v>
      </c>
      <c r="T527">
        <v>9360</v>
      </c>
      <c r="U527">
        <f t="shared" si="41"/>
        <v>4.9748400000000004</v>
      </c>
    </row>
    <row r="528" spans="1:21" ht="15.75" x14ac:dyDescent="0.25">
      <c r="A528" t="s">
        <v>1517</v>
      </c>
      <c r="B528">
        <v>44572</v>
      </c>
      <c r="C528" t="s">
        <v>22</v>
      </c>
      <c r="D528" t="s">
        <v>23</v>
      </c>
      <c r="E528" t="s">
        <v>22</v>
      </c>
      <c r="F528" t="s">
        <v>23</v>
      </c>
      <c r="G528" t="s">
        <v>1510</v>
      </c>
      <c r="H528" t="s">
        <v>1511</v>
      </c>
      <c r="I528" t="s">
        <v>1518</v>
      </c>
      <c r="J528">
        <v>0</v>
      </c>
      <c r="K528" t="s">
        <v>1519</v>
      </c>
      <c r="L528" t="s">
        <v>28</v>
      </c>
      <c r="M528">
        <v>267.93</v>
      </c>
      <c r="N528" t="s">
        <v>29</v>
      </c>
      <c r="O528">
        <f t="shared" si="42"/>
        <v>267.93</v>
      </c>
      <c r="P528">
        <f t="shared" si="43"/>
        <v>267.93</v>
      </c>
      <c r="Q528" t="s">
        <v>30</v>
      </c>
      <c r="R528">
        <v>46144</v>
      </c>
      <c r="S528">
        <v>401768</v>
      </c>
      <c r="T528">
        <v>1924</v>
      </c>
      <c r="U528">
        <f t="shared" si="41"/>
        <v>5.1549731999999997</v>
      </c>
    </row>
    <row r="529" spans="1:21" ht="15.75" x14ac:dyDescent="0.25">
      <c r="A529" t="s">
        <v>1520</v>
      </c>
      <c r="B529">
        <v>44572</v>
      </c>
      <c r="C529" t="s">
        <v>22</v>
      </c>
      <c r="D529" t="s">
        <v>23</v>
      </c>
      <c r="E529" t="s">
        <v>22</v>
      </c>
      <c r="F529" t="s">
        <v>23</v>
      </c>
      <c r="G529" t="s">
        <v>1510</v>
      </c>
      <c r="H529" t="s">
        <v>1511</v>
      </c>
      <c r="I529" t="s">
        <v>1521</v>
      </c>
      <c r="J529">
        <v>0</v>
      </c>
      <c r="K529" t="s">
        <v>1522</v>
      </c>
      <c r="L529" t="s">
        <v>28</v>
      </c>
      <c r="M529">
        <v>592.5</v>
      </c>
      <c r="N529" t="s">
        <v>29</v>
      </c>
      <c r="O529">
        <f t="shared" si="42"/>
        <v>592.5</v>
      </c>
      <c r="P529">
        <f t="shared" si="43"/>
        <v>592.5</v>
      </c>
      <c r="Q529" t="s">
        <v>30</v>
      </c>
      <c r="R529">
        <v>44740</v>
      </c>
      <c r="S529">
        <v>401768</v>
      </c>
      <c r="U529">
        <f t="shared" si="41"/>
        <v>0</v>
      </c>
    </row>
    <row r="530" spans="1:21" ht="15.75" x14ac:dyDescent="0.25">
      <c r="A530" t="s">
        <v>1523</v>
      </c>
      <c r="B530">
        <v>44614</v>
      </c>
      <c r="C530" t="s">
        <v>22</v>
      </c>
      <c r="D530" t="s">
        <v>23</v>
      </c>
      <c r="E530" t="s">
        <v>22</v>
      </c>
      <c r="F530" t="s">
        <v>23</v>
      </c>
      <c r="G530" t="s">
        <v>1510</v>
      </c>
      <c r="H530" t="s">
        <v>1511</v>
      </c>
      <c r="I530" t="s">
        <v>1524</v>
      </c>
      <c r="J530">
        <v>0</v>
      </c>
      <c r="K530" t="s">
        <v>1525</v>
      </c>
      <c r="L530" t="s">
        <v>28</v>
      </c>
      <c r="M530">
        <v>37.1</v>
      </c>
      <c r="N530" t="s">
        <v>29</v>
      </c>
      <c r="O530">
        <f t="shared" si="42"/>
        <v>37.1</v>
      </c>
      <c r="P530">
        <f t="shared" si="43"/>
        <v>37.1</v>
      </c>
      <c r="Q530" t="s">
        <v>30</v>
      </c>
      <c r="R530">
        <v>46144</v>
      </c>
      <c r="S530">
        <v>401768</v>
      </c>
      <c r="T530">
        <v>74140</v>
      </c>
      <c r="U530">
        <f t="shared" si="41"/>
        <v>27.505939999999999</v>
      </c>
    </row>
    <row r="531" spans="1:21" ht="15.75" x14ac:dyDescent="0.25">
      <c r="A531" t="s">
        <v>1526</v>
      </c>
      <c r="B531">
        <v>44786</v>
      </c>
      <c r="C531" t="s">
        <v>22</v>
      </c>
      <c r="D531" t="s">
        <v>23</v>
      </c>
      <c r="E531" t="s">
        <v>22</v>
      </c>
      <c r="F531" t="s">
        <v>23</v>
      </c>
      <c r="G531" t="s">
        <v>1510</v>
      </c>
      <c r="H531" t="s">
        <v>1511</v>
      </c>
      <c r="I531" t="s">
        <v>1527</v>
      </c>
      <c r="J531">
        <v>0</v>
      </c>
      <c r="K531" t="s">
        <v>1528</v>
      </c>
      <c r="L531" t="s">
        <v>28</v>
      </c>
      <c r="M531">
        <v>348.2</v>
      </c>
      <c r="N531" t="s">
        <v>29</v>
      </c>
      <c r="O531">
        <f t="shared" si="42"/>
        <v>348.2</v>
      </c>
      <c r="P531">
        <f t="shared" si="43"/>
        <v>348.2</v>
      </c>
      <c r="Q531" t="s">
        <v>30</v>
      </c>
      <c r="R531">
        <v>44786</v>
      </c>
      <c r="S531">
        <v>401768</v>
      </c>
      <c r="U531">
        <f t="shared" si="41"/>
        <v>0</v>
      </c>
    </row>
    <row r="532" spans="1:21" ht="15.75" x14ac:dyDescent="0.25">
      <c r="A532" t="s">
        <v>1529</v>
      </c>
      <c r="B532">
        <v>44797</v>
      </c>
      <c r="C532" t="s">
        <v>22</v>
      </c>
      <c r="D532" t="s">
        <v>23</v>
      </c>
      <c r="E532" t="s">
        <v>22</v>
      </c>
      <c r="F532" t="s">
        <v>23</v>
      </c>
      <c r="G532" t="s">
        <v>1510</v>
      </c>
      <c r="H532" t="s">
        <v>1511</v>
      </c>
      <c r="I532" t="s">
        <v>1530</v>
      </c>
      <c r="J532">
        <v>0</v>
      </c>
      <c r="K532" t="s">
        <v>1531</v>
      </c>
      <c r="L532" t="s">
        <v>28</v>
      </c>
      <c r="M532">
        <v>995</v>
      </c>
      <c r="N532" t="s">
        <v>29</v>
      </c>
      <c r="O532">
        <f t="shared" si="42"/>
        <v>995</v>
      </c>
      <c r="P532">
        <f t="shared" si="43"/>
        <v>995</v>
      </c>
      <c r="Q532" t="s">
        <v>30</v>
      </c>
      <c r="R532">
        <v>44797</v>
      </c>
      <c r="S532">
        <v>401768</v>
      </c>
      <c r="U532">
        <f t="shared" si="41"/>
        <v>0</v>
      </c>
    </row>
    <row r="533" spans="1:21" ht="15.75" x14ac:dyDescent="0.25">
      <c r="A533" t="s">
        <v>1532</v>
      </c>
      <c r="B533">
        <v>44797</v>
      </c>
      <c r="C533" t="s">
        <v>22</v>
      </c>
      <c r="D533" t="s">
        <v>23</v>
      </c>
      <c r="E533" t="s">
        <v>22</v>
      </c>
      <c r="F533" t="s">
        <v>23</v>
      </c>
      <c r="G533" t="s">
        <v>1510</v>
      </c>
      <c r="H533" t="s">
        <v>1511</v>
      </c>
      <c r="I533" t="s">
        <v>1533</v>
      </c>
      <c r="J533">
        <v>0</v>
      </c>
      <c r="K533" t="s">
        <v>1534</v>
      </c>
      <c r="L533" t="s">
        <v>28</v>
      </c>
      <c r="M533">
        <v>627</v>
      </c>
      <c r="N533" t="s">
        <v>29</v>
      </c>
      <c r="O533">
        <f t="shared" si="42"/>
        <v>627</v>
      </c>
      <c r="P533">
        <f t="shared" si="43"/>
        <v>627</v>
      </c>
      <c r="Q533" t="s">
        <v>30</v>
      </c>
      <c r="R533">
        <v>44862</v>
      </c>
      <c r="S533">
        <v>401768</v>
      </c>
      <c r="U533">
        <f t="shared" si="41"/>
        <v>0</v>
      </c>
    </row>
    <row r="534" spans="1:21" ht="15.75" x14ac:dyDescent="0.25">
      <c r="A534" t="s">
        <v>1535</v>
      </c>
      <c r="B534">
        <v>44959</v>
      </c>
      <c r="C534" t="s">
        <v>22</v>
      </c>
      <c r="D534" t="s">
        <v>23</v>
      </c>
      <c r="E534" t="s">
        <v>22</v>
      </c>
      <c r="F534" t="s">
        <v>23</v>
      </c>
      <c r="G534" t="s">
        <v>1510</v>
      </c>
      <c r="H534" t="s">
        <v>1511</v>
      </c>
      <c r="I534" t="s">
        <v>1536</v>
      </c>
      <c r="J534">
        <v>0</v>
      </c>
      <c r="K534" t="s">
        <v>1537</v>
      </c>
      <c r="L534" t="s">
        <v>28</v>
      </c>
      <c r="M534">
        <v>51.51</v>
      </c>
      <c r="N534" t="s">
        <v>29</v>
      </c>
      <c r="O534">
        <f t="shared" si="42"/>
        <v>51.51</v>
      </c>
      <c r="P534">
        <f t="shared" si="43"/>
        <v>51.51</v>
      </c>
      <c r="Q534" t="s">
        <v>30</v>
      </c>
      <c r="R534">
        <v>46144</v>
      </c>
      <c r="S534">
        <v>401768</v>
      </c>
      <c r="T534">
        <v>25392</v>
      </c>
      <c r="U534">
        <f t="shared" si="41"/>
        <v>13.079419199999998</v>
      </c>
    </row>
    <row r="535" spans="1:21" ht="15.75" x14ac:dyDescent="0.25">
      <c r="A535" t="s">
        <v>1538</v>
      </c>
      <c r="B535">
        <v>45045</v>
      </c>
      <c r="C535" t="s">
        <v>22</v>
      </c>
      <c r="D535" t="s">
        <v>23</v>
      </c>
      <c r="E535" t="s">
        <v>22</v>
      </c>
      <c r="F535" t="s">
        <v>23</v>
      </c>
      <c r="G535" t="s">
        <v>1510</v>
      </c>
      <c r="H535" t="s">
        <v>1511</v>
      </c>
      <c r="I535" t="s">
        <v>1539</v>
      </c>
      <c r="J535">
        <v>0</v>
      </c>
      <c r="K535" t="s">
        <v>1540</v>
      </c>
      <c r="L535" t="s">
        <v>28</v>
      </c>
      <c r="M535">
        <v>570.16999999999996</v>
      </c>
      <c r="N535" t="s">
        <v>29</v>
      </c>
      <c r="O535">
        <f t="shared" si="42"/>
        <v>570.16999999999996</v>
      </c>
      <c r="P535">
        <f t="shared" si="43"/>
        <v>570.16999999999996</v>
      </c>
      <c r="Q535" t="s">
        <v>30</v>
      </c>
      <c r="R535">
        <v>46144</v>
      </c>
      <c r="S535">
        <v>401768</v>
      </c>
      <c r="T535">
        <v>12320</v>
      </c>
      <c r="U535">
        <f t="shared" si="41"/>
        <v>70.24494399999999</v>
      </c>
    </row>
    <row r="536" spans="1:21" ht="15.75" x14ac:dyDescent="0.25">
      <c r="A536" t="s">
        <v>1541</v>
      </c>
      <c r="B536">
        <v>45096</v>
      </c>
      <c r="C536" t="s">
        <v>22</v>
      </c>
      <c r="D536" t="s">
        <v>23</v>
      </c>
      <c r="E536" t="s">
        <v>22</v>
      </c>
      <c r="F536" t="s">
        <v>23</v>
      </c>
      <c r="G536" t="s">
        <v>1510</v>
      </c>
      <c r="H536" t="s">
        <v>1511</v>
      </c>
      <c r="I536" t="s">
        <v>1542</v>
      </c>
      <c r="J536">
        <v>0</v>
      </c>
      <c r="K536" t="s">
        <v>1543</v>
      </c>
      <c r="L536" t="s">
        <v>28</v>
      </c>
      <c r="M536">
        <v>81.400000000000006</v>
      </c>
      <c r="N536" t="s">
        <v>29</v>
      </c>
      <c r="O536">
        <f t="shared" si="42"/>
        <v>81.400000000000006</v>
      </c>
      <c r="P536">
        <f t="shared" si="43"/>
        <v>81.400000000000006</v>
      </c>
      <c r="Q536" t="s">
        <v>30</v>
      </c>
      <c r="R536">
        <v>45302</v>
      </c>
      <c r="S536">
        <v>401768</v>
      </c>
      <c r="U536">
        <f t="shared" si="41"/>
        <v>0</v>
      </c>
    </row>
    <row r="537" spans="1:21" ht="15.75" x14ac:dyDescent="0.25">
      <c r="A537" t="s">
        <v>1544</v>
      </c>
      <c r="B537">
        <v>45096</v>
      </c>
      <c r="C537" t="s">
        <v>22</v>
      </c>
      <c r="D537" t="s">
        <v>23</v>
      </c>
      <c r="E537" t="s">
        <v>22</v>
      </c>
      <c r="F537" t="s">
        <v>23</v>
      </c>
      <c r="G537" t="s">
        <v>1510</v>
      </c>
      <c r="H537" t="s">
        <v>1511</v>
      </c>
      <c r="I537" t="s">
        <v>1545</v>
      </c>
      <c r="J537">
        <v>0</v>
      </c>
      <c r="K537" t="s">
        <v>1546</v>
      </c>
      <c r="L537" t="s">
        <v>28</v>
      </c>
      <c r="M537">
        <v>62.64</v>
      </c>
      <c r="N537" t="s">
        <v>29</v>
      </c>
      <c r="O537">
        <f t="shared" si="42"/>
        <v>62.64</v>
      </c>
      <c r="P537">
        <f t="shared" si="43"/>
        <v>62.64</v>
      </c>
      <c r="Q537" t="s">
        <v>30</v>
      </c>
      <c r="R537">
        <v>46144</v>
      </c>
      <c r="S537">
        <v>401768</v>
      </c>
      <c r="T537">
        <v>34615</v>
      </c>
      <c r="U537">
        <f t="shared" si="41"/>
        <v>21.682836000000002</v>
      </c>
    </row>
    <row r="538" spans="1:21" ht="15.75" x14ac:dyDescent="0.25">
      <c r="A538" t="s">
        <v>1547</v>
      </c>
      <c r="B538">
        <v>45096</v>
      </c>
      <c r="C538" t="s">
        <v>22</v>
      </c>
      <c r="D538" t="s">
        <v>23</v>
      </c>
      <c r="E538" t="s">
        <v>22</v>
      </c>
      <c r="F538" t="s">
        <v>23</v>
      </c>
      <c r="G538" t="s">
        <v>1510</v>
      </c>
      <c r="H538" t="s">
        <v>1511</v>
      </c>
      <c r="I538" t="s">
        <v>1548</v>
      </c>
      <c r="J538">
        <v>0</v>
      </c>
      <c r="K538" t="s">
        <v>1549</v>
      </c>
      <c r="L538" t="s">
        <v>28</v>
      </c>
      <c r="M538">
        <v>89.16</v>
      </c>
      <c r="N538" t="s">
        <v>29</v>
      </c>
      <c r="O538">
        <f t="shared" si="42"/>
        <v>89.16</v>
      </c>
      <c r="P538">
        <f t="shared" si="43"/>
        <v>89.16</v>
      </c>
      <c r="Q538" t="s">
        <v>30</v>
      </c>
      <c r="R538">
        <v>46144</v>
      </c>
      <c r="S538">
        <v>401768</v>
      </c>
      <c r="T538">
        <v>23884</v>
      </c>
      <c r="U538">
        <f t="shared" si="41"/>
        <v>21.294974400000001</v>
      </c>
    </row>
    <row r="539" spans="1:21" ht="15.75" x14ac:dyDescent="0.25">
      <c r="A539" t="s">
        <v>1550</v>
      </c>
      <c r="B539">
        <v>45227</v>
      </c>
      <c r="C539" t="s">
        <v>22</v>
      </c>
      <c r="D539" t="s">
        <v>23</v>
      </c>
      <c r="E539" t="s">
        <v>22</v>
      </c>
      <c r="F539" t="s">
        <v>23</v>
      </c>
      <c r="G539" t="s">
        <v>1510</v>
      </c>
      <c r="H539" t="s">
        <v>1511</v>
      </c>
      <c r="I539" t="s">
        <v>1551</v>
      </c>
      <c r="J539">
        <v>0</v>
      </c>
      <c r="K539" t="s">
        <v>1552</v>
      </c>
      <c r="L539" t="s">
        <v>28</v>
      </c>
      <c r="M539">
        <v>99.44</v>
      </c>
      <c r="N539" t="s">
        <v>29</v>
      </c>
      <c r="O539">
        <f t="shared" si="42"/>
        <v>99.44</v>
      </c>
      <c r="P539">
        <f t="shared" si="43"/>
        <v>99.44</v>
      </c>
      <c r="Q539" t="s">
        <v>30</v>
      </c>
      <c r="R539">
        <v>46144</v>
      </c>
      <c r="S539">
        <v>401768</v>
      </c>
      <c r="T539">
        <v>11477</v>
      </c>
      <c r="U539">
        <f t="shared" si="41"/>
        <v>11.412728799999998</v>
      </c>
    </row>
    <row r="540" spans="1:21" ht="15.75" x14ac:dyDescent="0.25">
      <c r="A540" t="s">
        <v>1553</v>
      </c>
      <c r="B540">
        <v>45227</v>
      </c>
      <c r="C540" t="s">
        <v>22</v>
      </c>
      <c r="D540" t="s">
        <v>23</v>
      </c>
      <c r="E540" t="s">
        <v>22</v>
      </c>
      <c r="F540" t="s">
        <v>23</v>
      </c>
      <c r="G540" t="s">
        <v>1510</v>
      </c>
      <c r="H540" t="s">
        <v>1511</v>
      </c>
      <c r="I540" t="s">
        <v>1554</v>
      </c>
      <c r="J540">
        <v>0</v>
      </c>
      <c r="K540" t="s">
        <v>1555</v>
      </c>
      <c r="L540" t="s">
        <v>28</v>
      </c>
      <c r="M540">
        <v>716.49</v>
      </c>
      <c r="N540" t="s">
        <v>29</v>
      </c>
      <c r="O540">
        <f t="shared" si="42"/>
        <v>716.49</v>
      </c>
      <c r="P540">
        <f t="shared" si="43"/>
        <v>716.49</v>
      </c>
      <c r="Q540" t="s">
        <v>30</v>
      </c>
      <c r="R540">
        <v>46144</v>
      </c>
      <c r="S540">
        <v>401768</v>
      </c>
      <c r="T540">
        <v>1180</v>
      </c>
      <c r="U540">
        <f t="shared" si="41"/>
        <v>8.4545820000000003</v>
      </c>
    </row>
    <row r="541" spans="1:21" ht="15.75" x14ac:dyDescent="0.25">
      <c r="A541" t="s">
        <v>1556</v>
      </c>
      <c r="B541">
        <v>45227</v>
      </c>
      <c r="C541" t="s">
        <v>22</v>
      </c>
      <c r="D541" t="s">
        <v>23</v>
      </c>
      <c r="E541" t="s">
        <v>22</v>
      </c>
      <c r="F541" t="s">
        <v>23</v>
      </c>
      <c r="G541" t="s">
        <v>1510</v>
      </c>
      <c r="H541" t="s">
        <v>1511</v>
      </c>
      <c r="I541" t="s">
        <v>1557</v>
      </c>
      <c r="J541">
        <v>0</v>
      </c>
      <c r="K541" t="s">
        <v>1558</v>
      </c>
      <c r="L541" t="s">
        <v>28</v>
      </c>
      <c r="M541">
        <v>325.44</v>
      </c>
      <c r="N541" t="s">
        <v>29</v>
      </c>
      <c r="O541">
        <f t="shared" si="42"/>
        <v>325.44</v>
      </c>
      <c r="P541">
        <f t="shared" si="43"/>
        <v>325.44</v>
      </c>
      <c r="Q541" t="s">
        <v>30</v>
      </c>
      <c r="R541">
        <v>46144</v>
      </c>
      <c r="S541">
        <v>401768</v>
      </c>
      <c r="T541">
        <v>2007</v>
      </c>
      <c r="U541">
        <f t="shared" si="41"/>
        <v>6.5315807999999995</v>
      </c>
    </row>
    <row r="542" spans="1:21" ht="15.75" x14ac:dyDescent="0.25">
      <c r="A542" t="s">
        <v>1559</v>
      </c>
      <c r="B542">
        <v>45525</v>
      </c>
      <c r="C542" t="s">
        <v>22</v>
      </c>
      <c r="D542" t="s">
        <v>23</v>
      </c>
      <c r="E542" t="s">
        <v>22</v>
      </c>
      <c r="F542" t="s">
        <v>23</v>
      </c>
      <c r="G542" t="s">
        <v>1510</v>
      </c>
      <c r="H542" t="s">
        <v>1511</v>
      </c>
      <c r="I542" t="s">
        <v>1560</v>
      </c>
      <c r="J542">
        <v>0</v>
      </c>
      <c r="K542" t="s">
        <v>1555</v>
      </c>
      <c r="L542" t="s">
        <v>28</v>
      </c>
      <c r="M542">
        <v>50</v>
      </c>
      <c r="N542" t="s">
        <v>29</v>
      </c>
      <c r="O542">
        <f t="shared" si="42"/>
        <v>50</v>
      </c>
      <c r="P542">
        <f t="shared" si="43"/>
        <v>50</v>
      </c>
      <c r="Q542" t="s">
        <v>30</v>
      </c>
      <c r="R542">
        <v>46036</v>
      </c>
      <c r="S542">
        <v>401768</v>
      </c>
      <c r="U542">
        <f t="shared" si="41"/>
        <v>0</v>
      </c>
    </row>
    <row r="543" spans="1:21" ht="15.75" x14ac:dyDescent="0.25">
      <c r="A543" t="s">
        <v>1561</v>
      </c>
      <c r="B543">
        <v>45525</v>
      </c>
      <c r="C543" t="s">
        <v>22</v>
      </c>
      <c r="D543" t="s">
        <v>23</v>
      </c>
      <c r="E543" t="s">
        <v>22</v>
      </c>
      <c r="F543" t="s">
        <v>23</v>
      </c>
      <c r="G543" t="s">
        <v>1510</v>
      </c>
      <c r="H543" t="s">
        <v>1511</v>
      </c>
      <c r="I543" t="s">
        <v>1562</v>
      </c>
      <c r="J543">
        <v>0</v>
      </c>
      <c r="K543" t="s">
        <v>1563</v>
      </c>
      <c r="L543" t="s">
        <v>28</v>
      </c>
      <c r="M543">
        <v>50</v>
      </c>
      <c r="N543" t="s">
        <v>29</v>
      </c>
      <c r="O543">
        <f t="shared" si="42"/>
        <v>50</v>
      </c>
      <c r="P543">
        <f t="shared" si="43"/>
        <v>50</v>
      </c>
      <c r="Q543" t="s">
        <v>30</v>
      </c>
      <c r="R543">
        <v>46036</v>
      </c>
      <c r="S543">
        <v>401768</v>
      </c>
      <c r="U543">
        <f t="shared" si="41"/>
        <v>0</v>
      </c>
    </row>
    <row r="544" spans="1:21" ht="15.75" x14ac:dyDescent="0.25">
      <c r="A544" t="s">
        <v>1564</v>
      </c>
      <c r="B544">
        <v>45541</v>
      </c>
      <c r="C544" t="s">
        <v>22</v>
      </c>
      <c r="D544" t="s">
        <v>23</v>
      </c>
      <c r="E544" t="s">
        <v>22</v>
      </c>
      <c r="F544" t="s">
        <v>23</v>
      </c>
      <c r="G544" t="s">
        <v>1510</v>
      </c>
      <c r="H544" t="s">
        <v>1511</v>
      </c>
      <c r="I544" t="s">
        <v>1565</v>
      </c>
      <c r="J544">
        <v>0</v>
      </c>
      <c r="K544" t="s">
        <v>1566</v>
      </c>
      <c r="L544" t="s">
        <v>28</v>
      </c>
      <c r="M544">
        <v>278.95999999999998</v>
      </c>
      <c r="N544" t="s">
        <v>29</v>
      </c>
      <c r="O544">
        <f t="shared" si="42"/>
        <v>278.95999999999998</v>
      </c>
      <c r="P544">
        <f t="shared" si="43"/>
        <v>278.95999999999998</v>
      </c>
      <c r="Q544" t="s">
        <v>30</v>
      </c>
      <c r="R544">
        <v>45541</v>
      </c>
      <c r="S544">
        <v>401768</v>
      </c>
      <c r="U544">
        <f t="shared" si="41"/>
        <v>0</v>
      </c>
    </row>
    <row r="545" spans="1:21" ht="15.75" x14ac:dyDescent="0.25">
      <c r="A545" t="s">
        <v>1567</v>
      </c>
      <c r="B545">
        <v>45583</v>
      </c>
      <c r="C545" t="s">
        <v>22</v>
      </c>
      <c r="D545" t="s">
        <v>23</v>
      </c>
      <c r="E545" t="s">
        <v>22</v>
      </c>
      <c r="F545" t="s">
        <v>23</v>
      </c>
      <c r="G545" t="s">
        <v>1510</v>
      </c>
      <c r="H545" t="s">
        <v>1511</v>
      </c>
      <c r="I545" t="s">
        <v>1568</v>
      </c>
      <c r="J545">
        <v>0</v>
      </c>
      <c r="K545" t="s">
        <v>1569</v>
      </c>
      <c r="L545" t="s">
        <v>28</v>
      </c>
      <c r="M545">
        <v>337.09</v>
      </c>
      <c r="N545" t="s">
        <v>29</v>
      </c>
      <c r="O545">
        <f t="shared" si="42"/>
        <v>337.09</v>
      </c>
      <c r="P545">
        <f t="shared" si="43"/>
        <v>337.09</v>
      </c>
      <c r="Q545" t="s">
        <v>30</v>
      </c>
      <c r="R545">
        <v>46144</v>
      </c>
      <c r="S545">
        <v>401768</v>
      </c>
      <c r="T545">
        <v>10480</v>
      </c>
      <c r="U545">
        <f t="shared" si="41"/>
        <v>35.327031999999996</v>
      </c>
    </row>
    <row r="546" spans="1:21" ht="15.75" x14ac:dyDescent="0.25">
      <c r="A546" t="s">
        <v>1570</v>
      </c>
      <c r="B546">
        <v>45666</v>
      </c>
      <c r="C546" t="s">
        <v>22</v>
      </c>
      <c r="D546" t="s">
        <v>23</v>
      </c>
      <c r="E546" t="s">
        <v>22</v>
      </c>
      <c r="F546" t="s">
        <v>23</v>
      </c>
      <c r="G546" t="s">
        <v>1510</v>
      </c>
      <c r="H546" t="s">
        <v>1511</v>
      </c>
      <c r="I546" t="s">
        <v>1571</v>
      </c>
      <c r="J546">
        <v>0</v>
      </c>
      <c r="K546" t="s">
        <v>1572</v>
      </c>
      <c r="L546" t="s">
        <v>28</v>
      </c>
      <c r="M546">
        <v>278.95999999999998</v>
      </c>
      <c r="N546" t="s">
        <v>29</v>
      </c>
      <c r="O546">
        <f t="shared" si="42"/>
        <v>278.95999999999998</v>
      </c>
      <c r="P546">
        <f t="shared" si="43"/>
        <v>278.95999999999998</v>
      </c>
      <c r="Q546" t="s">
        <v>30</v>
      </c>
      <c r="R546">
        <v>45666</v>
      </c>
      <c r="S546">
        <v>401768</v>
      </c>
      <c r="U546">
        <f t="shared" si="41"/>
        <v>0</v>
      </c>
    </row>
    <row r="547" spans="1:21" ht="15.75" x14ac:dyDescent="0.25">
      <c r="A547" t="s">
        <v>1573</v>
      </c>
      <c r="B547">
        <v>45754</v>
      </c>
      <c r="C547" t="s">
        <v>22</v>
      </c>
      <c r="D547" t="s">
        <v>23</v>
      </c>
      <c r="E547" t="s">
        <v>22</v>
      </c>
      <c r="F547" t="s">
        <v>23</v>
      </c>
      <c r="G547" t="s">
        <v>1510</v>
      </c>
      <c r="H547" t="s">
        <v>1511</v>
      </c>
      <c r="I547" t="s">
        <v>1574</v>
      </c>
      <c r="J547">
        <v>0</v>
      </c>
      <c r="K547" t="s">
        <v>1575</v>
      </c>
      <c r="L547" t="s">
        <v>28</v>
      </c>
      <c r="M547">
        <v>279.70999999999998</v>
      </c>
      <c r="N547" t="s">
        <v>29</v>
      </c>
      <c r="O547">
        <f t="shared" si="42"/>
        <v>279.70999999999998</v>
      </c>
      <c r="P547">
        <f t="shared" si="43"/>
        <v>279.70999999999998</v>
      </c>
      <c r="Q547" t="s">
        <v>30</v>
      </c>
      <c r="R547">
        <v>45754</v>
      </c>
      <c r="S547">
        <v>401768</v>
      </c>
      <c r="U547">
        <f t="shared" si="41"/>
        <v>0</v>
      </c>
    </row>
    <row r="548" spans="1:21" ht="15.75" x14ac:dyDescent="0.25">
      <c r="A548" t="s">
        <v>1576</v>
      </c>
      <c r="B548">
        <v>45793</v>
      </c>
      <c r="C548" t="s">
        <v>22</v>
      </c>
      <c r="D548" t="s">
        <v>23</v>
      </c>
      <c r="E548" t="s">
        <v>22</v>
      </c>
      <c r="F548" t="s">
        <v>23</v>
      </c>
      <c r="G548" t="s">
        <v>1510</v>
      </c>
      <c r="H548" t="s">
        <v>1511</v>
      </c>
      <c r="I548" t="s">
        <v>1577</v>
      </c>
      <c r="J548">
        <v>0</v>
      </c>
      <c r="K548" t="s">
        <v>1578</v>
      </c>
      <c r="L548" t="s">
        <v>28</v>
      </c>
      <c r="M548">
        <v>100</v>
      </c>
      <c r="N548" t="s">
        <v>29</v>
      </c>
      <c r="O548">
        <f t="shared" si="42"/>
        <v>100</v>
      </c>
      <c r="P548">
        <f t="shared" si="43"/>
        <v>100</v>
      </c>
      <c r="Q548" t="s">
        <v>30</v>
      </c>
      <c r="R548">
        <v>45793</v>
      </c>
      <c r="S548">
        <v>401768</v>
      </c>
      <c r="U548">
        <f t="shared" si="41"/>
        <v>0</v>
      </c>
    </row>
    <row r="549" spans="1:21" ht="15.75" x14ac:dyDescent="0.25">
      <c r="A549" t="s">
        <v>1579</v>
      </c>
      <c r="B549">
        <v>46030</v>
      </c>
      <c r="C549" t="s">
        <v>22</v>
      </c>
      <c r="D549" t="s">
        <v>23</v>
      </c>
      <c r="E549" t="s">
        <v>22</v>
      </c>
      <c r="F549" t="s">
        <v>23</v>
      </c>
      <c r="G549" t="s">
        <v>1510</v>
      </c>
      <c r="H549" t="s">
        <v>1511</v>
      </c>
      <c r="I549" t="s">
        <v>1580</v>
      </c>
      <c r="J549">
        <v>0</v>
      </c>
      <c r="K549" t="s">
        <v>1581</v>
      </c>
      <c r="L549" t="s">
        <v>28</v>
      </c>
      <c r="M549">
        <v>325.47000000000003</v>
      </c>
      <c r="N549" t="s">
        <v>29</v>
      </c>
      <c r="O549">
        <f t="shared" si="42"/>
        <v>325.47000000000003</v>
      </c>
      <c r="P549">
        <f t="shared" si="43"/>
        <v>325.47000000000003</v>
      </c>
      <c r="Q549" t="s">
        <v>30</v>
      </c>
      <c r="R549">
        <v>46030</v>
      </c>
      <c r="S549">
        <v>401768</v>
      </c>
      <c r="U549">
        <f t="shared" si="41"/>
        <v>0</v>
      </c>
    </row>
    <row r="550" spans="1:21" ht="15.75" x14ac:dyDescent="0.25">
      <c r="A550" t="s">
        <v>1582</v>
      </c>
      <c r="B550">
        <v>46093</v>
      </c>
      <c r="C550" t="s">
        <v>22</v>
      </c>
      <c r="D550" t="s">
        <v>23</v>
      </c>
      <c r="E550" t="s">
        <v>22</v>
      </c>
      <c r="F550" t="s">
        <v>23</v>
      </c>
      <c r="G550" t="s">
        <v>1510</v>
      </c>
      <c r="H550" t="s">
        <v>1511</v>
      </c>
      <c r="I550" t="s">
        <v>1583</v>
      </c>
      <c r="J550">
        <v>0</v>
      </c>
      <c r="K550" t="s">
        <v>1584</v>
      </c>
      <c r="L550" t="s">
        <v>28</v>
      </c>
      <c r="M550">
        <v>296.51</v>
      </c>
      <c r="N550" t="s">
        <v>29</v>
      </c>
      <c r="O550">
        <f t="shared" si="42"/>
        <v>296.51</v>
      </c>
      <c r="P550">
        <f t="shared" si="43"/>
        <v>296.51</v>
      </c>
      <c r="Q550" t="s">
        <v>30</v>
      </c>
      <c r="R550">
        <v>46144</v>
      </c>
      <c r="S550">
        <v>401768</v>
      </c>
      <c r="T550">
        <v>10480</v>
      </c>
      <c r="U550">
        <f t="shared" si="41"/>
        <v>31.074247999999997</v>
      </c>
    </row>
    <row r="551" spans="1:21" ht="15.75" x14ac:dyDescent="0.25">
      <c r="A551" t="s">
        <v>1585</v>
      </c>
      <c r="B551">
        <v>45681</v>
      </c>
      <c r="C551" t="s">
        <v>22</v>
      </c>
      <c r="D551" t="s">
        <v>23</v>
      </c>
      <c r="E551" t="s">
        <v>30</v>
      </c>
      <c r="F551" t="s">
        <v>30</v>
      </c>
      <c r="G551" t="s">
        <v>1586</v>
      </c>
      <c r="H551" t="s">
        <v>1587</v>
      </c>
      <c r="I551" t="s">
        <v>1239</v>
      </c>
      <c r="J551">
        <v>0</v>
      </c>
      <c r="K551" t="s">
        <v>1240</v>
      </c>
      <c r="L551" t="s">
        <v>28</v>
      </c>
      <c r="M551">
        <v>550</v>
      </c>
      <c r="N551" t="s">
        <v>29</v>
      </c>
      <c r="O551">
        <f t="shared" si="42"/>
        <v>550</v>
      </c>
      <c r="P551">
        <f t="shared" si="43"/>
        <v>550</v>
      </c>
      <c r="Q551" t="s">
        <v>30</v>
      </c>
      <c r="R551">
        <v>45681</v>
      </c>
      <c r="S551">
        <v>401768</v>
      </c>
      <c r="U551">
        <f t="shared" si="41"/>
        <v>0</v>
      </c>
    </row>
    <row r="552" spans="1:21" ht="15.75" x14ac:dyDescent="0.25">
      <c r="A552" t="s">
        <v>1588</v>
      </c>
      <c r="B552">
        <v>43959</v>
      </c>
      <c r="C552" t="s">
        <v>22</v>
      </c>
      <c r="D552" t="s">
        <v>23</v>
      </c>
      <c r="E552" t="s">
        <v>22</v>
      </c>
      <c r="F552" t="s">
        <v>23</v>
      </c>
      <c r="G552" t="s">
        <v>1589</v>
      </c>
      <c r="H552" t="s">
        <v>1590</v>
      </c>
      <c r="I552" t="s">
        <v>540</v>
      </c>
      <c r="J552">
        <v>0</v>
      </c>
      <c r="K552" t="s">
        <v>541</v>
      </c>
      <c r="L552" t="s">
        <v>28</v>
      </c>
      <c r="M552">
        <v>0.81200000000000006</v>
      </c>
      <c r="N552" t="s">
        <v>151</v>
      </c>
      <c r="O552">
        <v>110</v>
      </c>
      <c r="P552">
        <f>O552*M552</f>
        <v>89.320000000000007</v>
      </c>
      <c r="Q552" t="s">
        <v>30</v>
      </c>
      <c r="R552">
        <v>43421</v>
      </c>
      <c r="S552">
        <v>401768</v>
      </c>
      <c r="U552">
        <f t="shared" si="41"/>
        <v>0</v>
      </c>
    </row>
    <row r="553" spans="1:21" ht="15.75" x14ac:dyDescent="0.25">
      <c r="A553" t="s">
        <v>1591</v>
      </c>
      <c r="B553">
        <v>43959</v>
      </c>
      <c r="C553" t="s">
        <v>22</v>
      </c>
      <c r="D553" t="s">
        <v>23</v>
      </c>
      <c r="E553" t="s">
        <v>22</v>
      </c>
      <c r="F553" t="s">
        <v>23</v>
      </c>
      <c r="G553" t="s">
        <v>1589</v>
      </c>
      <c r="H553" t="s">
        <v>1590</v>
      </c>
      <c r="I553" t="s">
        <v>543</v>
      </c>
      <c r="J553">
        <v>0</v>
      </c>
      <c r="K553" t="s">
        <v>544</v>
      </c>
      <c r="L553" t="s">
        <v>28</v>
      </c>
      <c r="M553">
        <v>1.56</v>
      </c>
      <c r="N553" t="s">
        <v>151</v>
      </c>
      <c r="O553">
        <v>110</v>
      </c>
      <c r="P553">
        <f>O553*M553</f>
        <v>171.6</v>
      </c>
      <c r="Q553" t="s">
        <v>30</v>
      </c>
      <c r="R553">
        <v>43421</v>
      </c>
      <c r="S553">
        <v>401768</v>
      </c>
      <c r="U553">
        <f t="shared" si="41"/>
        <v>0</v>
      </c>
    </row>
    <row r="554" spans="1:21" ht="15.75" x14ac:dyDescent="0.25">
      <c r="A554" t="s">
        <v>1592</v>
      </c>
      <c r="B554">
        <v>43959</v>
      </c>
      <c r="C554" t="s">
        <v>22</v>
      </c>
      <c r="D554" t="s">
        <v>23</v>
      </c>
      <c r="E554" t="s">
        <v>22</v>
      </c>
      <c r="F554" t="s">
        <v>23</v>
      </c>
      <c r="G554" t="s">
        <v>1589</v>
      </c>
      <c r="H554" t="s">
        <v>1590</v>
      </c>
      <c r="I554" t="s">
        <v>546</v>
      </c>
      <c r="J554">
        <v>0</v>
      </c>
      <c r="K554" t="s">
        <v>547</v>
      </c>
      <c r="L554" t="s">
        <v>28</v>
      </c>
      <c r="M554">
        <v>1.18</v>
      </c>
      <c r="N554" t="s">
        <v>151</v>
      </c>
      <c r="O554">
        <v>110</v>
      </c>
      <c r="P554">
        <f>O554*M554</f>
        <v>129.79999999999998</v>
      </c>
      <c r="Q554" t="s">
        <v>30</v>
      </c>
      <c r="R554">
        <v>43421</v>
      </c>
      <c r="S554">
        <v>401768</v>
      </c>
      <c r="U554">
        <f t="shared" si="41"/>
        <v>0</v>
      </c>
    </row>
    <row r="555" spans="1:21" ht="15.75" x14ac:dyDescent="0.25">
      <c r="A555" t="s">
        <v>1593</v>
      </c>
      <c r="B555">
        <v>43959</v>
      </c>
      <c r="C555" t="s">
        <v>22</v>
      </c>
      <c r="D555" t="s">
        <v>23</v>
      </c>
      <c r="E555" t="s">
        <v>22</v>
      </c>
      <c r="F555" t="s">
        <v>23</v>
      </c>
      <c r="G555" t="s">
        <v>1589</v>
      </c>
      <c r="H555" t="s">
        <v>1590</v>
      </c>
      <c r="I555" t="s">
        <v>549</v>
      </c>
      <c r="J555">
        <v>0</v>
      </c>
      <c r="K555" t="s">
        <v>550</v>
      </c>
      <c r="L555" t="s">
        <v>28</v>
      </c>
      <c r="M555">
        <v>3.2</v>
      </c>
      <c r="N555" t="s">
        <v>151</v>
      </c>
      <c r="O555">
        <v>110</v>
      </c>
      <c r="P555">
        <f>O555*M555</f>
        <v>352</v>
      </c>
      <c r="Q555" t="s">
        <v>30</v>
      </c>
      <c r="R555">
        <v>43712</v>
      </c>
      <c r="S555">
        <v>401768</v>
      </c>
      <c r="U555">
        <f t="shared" si="41"/>
        <v>0</v>
      </c>
    </row>
    <row r="556" spans="1:21" ht="15.75" x14ac:dyDescent="0.25">
      <c r="A556" t="s">
        <v>1594</v>
      </c>
      <c r="B556">
        <v>45477</v>
      </c>
      <c r="C556" t="s">
        <v>22</v>
      </c>
      <c r="D556" t="s">
        <v>23</v>
      </c>
      <c r="E556" t="s">
        <v>22</v>
      </c>
      <c r="F556" t="s">
        <v>23</v>
      </c>
      <c r="G556" t="s">
        <v>1595</v>
      </c>
      <c r="H556" t="s">
        <v>1596</v>
      </c>
      <c r="I556" t="s">
        <v>1597</v>
      </c>
      <c r="J556">
        <v>0</v>
      </c>
      <c r="K556" t="s">
        <v>1598</v>
      </c>
      <c r="L556" t="s">
        <v>28</v>
      </c>
      <c r="M556">
        <v>153.72</v>
      </c>
      <c r="N556" t="s">
        <v>29</v>
      </c>
      <c r="O556">
        <f>M556</f>
        <v>153.72</v>
      </c>
      <c r="P556">
        <f>O556</f>
        <v>153.72</v>
      </c>
      <c r="Q556" t="s">
        <v>30</v>
      </c>
      <c r="R556">
        <v>46142</v>
      </c>
      <c r="S556">
        <v>401768</v>
      </c>
      <c r="T556">
        <v>16000</v>
      </c>
      <c r="U556">
        <f t="shared" si="41"/>
        <v>24.595199999999998</v>
      </c>
    </row>
    <row r="557" spans="1:21" ht="15.75" x14ac:dyDescent="0.25">
      <c r="A557" t="s">
        <v>1599</v>
      </c>
      <c r="B557">
        <v>45133</v>
      </c>
      <c r="C557" t="s">
        <v>22</v>
      </c>
      <c r="D557" t="s">
        <v>23</v>
      </c>
      <c r="E557" t="s">
        <v>22</v>
      </c>
      <c r="F557" t="s">
        <v>23</v>
      </c>
      <c r="G557" t="s">
        <v>1600</v>
      </c>
      <c r="H557" t="s">
        <v>1601</v>
      </c>
      <c r="I557" t="s">
        <v>693</v>
      </c>
      <c r="J557">
        <v>0</v>
      </c>
      <c r="K557" t="s">
        <v>694</v>
      </c>
      <c r="L557" t="s">
        <v>28</v>
      </c>
      <c r="M557">
        <v>35</v>
      </c>
      <c r="N557" t="s">
        <v>160</v>
      </c>
      <c r="O557">
        <v>95</v>
      </c>
      <c r="P557">
        <f>O557*M557</f>
        <v>3325</v>
      </c>
      <c r="Q557" t="s">
        <v>30</v>
      </c>
      <c r="R557">
        <v>45133</v>
      </c>
      <c r="S557">
        <v>401768</v>
      </c>
      <c r="U557">
        <f t="shared" si="41"/>
        <v>0</v>
      </c>
    </row>
    <row r="558" spans="1:21" ht="15.75" x14ac:dyDescent="0.25">
      <c r="A558" t="s">
        <v>1602</v>
      </c>
      <c r="B558">
        <v>44053</v>
      </c>
      <c r="C558" t="s">
        <v>22</v>
      </c>
      <c r="D558" t="s">
        <v>23</v>
      </c>
      <c r="E558" t="s">
        <v>22</v>
      </c>
      <c r="F558" t="s">
        <v>23</v>
      </c>
      <c r="G558" t="s">
        <v>1603</v>
      </c>
      <c r="H558" t="s">
        <v>1604</v>
      </c>
      <c r="I558" t="s">
        <v>1605</v>
      </c>
      <c r="J558">
        <v>0</v>
      </c>
      <c r="K558" t="s">
        <v>1606</v>
      </c>
      <c r="L558" t="s">
        <v>28</v>
      </c>
      <c r="M558">
        <v>153</v>
      </c>
      <c r="N558" t="s">
        <v>29</v>
      </c>
      <c r="O558">
        <f t="shared" ref="O558:O589" si="44">M558</f>
        <v>153</v>
      </c>
      <c r="P558">
        <f t="shared" ref="P558:P589" si="45">O558</f>
        <v>153</v>
      </c>
      <c r="Q558" t="s">
        <v>30</v>
      </c>
      <c r="R558">
        <v>44345</v>
      </c>
      <c r="S558">
        <v>401768</v>
      </c>
      <c r="T558">
        <v>1656</v>
      </c>
      <c r="U558">
        <f t="shared" si="41"/>
        <v>2.5336799999999999</v>
      </c>
    </row>
    <row r="559" spans="1:21" ht="15.75" x14ac:dyDescent="0.25">
      <c r="A559" t="s">
        <v>1607</v>
      </c>
      <c r="B559">
        <v>44054</v>
      </c>
      <c r="C559" t="s">
        <v>22</v>
      </c>
      <c r="D559" t="s">
        <v>23</v>
      </c>
      <c r="E559" t="s">
        <v>22</v>
      </c>
      <c r="F559" t="s">
        <v>23</v>
      </c>
      <c r="G559" t="s">
        <v>1603</v>
      </c>
      <c r="H559" t="s">
        <v>1604</v>
      </c>
      <c r="I559" t="s">
        <v>1096</v>
      </c>
      <c r="J559">
        <v>0</v>
      </c>
      <c r="K559" t="s">
        <v>1097</v>
      </c>
      <c r="L559" t="s">
        <v>28</v>
      </c>
      <c r="M559">
        <v>145</v>
      </c>
      <c r="N559" t="s">
        <v>29</v>
      </c>
      <c r="O559">
        <f t="shared" si="44"/>
        <v>145</v>
      </c>
      <c r="P559">
        <f t="shared" si="45"/>
        <v>145</v>
      </c>
      <c r="Q559" t="s">
        <v>30</v>
      </c>
      <c r="R559">
        <v>44810</v>
      </c>
      <c r="S559">
        <v>401768</v>
      </c>
      <c r="U559">
        <f t="shared" si="41"/>
        <v>0</v>
      </c>
    </row>
    <row r="560" spans="1:21" ht="15.75" x14ac:dyDescent="0.25">
      <c r="A560" t="s">
        <v>1608</v>
      </c>
      <c r="B560">
        <v>44810</v>
      </c>
      <c r="C560" t="s">
        <v>22</v>
      </c>
      <c r="D560" t="s">
        <v>23</v>
      </c>
      <c r="E560" t="s">
        <v>22</v>
      </c>
      <c r="F560" t="s">
        <v>23</v>
      </c>
      <c r="G560" t="s">
        <v>1603</v>
      </c>
      <c r="H560" t="s">
        <v>1604</v>
      </c>
      <c r="I560" t="s">
        <v>1099</v>
      </c>
      <c r="J560">
        <v>0</v>
      </c>
      <c r="K560" t="s">
        <v>1100</v>
      </c>
      <c r="L560" t="s">
        <v>28</v>
      </c>
      <c r="M560">
        <v>145</v>
      </c>
      <c r="N560" t="s">
        <v>29</v>
      </c>
      <c r="O560">
        <f t="shared" si="44"/>
        <v>145</v>
      </c>
      <c r="P560">
        <f t="shared" si="45"/>
        <v>145</v>
      </c>
      <c r="Q560" t="s">
        <v>30</v>
      </c>
      <c r="R560">
        <v>44810</v>
      </c>
      <c r="S560">
        <v>401768</v>
      </c>
      <c r="U560">
        <f t="shared" si="41"/>
        <v>0</v>
      </c>
    </row>
    <row r="561" spans="1:21" ht="15.75" x14ac:dyDescent="0.25">
      <c r="A561" t="s">
        <v>1609</v>
      </c>
      <c r="B561">
        <v>45603</v>
      </c>
      <c r="C561" t="s">
        <v>22</v>
      </c>
      <c r="D561" t="s">
        <v>23</v>
      </c>
      <c r="E561" t="s">
        <v>22</v>
      </c>
      <c r="F561" t="s">
        <v>23</v>
      </c>
      <c r="G561" t="s">
        <v>1603</v>
      </c>
      <c r="H561" t="s">
        <v>1604</v>
      </c>
      <c r="I561" t="s">
        <v>1610</v>
      </c>
      <c r="J561">
        <v>0</v>
      </c>
      <c r="K561" t="s">
        <v>1611</v>
      </c>
      <c r="L561" t="s">
        <v>28</v>
      </c>
      <c r="M561">
        <v>210</v>
      </c>
      <c r="N561" t="s">
        <v>29</v>
      </c>
      <c r="O561">
        <f t="shared" si="44"/>
        <v>210</v>
      </c>
      <c r="P561">
        <f t="shared" si="45"/>
        <v>210</v>
      </c>
      <c r="Q561" t="s">
        <v>30</v>
      </c>
      <c r="R561">
        <v>45603</v>
      </c>
      <c r="S561">
        <v>401768</v>
      </c>
      <c r="T561">
        <v>2386</v>
      </c>
      <c r="U561">
        <f t="shared" si="41"/>
        <v>5.0106000000000002</v>
      </c>
    </row>
    <row r="562" spans="1:21" ht="15.75" x14ac:dyDescent="0.25">
      <c r="A562" t="s">
        <v>1612</v>
      </c>
      <c r="B562">
        <v>45603</v>
      </c>
      <c r="C562" t="s">
        <v>22</v>
      </c>
      <c r="D562" t="s">
        <v>23</v>
      </c>
      <c r="E562" t="s">
        <v>22</v>
      </c>
      <c r="F562" t="s">
        <v>23</v>
      </c>
      <c r="G562" t="s">
        <v>1603</v>
      </c>
      <c r="H562" t="s">
        <v>1604</v>
      </c>
      <c r="I562" t="s">
        <v>1613</v>
      </c>
      <c r="J562">
        <v>0</v>
      </c>
      <c r="K562" t="s">
        <v>1614</v>
      </c>
      <c r="L562" t="s">
        <v>28</v>
      </c>
      <c r="M562">
        <v>210</v>
      </c>
      <c r="N562" t="s">
        <v>29</v>
      </c>
      <c r="O562">
        <f t="shared" si="44"/>
        <v>210</v>
      </c>
      <c r="P562">
        <f t="shared" si="45"/>
        <v>210</v>
      </c>
      <c r="Q562" t="s">
        <v>30</v>
      </c>
      <c r="R562">
        <v>45603</v>
      </c>
      <c r="S562">
        <v>401768</v>
      </c>
      <c r="T562">
        <v>432</v>
      </c>
      <c r="U562">
        <f t="shared" si="41"/>
        <v>0.90720000000000001</v>
      </c>
    </row>
    <row r="563" spans="1:21" ht="15.75" x14ac:dyDescent="0.25">
      <c r="A563" t="s">
        <v>1615</v>
      </c>
      <c r="B563">
        <v>45803</v>
      </c>
      <c r="C563" t="s">
        <v>22</v>
      </c>
      <c r="D563" t="s">
        <v>23</v>
      </c>
      <c r="E563" t="s">
        <v>22</v>
      </c>
      <c r="F563" t="s">
        <v>23</v>
      </c>
      <c r="G563" t="s">
        <v>1603</v>
      </c>
      <c r="H563" t="s">
        <v>1604</v>
      </c>
      <c r="I563" t="s">
        <v>1067</v>
      </c>
      <c r="J563">
        <v>0</v>
      </c>
      <c r="K563" t="s">
        <v>1068</v>
      </c>
      <c r="L563" t="s">
        <v>28</v>
      </c>
      <c r="M563">
        <v>10</v>
      </c>
      <c r="N563" t="s">
        <v>29</v>
      </c>
      <c r="O563">
        <f t="shared" si="44"/>
        <v>10</v>
      </c>
      <c r="P563">
        <f t="shared" si="45"/>
        <v>10</v>
      </c>
      <c r="Q563" t="s">
        <v>30</v>
      </c>
      <c r="R563">
        <v>45803</v>
      </c>
      <c r="S563">
        <v>401768</v>
      </c>
      <c r="U563">
        <f t="shared" si="41"/>
        <v>0</v>
      </c>
    </row>
    <row r="564" spans="1:21" ht="15.75" x14ac:dyDescent="0.25">
      <c r="A564" t="s">
        <v>1616</v>
      </c>
      <c r="B564">
        <v>45803</v>
      </c>
      <c r="C564" t="s">
        <v>22</v>
      </c>
      <c r="D564" t="s">
        <v>23</v>
      </c>
      <c r="E564" t="s">
        <v>22</v>
      </c>
      <c r="F564" t="s">
        <v>23</v>
      </c>
      <c r="G564" t="s">
        <v>1603</v>
      </c>
      <c r="H564" t="s">
        <v>1604</v>
      </c>
      <c r="I564" t="s">
        <v>1070</v>
      </c>
      <c r="J564">
        <v>0</v>
      </c>
      <c r="K564" t="s">
        <v>1071</v>
      </c>
      <c r="L564" t="s">
        <v>28</v>
      </c>
      <c r="M564">
        <v>10</v>
      </c>
      <c r="N564" t="s">
        <v>29</v>
      </c>
      <c r="O564">
        <f t="shared" si="44"/>
        <v>10</v>
      </c>
      <c r="P564">
        <f t="shared" si="45"/>
        <v>10</v>
      </c>
      <c r="Q564" t="s">
        <v>30</v>
      </c>
      <c r="R564">
        <v>45803</v>
      </c>
      <c r="S564">
        <v>401768</v>
      </c>
      <c r="U564">
        <f t="shared" si="41"/>
        <v>0</v>
      </c>
    </row>
    <row r="565" spans="1:21" ht="15.75" x14ac:dyDescent="0.25">
      <c r="A565" t="s">
        <v>1617</v>
      </c>
      <c r="B565">
        <v>45803</v>
      </c>
      <c r="C565" t="s">
        <v>22</v>
      </c>
      <c r="D565" t="s">
        <v>23</v>
      </c>
      <c r="E565" t="s">
        <v>22</v>
      </c>
      <c r="F565" t="s">
        <v>23</v>
      </c>
      <c r="G565" t="s">
        <v>1603</v>
      </c>
      <c r="H565" t="s">
        <v>1604</v>
      </c>
      <c r="I565" t="s">
        <v>1073</v>
      </c>
      <c r="J565">
        <v>0</v>
      </c>
      <c r="K565" t="s">
        <v>1074</v>
      </c>
      <c r="L565" t="s">
        <v>28</v>
      </c>
      <c r="M565">
        <v>10</v>
      </c>
      <c r="N565" t="s">
        <v>29</v>
      </c>
      <c r="O565">
        <f t="shared" si="44"/>
        <v>10</v>
      </c>
      <c r="P565">
        <f t="shared" si="45"/>
        <v>10</v>
      </c>
      <c r="Q565" t="s">
        <v>30</v>
      </c>
      <c r="R565">
        <v>45803</v>
      </c>
      <c r="S565">
        <v>401768</v>
      </c>
      <c r="U565">
        <f t="shared" si="41"/>
        <v>0</v>
      </c>
    </row>
    <row r="566" spans="1:21" ht="15.75" x14ac:dyDescent="0.25">
      <c r="A566" t="s">
        <v>1618</v>
      </c>
      <c r="B566">
        <v>43959</v>
      </c>
      <c r="C566" t="s">
        <v>22</v>
      </c>
      <c r="D566" t="s">
        <v>23</v>
      </c>
      <c r="E566" t="s">
        <v>22</v>
      </c>
      <c r="F566" t="s">
        <v>23</v>
      </c>
      <c r="G566" t="s">
        <v>1619</v>
      </c>
      <c r="H566" t="s">
        <v>1620</v>
      </c>
      <c r="I566" t="s">
        <v>1621</v>
      </c>
      <c r="J566">
        <v>0</v>
      </c>
      <c r="K566" t="s">
        <v>1622</v>
      </c>
      <c r="L566" t="s">
        <v>28</v>
      </c>
      <c r="M566">
        <v>250</v>
      </c>
      <c r="N566" t="s">
        <v>29</v>
      </c>
      <c r="O566">
        <f t="shared" si="44"/>
        <v>250</v>
      </c>
      <c r="P566">
        <f t="shared" si="45"/>
        <v>250</v>
      </c>
      <c r="Q566" t="s">
        <v>30</v>
      </c>
      <c r="R566">
        <v>41639</v>
      </c>
      <c r="S566">
        <v>401768</v>
      </c>
      <c r="U566">
        <f t="shared" si="41"/>
        <v>0</v>
      </c>
    </row>
    <row r="567" spans="1:21" ht="15.75" x14ac:dyDescent="0.25">
      <c r="A567" t="s">
        <v>1623</v>
      </c>
      <c r="B567">
        <v>43959</v>
      </c>
      <c r="C567" t="s">
        <v>22</v>
      </c>
      <c r="D567" t="s">
        <v>23</v>
      </c>
      <c r="E567" t="s">
        <v>22</v>
      </c>
      <c r="F567" t="s">
        <v>23</v>
      </c>
      <c r="G567" t="s">
        <v>1619</v>
      </c>
      <c r="H567" t="s">
        <v>1620</v>
      </c>
      <c r="I567" t="s">
        <v>1624</v>
      </c>
      <c r="J567">
        <v>0</v>
      </c>
      <c r="K567" t="s">
        <v>1625</v>
      </c>
      <c r="L567" t="s">
        <v>28</v>
      </c>
      <c r="M567">
        <v>213</v>
      </c>
      <c r="N567" t="s">
        <v>29</v>
      </c>
      <c r="O567">
        <f t="shared" si="44"/>
        <v>213</v>
      </c>
      <c r="P567">
        <f t="shared" si="45"/>
        <v>213</v>
      </c>
      <c r="Q567" t="s">
        <v>30</v>
      </c>
      <c r="R567">
        <v>41639</v>
      </c>
      <c r="S567">
        <v>401768</v>
      </c>
      <c r="U567">
        <f t="shared" si="41"/>
        <v>0</v>
      </c>
    </row>
    <row r="568" spans="1:21" ht="15.75" x14ac:dyDescent="0.25">
      <c r="A568" t="s">
        <v>1626</v>
      </c>
      <c r="B568">
        <v>43959</v>
      </c>
      <c r="C568" t="s">
        <v>22</v>
      </c>
      <c r="D568" t="s">
        <v>23</v>
      </c>
      <c r="E568" t="s">
        <v>22</v>
      </c>
      <c r="F568" t="s">
        <v>23</v>
      </c>
      <c r="G568" t="s">
        <v>1619</v>
      </c>
      <c r="H568" t="s">
        <v>1620</v>
      </c>
      <c r="I568" t="s">
        <v>1627</v>
      </c>
      <c r="J568">
        <v>0</v>
      </c>
      <c r="K568" t="s">
        <v>1628</v>
      </c>
      <c r="L568" t="s">
        <v>28</v>
      </c>
      <c r="M568">
        <v>213</v>
      </c>
      <c r="N568" t="s">
        <v>29</v>
      </c>
      <c r="O568">
        <f t="shared" si="44"/>
        <v>213</v>
      </c>
      <c r="P568">
        <f t="shared" si="45"/>
        <v>213</v>
      </c>
      <c r="Q568" t="s">
        <v>30</v>
      </c>
      <c r="R568">
        <v>41639</v>
      </c>
      <c r="S568">
        <v>401768</v>
      </c>
      <c r="U568">
        <f t="shared" si="41"/>
        <v>0</v>
      </c>
    </row>
    <row r="569" spans="1:21" ht="15.75" x14ac:dyDescent="0.25">
      <c r="A569" t="s">
        <v>1629</v>
      </c>
      <c r="B569">
        <v>43959</v>
      </c>
      <c r="C569" t="s">
        <v>22</v>
      </c>
      <c r="D569" t="s">
        <v>23</v>
      </c>
      <c r="E569" t="s">
        <v>22</v>
      </c>
      <c r="F569" t="s">
        <v>23</v>
      </c>
      <c r="G569" t="s">
        <v>1619</v>
      </c>
      <c r="H569" t="s">
        <v>1620</v>
      </c>
      <c r="I569" t="s">
        <v>1630</v>
      </c>
      <c r="J569">
        <v>0</v>
      </c>
      <c r="K569" t="s">
        <v>1631</v>
      </c>
      <c r="L569" t="s">
        <v>28</v>
      </c>
      <c r="M569">
        <v>213</v>
      </c>
      <c r="N569" t="s">
        <v>29</v>
      </c>
      <c r="O569">
        <f t="shared" si="44"/>
        <v>213</v>
      </c>
      <c r="P569">
        <f t="shared" si="45"/>
        <v>213</v>
      </c>
      <c r="Q569" t="s">
        <v>30</v>
      </c>
      <c r="R569">
        <v>41696</v>
      </c>
      <c r="S569">
        <v>401768</v>
      </c>
      <c r="U569">
        <f t="shared" si="41"/>
        <v>0</v>
      </c>
    </row>
    <row r="570" spans="1:21" ht="15.75" x14ac:dyDescent="0.25">
      <c r="A570" t="s">
        <v>1632</v>
      </c>
      <c r="B570">
        <v>43959</v>
      </c>
      <c r="C570" t="s">
        <v>22</v>
      </c>
      <c r="D570" t="s">
        <v>23</v>
      </c>
      <c r="E570" t="s">
        <v>22</v>
      </c>
      <c r="F570" t="s">
        <v>23</v>
      </c>
      <c r="G570" t="s">
        <v>1619</v>
      </c>
      <c r="H570" t="s">
        <v>1620</v>
      </c>
      <c r="I570" t="s">
        <v>1633</v>
      </c>
      <c r="J570">
        <v>0</v>
      </c>
      <c r="K570" t="s">
        <v>1634</v>
      </c>
      <c r="L570" t="s">
        <v>28</v>
      </c>
      <c r="M570">
        <v>213</v>
      </c>
      <c r="N570" t="s">
        <v>29</v>
      </c>
      <c r="O570">
        <f t="shared" si="44"/>
        <v>213</v>
      </c>
      <c r="P570">
        <f t="shared" si="45"/>
        <v>213</v>
      </c>
      <c r="Q570" t="s">
        <v>30</v>
      </c>
      <c r="R570">
        <v>41723</v>
      </c>
      <c r="S570">
        <v>401768</v>
      </c>
      <c r="U570">
        <f t="shared" si="41"/>
        <v>0</v>
      </c>
    </row>
    <row r="571" spans="1:21" ht="15.75" x14ac:dyDescent="0.25">
      <c r="A571" t="s">
        <v>1635</v>
      </c>
      <c r="B571">
        <v>43959</v>
      </c>
      <c r="C571" t="s">
        <v>22</v>
      </c>
      <c r="D571" t="s">
        <v>23</v>
      </c>
      <c r="E571" t="s">
        <v>22</v>
      </c>
      <c r="F571" t="s">
        <v>23</v>
      </c>
      <c r="G571" t="s">
        <v>1619</v>
      </c>
      <c r="H571" t="s">
        <v>1620</v>
      </c>
      <c r="I571" t="s">
        <v>1636</v>
      </c>
      <c r="J571">
        <v>0</v>
      </c>
      <c r="K571" t="s">
        <v>1637</v>
      </c>
      <c r="L571" t="s">
        <v>28</v>
      </c>
      <c r="M571">
        <v>15</v>
      </c>
      <c r="N571" t="s">
        <v>29</v>
      </c>
      <c r="O571">
        <f t="shared" si="44"/>
        <v>15</v>
      </c>
      <c r="P571">
        <f t="shared" si="45"/>
        <v>15</v>
      </c>
      <c r="Q571" t="s">
        <v>30</v>
      </c>
      <c r="R571">
        <v>41639</v>
      </c>
      <c r="S571">
        <v>401768</v>
      </c>
      <c r="U571">
        <f t="shared" si="41"/>
        <v>0</v>
      </c>
    </row>
    <row r="572" spans="1:21" ht="15.75" x14ac:dyDescent="0.25">
      <c r="A572" t="s">
        <v>1638</v>
      </c>
      <c r="B572">
        <v>44526</v>
      </c>
      <c r="C572" t="s">
        <v>22</v>
      </c>
      <c r="D572" t="s">
        <v>23</v>
      </c>
      <c r="E572" t="s">
        <v>22</v>
      </c>
      <c r="F572" t="s">
        <v>23</v>
      </c>
      <c r="G572" t="s">
        <v>1639</v>
      </c>
      <c r="H572" t="s">
        <v>1640</v>
      </c>
      <c r="I572" t="s">
        <v>254</v>
      </c>
      <c r="J572">
        <v>0</v>
      </c>
      <c r="K572" t="s">
        <v>255</v>
      </c>
      <c r="L572" t="s">
        <v>28</v>
      </c>
      <c r="M572">
        <v>275</v>
      </c>
      <c r="N572" t="s">
        <v>29</v>
      </c>
      <c r="O572">
        <f t="shared" si="44"/>
        <v>275</v>
      </c>
      <c r="P572">
        <f t="shared" si="45"/>
        <v>275</v>
      </c>
      <c r="Q572" t="s">
        <v>30</v>
      </c>
      <c r="R572">
        <v>45710</v>
      </c>
      <c r="S572">
        <v>401768</v>
      </c>
      <c r="U572">
        <f t="shared" si="41"/>
        <v>0</v>
      </c>
    </row>
    <row r="573" spans="1:21" ht="15.75" x14ac:dyDescent="0.25">
      <c r="A573" t="s">
        <v>1641</v>
      </c>
      <c r="B573">
        <v>44526</v>
      </c>
      <c r="C573" t="s">
        <v>22</v>
      </c>
      <c r="D573" t="s">
        <v>23</v>
      </c>
      <c r="E573" t="s">
        <v>22</v>
      </c>
      <c r="F573" t="s">
        <v>23</v>
      </c>
      <c r="G573" t="s">
        <v>1639</v>
      </c>
      <c r="H573" t="s">
        <v>1640</v>
      </c>
      <c r="I573" t="s">
        <v>260</v>
      </c>
      <c r="J573">
        <v>0</v>
      </c>
      <c r="K573" t="s">
        <v>261</v>
      </c>
      <c r="L573" t="s">
        <v>28</v>
      </c>
      <c r="M573">
        <v>78.260000000000005</v>
      </c>
      <c r="N573" t="s">
        <v>29</v>
      </c>
      <c r="O573">
        <f t="shared" si="44"/>
        <v>78.260000000000005</v>
      </c>
      <c r="P573">
        <f t="shared" si="45"/>
        <v>78.260000000000005</v>
      </c>
      <c r="Q573" t="s">
        <v>30</v>
      </c>
      <c r="R573">
        <v>45300</v>
      </c>
      <c r="S573">
        <v>401768</v>
      </c>
      <c r="U573">
        <f t="shared" si="41"/>
        <v>0</v>
      </c>
    </row>
    <row r="574" spans="1:21" ht="15.75" x14ac:dyDescent="0.25">
      <c r="A574" t="s">
        <v>1642</v>
      </c>
      <c r="B574">
        <v>44526</v>
      </c>
      <c r="C574" t="s">
        <v>22</v>
      </c>
      <c r="D574" t="s">
        <v>23</v>
      </c>
      <c r="E574" t="s">
        <v>22</v>
      </c>
      <c r="F574" t="s">
        <v>23</v>
      </c>
      <c r="G574" t="s">
        <v>1639</v>
      </c>
      <c r="H574" t="s">
        <v>1640</v>
      </c>
      <c r="I574" t="s">
        <v>269</v>
      </c>
      <c r="J574">
        <v>0</v>
      </c>
      <c r="K574" t="s">
        <v>270</v>
      </c>
      <c r="L574" t="s">
        <v>28</v>
      </c>
      <c r="M574">
        <v>25.99</v>
      </c>
      <c r="N574" t="s">
        <v>29</v>
      </c>
      <c r="O574">
        <f t="shared" si="44"/>
        <v>25.99</v>
      </c>
      <c r="P574">
        <f t="shared" si="45"/>
        <v>25.99</v>
      </c>
      <c r="Q574" t="s">
        <v>30</v>
      </c>
      <c r="R574">
        <v>45300</v>
      </c>
      <c r="S574">
        <v>401768</v>
      </c>
      <c r="U574">
        <f t="shared" si="41"/>
        <v>0</v>
      </c>
    </row>
    <row r="575" spans="1:21" ht="15.75" x14ac:dyDescent="0.25">
      <c r="A575" t="s">
        <v>1643</v>
      </c>
      <c r="B575">
        <v>44526</v>
      </c>
      <c r="C575" t="s">
        <v>22</v>
      </c>
      <c r="D575" t="s">
        <v>23</v>
      </c>
      <c r="E575" t="s">
        <v>22</v>
      </c>
      <c r="F575" t="s">
        <v>23</v>
      </c>
      <c r="G575" t="s">
        <v>1639</v>
      </c>
      <c r="H575" t="s">
        <v>1640</v>
      </c>
      <c r="I575" t="s">
        <v>272</v>
      </c>
      <c r="J575">
        <v>0</v>
      </c>
      <c r="K575" t="s">
        <v>273</v>
      </c>
      <c r="L575" t="s">
        <v>28</v>
      </c>
      <c r="M575">
        <v>76.349999999999994</v>
      </c>
      <c r="N575" t="s">
        <v>29</v>
      </c>
      <c r="O575">
        <f t="shared" si="44"/>
        <v>76.349999999999994</v>
      </c>
      <c r="P575">
        <f t="shared" si="45"/>
        <v>76.349999999999994</v>
      </c>
      <c r="Q575" t="s">
        <v>30</v>
      </c>
      <c r="R575">
        <v>45300</v>
      </c>
      <c r="S575">
        <v>401768</v>
      </c>
      <c r="U575">
        <f t="shared" si="41"/>
        <v>0</v>
      </c>
    </row>
    <row r="576" spans="1:21" ht="15.75" x14ac:dyDescent="0.25">
      <c r="A576" t="s">
        <v>1644</v>
      </c>
      <c r="B576">
        <v>44526</v>
      </c>
      <c r="C576" t="s">
        <v>22</v>
      </c>
      <c r="D576" t="s">
        <v>23</v>
      </c>
      <c r="E576" t="s">
        <v>22</v>
      </c>
      <c r="F576" t="s">
        <v>23</v>
      </c>
      <c r="G576" t="s">
        <v>1639</v>
      </c>
      <c r="H576" t="s">
        <v>1640</v>
      </c>
      <c r="I576" t="s">
        <v>282</v>
      </c>
      <c r="J576">
        <v>0</v>
      </c>
      <c r="K576" t="s">
        <v>283</v>
      </c>
      <c r="L576" t="s">
        <v>28</v>
      </c>
      <c r="M576">
        <v>319.41000000000003</v>
      </c>
      <c r="N576" t="s">
        <v>29</v>
      </c>
      <c r="O576">
        <f t="shared" si="44"/>
        <v>319.41000000000003</v>
      </c>
      <c r="P576">
        <f t="shared" si="45"/>
        <v>319.41000000000003</v>
      </c>
      <c r="Q576" t="s">
        <v>30</v>
      </c>
      <c r="R576">
        <v>44840</v>
      </c>
      <c r="S576">
        <v>401768</v>
      </c>
      <c r="U576">
        <f t="shared" si="41"/>
        <v>0</v>
      </c>
    </row>
    <row r="577" spans="1:21" ht="15.75" x14ac:dyDescent="0.25">
      <c r="A577" t="s">
        <v>1645</v>
      </c>
      <c r="B577">
        <v>44526</v>
      </c>
      <c r="C577" t="s">
        <v>22</v>
      </c>
      <c r="D577" t="s">
        <v>23</v>
      </c>
      <c r="E577" t="s">
        <v>22</v>
      </c>
      <c r="F577" t="s">
        <v>23</v>
      </c>
      <c r="G577" t="s">
        <v>1639</v>
      </c>
      <c r="H577" t="s">
        <v>1640</v>
      </c>
      <c r="I577" t="s">
        <v>285</v>
      </c>
      <c r="J577">
        <v>0</v>
      </c>
      <c r="K577" t="s">
        <v>286</v>
      </c>
      <c r="L577" t="s">
        <v>28</v>
      </c>
      <c r="M577">
        <v>65.27</v>
      </c>
      <c r="N577" t="s">
        <v>29</v>
      </c>
      <c r="O577">
        <f t="shared" si="44"/>
        <v>65.27</v>
      </c>
      <c r="P577">
        <f t="shared" si="45"/>
        <v>65.27</v>
      </c>
      <c r="Q577" t="s">
        <v>30</v>
      </c>
      <c r="R577">
        <v>44840</v>
      </c>
      <c r="S577">
        <v>401768</v>
      </c>
      <c r="U577">
        <f t="shared" si="41"/>
        <v>0</v>
      </c>
    </row>
    <row r="578" spans="1:21" ht="15.75" x14ac:dyDescent="0.25">
      <c r="A578" t="s">
        <v>1646</v>
      </c>
      <c r="B578">
        <v>44526</v>
      </c>
      <c r="C578" t="s">
        <v>22</v>
      </c>
      <c r="D578" t="s">
        <v>23</v>
      </c>
      <c r="E578" t="s">
        <v>22</v>
      </c>
      <c r="F578" t="s">
        <v>23</v>
      </c>
      <c r="G578" t="s">
        <v>1639</v>
      </c>
      <c r="H578" t="s">
        <v>1640</v>
      </c>
      <c r="I578" t="s">
        <v>288</v>
      </c>
      <c r="J578">
        <v>0</v>
      </c>
      <c r="K578" t="s">
        <v>289</v>
      </c>
      <c r="L578" t="s">
        <v>28</v>
      </c>
      <c r="M578">
        <v>65.27</v>
      </c>
      <c r="N578" t="s">
        <v>29</v>
      </c>
      <c r="O578">
        <f t="shared" si="44"/>
        <v>65.27</v>
      </c>
      <c r="P578">
        <f t="shared" si="45"/>
        <v>65.27</v>
      </c>
      <c r="Q578" t="s">
        <v>30</v>
      </c>
      <c r="R578">
        <v>44840</v>
      </c>
      <c r="S578">
        <v>401768</v>
      </c>
      <c r="U578">
        <f t="shared" si="41"/>
        <v>0</v>
      </c>
    </row>
    <row r="579" spans="1:21" ht="15.75" x14ac:dyDescent="0.25">
      <c r="A579" t="s">
        <v>1647</v>
      </c>
      <c r="B579">
        <v>44526</v>
      </c>
      <c r="C579" t="s">
        <v>22</v>
      </c>
      <c r="D579" t="s">
        <v>23</v>
      </c>
      <c r="E579" t="s">
        <v>22</v>
      </c>
      <c r="F579" t="s">
        <v>23</v>
      </c>
      <c r="G579" t="s">
        <v>1639</v>
      </c>
      <c r="H579" t="s">
        <v>1640</v>
      </c>
      <c r="I579" t="s">
        <v>297</v>
      </c>
      <c r="J579">
        <v>0</v>
      </c>
      <c r="K579" t="s">
        <v>298</v>
      </c>
      <c r="L579" t="s">
        <v>28</v>
      </c>
      <c r="M579">
        <v>80.03</v>
      </c>
      <c r="N579" t="s">
        <v>29</v>
      </c>
      <c r="O579">
        <f t="shared" si="44"/>
        <v>80.03</v>
      </c>
      <c r="P579">
        <f t="shared" si="45"/>
        <v>80.03</v>
      </c>
      <c r="Q579" t="s">
        <v>30</v>
      </c>
      <c r="R579">
        <v>45300</v>
      </c>
      <c r="S579">
        <v>401768</v>
      </c>
      <c r="U579">
        <f t="shared" ref="U579:U642" si="46">T579*P579/100000</f>
        <v>0</v>
      </c>
    </row>
    <row r="580" spans="1:21" ht="15.75" x14ac:dyDescent="0.25">
      <c r="A580" t="s">
        <v>1648</v>
      </c>
      <c r="B580">
        <v>44566</v>
      </c>
      <c r="C580" t="s">
        <v>22</v>
      </c>
      <c r="D580" t="s">
        <v>23</v>
      </c>
      <c r="E580" t="s">
        <v>22</v>
      </c>
      <c r="F580" t="s">
        <v>23</v>
      </c>
      <c r="G580" t="s">
        <v>1639</v>
      </c>
      <c r="H580" t="s">
        <v>1640</v>
      </c>
      <c r="I580" t="s">
        <v>263</v>
      </c>
      <c r="J580">
        <v>0</v>
      </c>
      <c r="K580" t="s">
        <v>264</v>
      </c>
      <c r="L580" t="s">
        <v>28</v>
      </c>
      <c r="M580">
        <v>84.14</v>
      </c>
      <c r="N580" t="s">
        <v>29</v>
      </c>
      <c r="O580">
        <f t="shared" si="44"/>
        <v>84.14</v>
      </c>
      <c r="P580">
        <f t="shared" si="45"/>
        <v>84.14</v>
      </c>
      <c r="Q580" t="s">
        <v>30</v>
      </c>
      <c r="R580">
        <v>45300</v>
      </c>
      <c r="S580">
        <v>401768</v>
      </c>
      <c r="U580">
        <f t="shared" si="46"/>
        <v>0</v>
      </c>
    </row>
    <row r="581" spans="1:21" ht="15.75" x14ac:dyDescent="0.25">
      <c r="A581" t="s">
        <v>1649</v>
      </c>
      <c r="B581">
        <v>44566</v>
      </c>
      <c r="C581" t="s">
        <v>22</v>
      </c>
      <c r="D581" t="s">
        <v>23</v>
      </c>
      <c r="E581" t="s">
        <v>22</v>
      </c>
      <c r="F581" t="s">
        <v>23</v>
      </c>
      <c r="G581" t="s">
        <v>1639</v>
      </c>
      <c r="H581" t="s">
        <v>1640</v>
      </c>
      <c r="I581" t="s">
        <v>266</v>
      </c>
      <c r="J581">
        <v>0</v>
      </c>
      <c r="K581" t="s">
        <v>267</v>
      </c>
      <c r="L581" t="s">
        <v>28</v>
      </c>
      <c r="M581">
        <v>85.14</v>
      </c>
      <c r="N581" t="s">
        <v>29</v>
      </c>
      <c r="O581">
        <f t="shared" si="44"/>
        <v>85.14</v>
      </c>
      <c r="P581">
        <f t="shared" si="45"/>
        <v>85.14</v>
      </c>
      <c r="Q581" t="s">
        <v>30</v>
      </c>
      <c r="R581">
        <v>45300</v>
      </c>
      <c r="S581">
        <v>401768</v>
      </c>
      <c r="U581">
        <f t="shared" si="46"/>
        <v>0</v>
      </c>
    </row>
    <row r="582" spans="1:21" ht="15.75" x14ac:dyDescent="0.25">
      <c r="A582" t="s">
        <v>1650</v>
      </c>
      <c r="B582">
        <v>44658</v>
      </c>
      <c r="C582" t="s">
        <v>22</v>
      </c>
      <c r="D582" t="s">
        <v>23</v>
      </c>
      <c r="E582" t="s">
        <v>22</v>
      </c>
      <c r="F582" t="s">
        <v>23</v>
      </c>
      <c r="G582" t="s">
        <v>1639</v>
      </c>
      <c r="H582" t="s">
        <v>1640</v>
      </c>
      <c r="I582" t="s">
        <v>248</v>
      </c>
      <c r="J582">
        <v>0</v>
      </c>
      <c r="K582" t="s">
        <v>249</v>
      </c>
      <c r="L582" t="s">
        <v>28</v>
      </c>
      <c r="M582">
        <v>209.8</v>
      </c>
      <c r="N582" t="s">
        <v>29</v>
      </c>
      <c r="O582">
        <f t="shared" si="44"/>
        <v>209.8</v>
      </c>
      <c r="P582">
        <f t="shared" si="45"/>
        <v>209.8</v>
      </c>
      <c r="Q582" t="s">
        <v>30</v>
      </c>
      <c r="R582">
        <v>45300</v>
      </c>
      <c r="S582">
        <v>401768</v>
      </c>
      <c r="U582">
        <f t="shared" si="46"/>
        <v>0</v>
      </c>
    </row>
    <row r="583" spans="1:21" ht="15.75" x14ac:dyDescent="0.25">
      <c r="A583" t="s">
        <v>1651</v>
      </c>
      <c r="B583">
        <v>44658</v>
      </c>
      <c r="C583" t="s">
        <v>22</v>
      </c>
      <c r="D583" t="s">
        <v>23</v>
      </c>
      <c r="E583" t="s">
        <v>22</v>
      </c>
      <c r="F583" t="s">
        <v>23</v>
      </c>
      <c r="G583" t="s">
        <v>1639</v>
      </c>
      <c r="H583" t="s">
        <v>1640</v>
      </c>
      <c r="I583" t="s">
        <v>251</v>
      </c>
      <c r="J583">
        <v>0</v>
      </c>
      <c r="K583" t="s">
        <v>252</v>
      </c>
      <c r="L583" t="s">
        <v>28</v>
      </c>
      <c r="M583">
        <v>44.42</v>
      </c>
      <c r="N583" t="s">
        <v>29</v>
      </c>
      <c r="O583">
        <f t="shared" si="44"/>
        <v>44.42</v>
      </c>
      <c r="P583">
        <f t="shared" si="45"/>
        <v>44.42</v>
      </c>
      <c r="Q583" t="s">
        <v>30</v>
      </c>
      <c r="R583">
        <v>45300</v>
      </c>
      <c r="S583">
        <v>401768</v>
      </c>
      <c r="U583">
        <f t="shared" si="46"/>
        <v>0</v>
      </c>
    </row>
    <row r="584" spans="1:21" ht="15.75" x14ac:dyDescent="0.25">
      <c r="A584" t="s">
        <v>1652</v>
      </c>
      <c r="B584">
        <v>44776</v>
      </c>
      <c r="C584" t="s">
        <v>22</v>
      </c>
      <c r="D584" t="s">
        <v>23</v>
      </c>
      <c r="E584" t="s">
        <v>22</v>
      </c>
      <c r="F584" t="s">
        <v>23</v>
      </c>
      <c r="G584" t="s">
        <v>1639</v>
      </c>
      <c r="H584" t="s">
        <v>1640</v>
      </c>
      <c r="I584" t="s">
        <v>257</v>
      </c>
      <c r="J584">
        <v>0</v>
      </c>
      <c r="K584" t="s">
        <v>258</v>
      </c>
      <c r="L584" t="s">
        <v>28</v>
      </c>
      <c r="M584">
        <v>77.19</v>
      </c>
      <c r="N584" t="s">
        <v>29</v>
      </c>
      <c r="O584">
        <f t="shared" si="44"/>
        <v>77.19</v>
      </c>
      <c r="P584">
        <f t="shared" si="45"/>
        <v>77.19</v>
      </c>
      <c r="Q584" t="s">
        <v>30</v>
      </c>
      <c r="R584">
        <v>45300</v>
      </c>
      <c r="S584">
        <v>401768</v>
      </c>
      <c r="U584">
        <f t="shared" si="46"/>
        <v>0</v>
      </c>
    </row>
    <row r="585" spans="1:21" ht="15.75" x14ac:dyDescent="0.25">
      <c r="A585" t="s">
        <v>1653</v>
      </c>
      <c r="B585">
        <v>44792</v>
      </c>
      <c r="C585" t="s">
        <v>22</v>
      </c>
      <c r="D585" t="s">
        <v>23</v>
      </c>
      <c r="E585" t="s">
        <v>22</v>
      </c>
      <c r="F585" t="s">
        <v>23</v>
      </c>
      <c r="G585" t="s">
        <v>1639</v>
      </c>
      <c r="H585" t="s">
        <v>1640</v>
      </c>
      <c r="I585" t="s">
        <v>67</v>
      </c>
      <c r="J585">
        <v>0</v>
      </c>
      <c r="K585" t="s">
        <v>68</v>
      </c>
      <c r="L585" t="s">
        <v>28</v>
      </c>
      <c r="M585">
        <v>45500</v>
      </c>
      <c r="N585" t="s">
        <v>29</v>
      </c>
      <c r="O585">
        <f t="shared" si="44"/>
        <v>45500</v>
      </c>
      <c r="P585">
        <f t="shared" si="45"/>
        <v>45500</v>
      </c>
      <c r="Q585" t="s">
        <v>30</v>
      </c>
      <c r="R585">
        <v>44840</v>
      </c>
      <c r="S585">
        <v>401768</v>
      </c>
      <c r="U585">
        <f t="shared" si="46"/>
        <v>0</v>
      </c>
    </row>
    <row r="586" spans="1:21" ht="15.75" x14ac:dyDescent="0.25">
      <c r="A586" t="s">
        <v>1654</v>
      </c>
      <c r="B586">
        <v>44832</v>
      </c>
      <c r="C586" t="s">
        <v>22</v>
      </c>
      <c r="D586" t="s">
        <v>23</v>
      </c>
      <c r="E586" t="s">
        <v>22</v>
      </c>
      <c r="F586" t="s">
        <v>23</v>
      </c>
      <c r="G586" t="s">
        <v>1639</v>
      </c>
      <c r="H586" t="s">
        <v>1640</v>
      </c>
      <c r="I586" t="s">
        <v>315</v>
      </c>
      <c r="J586">
        <v>0</v>
      </c>
      <c r="K586" t="s">
        <v>316</v>
      </c>
      <c r="L586" t="s">
        <v>28</v>
      </c>
      <c r="M586">
        <v>143848.4</v>
      </c>
      <c r="N586" t="s">
        <v>29</v>
      </c>
      <c r="O586">
        <f t="shared" si="44"/>
        <v>143848.4</v>
      </c>
      <c r="P586">
        <f t="shared" si="45"/>
        <v>143848.4</v>
      </c>
      <c r="Q586" t="s">
        <v>30</v>
      </c>
      <c r="R586">
        <v>44840</v>
      </c>
      <c r="S586">
        <v>401768</v>
      </c>
      <c r="U586">
        <f t="shared" si="46"/>
        <v>0</v>
      </c>
    </row>
    <row r="587" spans="1:21" ht="15.75" x14ac:dyDescent="0.25">
      <c r="A587" t="s">
        <v>1655</v>
      </c>
      <c r="B587">
        <v>45155</v>
      </c>
      <c r="C587" t="s">
        <v>22</v>
      </c>
      <c r="D587" t="s">
        <v>23</v>
      </c>
      <c r="E587" t="s">
        <v>30</v>
      </c>
      <c r="F587" t="s">
        <v>30</v>
      </c>
      <c r="G587" t="s">
        <v>1639</v>
      </c>
      <c r="H587" t="s">
        <v>1640</v>
      </c>
      <c r="I587" t="s">
        <v>1656</v>
      </c>
      <c r="J587">
        <v>0</v>
      </c>
      <c r="K587" t="s">
        <v>1657</v>
      </c>
      <c r="L587" t="s">
        <v>28</v>
      </c>
      <c r="M587">
        <v>18180</v>
      </c>
      <c r="N587" t="s">
        <v>29</v>
      </c>
      <c r="O587">
        <f t="shared" si="44"/>
        <v>18180</v>
      </c>
      <c r="P587">
        <f t="shared" si="45"/>
        <v>18180</v>
      </c>
      <c r="Q587" t="s">
        <v>30</v>
      </c>
      <c r="R587">
        <v>45155</v>
      </c>
      <c r="S587">
        <v>401768</v>
      </c>
      <c r="U587">
        <f t="shared" si="46"/>
        <v>0</v>
      </c>
    </row>
    <row r="588" spans="1:21" ht="15.75" x14ac:dyDescent="0.25">
      <c r="A588" t="s">
        <v>1658</v>
      </c>
      <c r="B588">
        <v>45155</v>
      </c>
      <c r="C588" t="s">
        <v>22</v>
      </c>
      <c r="D588" t="s">
        <v>23</v>
      </c>
      <c r="E588" t="s">
        <v>30</v>
      </c>
      <c r="F588" t="s">
        <v>30</v>
      </c>
      <c r="G588" t="s">
        <v>1639</v>
      </c>
      <c r="H588" t="s">
        <v>1640</v>
      </c>
      <c r="I588" t="s">
        <v>1659</v>
      </c>
      <c r="J588">
        <v>0</v>
      </c>
      <c r="K588" t="s">
        <v>1660</v>
      </c>
      <c r="L588" t="s">
        <v>28</v>
      </c>
      <c r="M588">
        <v>71802</v>
      </c>
      <c r="N588" t="s">
        <v>29</v>
      </c>
      <c r="O588">
        <f t="shared" si="44"/>
        <v>71802</v>
      </c>
      <c r="P588">
        <f t="shared" si="45"/>
        <v>71802</v>
      </c>
      <c r="Q588" t="s">
        <v>30</v>
      </c>
      <c r="R588">
        <v>45155</v>
      </c>
      <c r="S588">
        <v>401768</v>
      </c>
      <c r="U588">
        <f t="shared" si="46"/>
        <v>0</v>
      </c>
    </row>
    <row r="589" spans="1:21" ht="15.75" x14ac:dyDescent="0.25">
      <c r="A589" t="s">
        <v>1661</v>
      </c>
      <c r="B589">
        <v>45285</v>
      </c>
      <c r="C589" t="s">
        <v>22</v>
      </c>
      <c r="D589" t="s">
        <v>23</v>
      </c>
      <c r="E589" t="s">
        <v>30</v>
      </c>
      <c r="F589" t="s">
        <v>30</v>
      </c>
      <c r="G589" t="s">
        <v>1639</v>
      </c>
      <c r="H589" t="s">
        <v>1640</v>
      </c>
      <c r="I589" t="s">
        <v>1662</v>
      </c>
      <c r="J589">
        <v>0</v>
      </c>
      <c r="K589" t="s">
        <v>1663</v>
      </c>
      <c r="L589" t="s">
        <v>36</v>
      </c>
      <c r="M589">
        <v>33791</v>
      </c>
      <c r="N589" t="s">
        <v>29</v>
      </c>
      <c r="O589">
        <f t="shared" si="44"/>
        <v>33791</v>
      </c>
      <c r="P589">
        <f t="shared" si="45"/>
        <v>33791</v>
      </c>
      <c r="Q589" t="s">
        <v>30</v>
      </c>
      <c r="R589">
        <v>45285</v>
      </c>
      <c r="S589">
        <v>401768</v>
      </c>
      <c r="U589">
        <f t="shared" si="46"/>
        <v>0</v>
      </c>
    </row>
    <row r="590" spans="1:21" ht="15.75" x14ac:dyDescent="0.25">
      <c r="A590" t="s">
        <v>1664</v>
      </c>
      <c r="B590">
        <v>45285</v>
      </c>
      <c r="C590" t="s">
        <v>22</v>
      </c>
      <c r="D590" t="s">
        <v>23</v>
      </c>
      <c r="E590" t="s">
        <v>30</v>
      </c>
      <c r="F590" t="s">
        <v>30</v>
      </c>
      <c r="G590" t="s">
        <v>1639</v>
      </c>
      <c r="H590" t="s">
        <v>1640</v>
      </c>
      <c r="I590" t="s">
        <v>1665</v>
      </c>
      <c r="J590">
        <v>0</v>
      </c>
      <c r="K590" t="s">
        <v>1666</v>
      </c>
      <c r="L590" t="s">
        <v>36</v>
      </c>
      <c r="M590">
        <v>82554</v>
      </c>
      <c r="N590" t="s">
        <v>29</v>
      </c>
      <c r="O590">
        <f t="shared" ref="O590:O610" si="47">M590</f>
        <v>82554</v>
      </c>
      <c r="P590">
        <f t="shared" ref="P590:P621" si="48">O590</f>
        <v>82554</v>
      </c>
      <c r="Q590" t="s">
        <v>30</v>
      </c>
      <c r="R590">
        <v>45285</v>
      </c>
      <c r="S590">
        <v>401768</v>
      </c>
      <c r="U590">
        <f t="shared" si="46"/>
        <v>0</v>
      </c>
    </row>
    <row r="591" spans="1:21" ht="15.75" x14ac:dyDescent="0.25">
      <c r="A591" t="s">
        <v>1667</v>
      </c>
      <c r="B591">
        <v>45285</v>
      </c>
      <c r="C591" t="s">
        <v>22</v>
      </c>
      <c r="D591" t="s">
        <v>23</v>
      </c>
      <c r="E591" t="s">
        <v>30</v>
      </c>
      <c r="F591" t="s">
        <v>30</v>
      </c>
      <c r="G591" t="s">
        <v>1639</v>
      </c>
      <c r="H591" t="s">
        <v>1640</v>
      </c>
      <c r="I591" t="s">
        <v>1668</v>
      </c>
      <c r="J591">
        <v>0</v>
      </c>
      <c r="K591" t="s">
        <v>1669</v>
      </c>
      <c r="L591" t="s">
        <v>36</v>
      </c>
      <c r="M591">
        <v>23688</v>
      </c>
      <c r="N591" t="s">
        <v>29</v>
      </c>
      <c r="O591">
        <f t="shared" si="47"/>
        <v>23688</v>
      </c>
      <c r="P591">
        <f t="shared" si="48"/>
        <v>23688</v>
      </c>
      <c r="Q591" t="s">
        <v>30</v>
      </c>
      <c r="R591">
        <v>45285</v>
      </c>
      <c r="S591">
        <v>401768</v>
      </c>
      <c r="U591">
        <f t="shared" si="46"/>
        <v>0</v>
      </c>
    </row>
    <row r="592" spans="1:21" ht="15.75" x14ac:dyDescent="0.25">
      <c r="A592" t="s">
        <v>1670</v>
      </c>
      <c r="B592">
        <v>45285</v>
      </c>
      <c r="C592" t="s">
        <v>22</v>
      </c>
      <c r="D592" t="s">
        <v>23</v>
      </c>
      <c r="E592" t="s">
        <v>30</v>
      </c>
      <c r="F592" t="s">
        <v>30</v>
      </c>
      <c r="G592" t="s">
        <v>1639</v>
      </c>
      <c r="H592" t="s">
        <v>1640</v>
      </c>
      <c r="I592" t="s">
        <v>1671</v>
      </c>
      <c r="J592">
        <v>0</v>
      </c>
      <c r="K592" t="s">
        <v>1672</v>
      </c>
      <c r="L592" t="s">
        <v>36</v>
      </c>
      <c r="M592">
        <v>56942</v>
      </c>
      <c r="N592" t="s">
        <v>29</v>
      </c>
      <c r="O592">
        <f t="shared" si="47"/>
        <v>56942</v>
      </c>
      <c r="P592">
        <f t="shared" si="48"/>
        <v>56942</v>
      </c>
      <c r="Q592" t="s">
        <v>30</v>
      </c>
      <c r="R592">
        <v>45285</v>
      </c>
      <c r="S592">
        <v>401768</v>
      </c>
      <c r="U592">
        <f t="shared" si="46"/>
        <v>0</v>
      </c>
    </row>
    <row r="593" spans="1:21" ht="15.75" x14ac:dyDescent="0.25">
      <c r="A593" t="s">
        <v>1673</v>
      </c>
      <c r="B593">
        <v>45315</v>
      </c>
      <c r="C593" t="s">
        <v>22</v>
      </c>
      <c r="D593" t="s">
        <v>23</v>
      </c>
      <c r="E593" t="s">
        <v>22</v>
      </c>
      <c r="F593" t="s">
        <v>23</v>
      </c>
      <c r="G593" t="s">
        <v>1639</v>
      </c>
      <c r="H593" t="s">
        <v>1640</v>
      </c>
      <c r="I593" t="s">
        <v>1674</v>
      </c>
      <c r="J593">
        <v>0</v>
      </c>
      <c r="K593" t="s">
        <v>321</v>
      </c>
      <c r="L593" t="s">
        <v>28</v>
      </c>
      <c r="M593">
        <v>75</v>
      </c>
      <c r="N593" t="s">
        <v>29</v>
      </c>
      <c r="O593">
        <f t="shared" si="47"/>
        <v>75</v>
      </c>
      <c r="P593">
        <f t="shared" si="48"/>
        <v>75</v>
      </c>
      <c r="Q593" t="s">
        <v>30</v>
      </c>
      <c r="R593">
        <v>45315</v>
      </c>
      <c r="S593">
        <v>401768</v>
      </c>
      <c r="U593">
        <f t="shared" si="46"/>
        <v>0</v>
      </c>
    </row>
    <row r="594" spans="1:21" ht="15.75" x14ac:dyDescent="0.25">
      <c r="A594" t="s">
        <v>1675</v>
      </c>
      <c r="B594">
        <v>45493</v>
      </c>
      <c r="C594" t="s">
        <v>22</v>
      </c>
      <c r="D594" t="s">
        <v>23</v>
      </c>
      <c r="E594" t="s">
        <v>30</v>
      </c>
      <c r="F594" t="s">
        <v>30</v>
      </c>
      <c r="G594" t="s">
        <v>1639</v>
      </c>
      <c r="H594" t="s">
        <v>1640</v>
      </c>
      <c r="I594" t="s">
        <v>323</v>
      </c>
      <c r="J594">
        <v>0</v>
      </c>
      <c r="K594" t="s">
        <v>324</v>
      </c>
      <c r="L594" t="s">
        <v>28</v>
      </c>
      <c r="M594">
        <v>40</v>
      </c>
      <c r="N594" t="s">
        <v>29</v>
      </c>
      <c r="O594">
        <f t="shared" si="47"/>
        <v>40</v>
      </c>
      <c r="P594">
        <f t="shared" si="48"/>
        <v>40</v>
      </c>
      <c r="Q594" t="s">
        <v>30</v>
      </c>
      <c r="R594">
        <v>45493</v>
      </c>
      <c r="S594">
        <v>401768</v>
      </c>
      <c r="U594">
        <f t="shared" si="46"/>
        <v>0</v>
      </c>
    </row>
    <row r="595" spans="1:21" ht="15.75" x14ac:dyDescent="0.25">
      <c r="A595" t="s">
        <v>1676</v>
      </c>
      <c r="B595">
        <v>45493</v>
      </c>
      <c r="C595" t="s">
        <v>22</v>
      </c>
      <c r="D595" t="s">
        <v>23</v>
      </c>
      <c r="E595" t="s">
        <v>30</v>
      </c>
      <c r="F595" t="s">
        <v>30</v>
      </c>
      <c r="G595" t="s">
        <v>1639</v>
      </c>
      <c r="H595" t="s">
        <v>1640</v>
      </c>
      <c r="I595" t="s">
        <v>326</v>
      </c>
      <c r="J595">
        <v>0</v>
      </c>
      <c r="K595" t="s">
        <v>327</v>
      </c>
      <c r="L595" t="s">
        <v>28</v>
      </c>
      <c r="M595">
        <v>40</v>
      </c>
      <c r="N595" t="s">
        <v>29</v>
      </c>
      <c r="O595">
        <f t="shared" si="47"/>
        <v>40</v>
      </c>
      <c r="P595">
        <f t="shared" si="48"/>
        <v>40</v>
      </c>
      <c r="Q595" t="s">
        <v>30</v>
      </c>
      <c r="R595">
        <v>45493</v>
      </c>
      <c r="S595">
        <v>401768</v>
      </c>
      <c r="U595">
        <f t="shared" si="46"/>
        <v>0</v>
      </c>
    </row>
    <row r="596" spans="1:21" ht="15.75" x14ac:dyDescent="0.25">
      <c r="A596" t="s">
        <v>1677</v>
      </c>
      <c r="B596">
        <v>45719</v>
      </c>
      <c r="C596" t="s">
        <v>22</v>
      </c>
      <c r="D596" t="s">
        <v>23</v>
      </c>
      <c r="E596" t="s">
        <v>22</v>
      </c>
      <c r="F596" t="s">
        <v>23</v>
      </c>
      <c r="G596" t="s">
        <v>1639</v>
      </c>
      <c r="H596" t="s">
        <v>1640</v>
      </c>
      <c r="I596" t="s">
        <v>240</v>
      </c>
      <c r="J596">
        <v>0</v>
      </c>
      <c r="K596" t="s">
        <v>241</v>
      </c>
      <c r="L596" t="s">
        <v>28</v>
      </c>
      <c r="M596">
        <v>40</v>
      </c>
      <c r="N596" t="s">
        <v>29</v>
      </c>
      <c r="O596">
        <f t="shared" si="47"/>
        <v>40</v>
      </c>
      <c r="P596">
        <f t="shared" si="48"/>
        <v>40</v>
      </c>
      <c r="Q596" t="s">
        <v>30</v>
      </c>
      <c r="R596">
        <v>45719</v>
      </c>
      <c r="S596">
        <v>401768</v>
      </c>
      <c r="U596">
        <f t="shared" si="46"/>
        <v>0</v>
      </c>
    </row>
    <row r="597" spans="1:21" ht="15.75" x14ac:dyDescent="0.25">
      <c r="A597" t="s">
        <v>1678</v>
      </c>
      <c r="B597">
        <v>45719</v>
      </c>
      <c r="C597" t="s">
        <v>22</v>
      </c>
      <c r="D597" t="s">
        <v>23</v>
      </c>
      <c r="E597" t="s">
        <v>22</v>
      </c>
      <c r="F597" t="s">
        <v>23</v>
      </c>
      <c r="G597" t="s">
        <v>1639</v>
      </c>
      <c r="H597" t="s">
        <v>1640</v>
      </c>
      <c r="I597" t="s">
        <v>240</v>
      </c>
      <c r="J597">
        <v>0</v>
      </c>
      <c r="K597" t="s">
        <v>241</v>
      </c>
      <c r="L597" t="s">
        <v>28</v>
      </c>
      <c r="M597">
        <v>40</v>
      </c>
      <c r="N597" t="s">
        <v>29</v>
      </c>
      <c r="O597">
        <f t="shared" si="47"/>
        <v>40</v>
      </c>
      <c r="P597">
        <f t="shared" si="48"/>
        <v>40</v>
      </c>
      <c r="Q597" t="s">
        <v>30</v>
      </c>
      <c r="R597">
        <v>45719</v>
      </c>
      <c r="S597">
        <v>401768</v>
      </c>
      <c r="U597">
        <f t="shared" si="46"/>
        <v>0</v>
      </c>
    </row>
    <row r="598" spans="1:21" ht="15.75" x14ac:dyDescent="0.25">
      <c r="A598" t="s">
        <v>1679</v>
      </c>
      <c r="B598">
        <v>45719</v>
      </c>
      <c r="C598" t="s">
        <v>22</v>
      </c>
      <c r="D598" t="s">
        <v>23</v>
      </c>
      <c r="E598" t="s">
        <v>22</v>
      </c>
      <c r="F598" t="s">
        <v>23</v>
      </c>
      <c r="G598" t="s">
        <v>1639</v>
      </c>
      <c r="H598" t="s">
        <v>1640</v>
      </c>
      <c r="I598" t="s">
        <v>243</v>
      </c>
      <c r="J598">
        <v>0</v>
      </c>
      <c r="K598" t="s">
        <v>244</v>
      </c>
      <c r="L598" t="s">
        <v>28</v>
      </c>
      <c r="M598">
        <v>40</v>
      </c>
      <c r="N598" t="s">
        <v>29</v>
      </c>
      <c r="O598">
        <f t="shared" si="47"/>
        <v>40</v>
      </c>
      <c r="P598">
        <f t="shared" si="48"/>
        <v>40</v>
      </c>
      <c r="Q598" t="s">
        <v>30</v>
      </c>
      <c r="R598">
        <v>45719</v>
      </c>
      <c r="S598">
        <v>401768</v>
      </c>
      <c r="U598">
        <f t="shared" si="46"/>
        <v>0</v>
      </c>
    </row>
    <row r="599" spans="1:21" ht="15.75" x14ac:dyDescent="0.25">
      <c r="A599" t="s">
        <v>1680</v>
      </c>
      <c r="B599">
        <v>45719</v>
      </c>
      <c r="C599" t="s">
        <v>22</v>
      </c>
      <c r="D599" t="s">
        <v>23</v>
      </c>
      <c r="E599" t="s">
        <v>22</v>
      </c>
      <c r="F599" t="s">
        <v>23</v>
      </c>
      <c r="G599" t="s">
        <v>1639</v>
      </c>
      <c r="H599" t="s">
        <v>1640</v>
      </c>
      <c r="I599" t="s">
        <v>243</v>
      </c>
      <c r="J599">
        <v>0</v>
      </c>
      <c r="K599" t="s">
        <v>244</v>
      </c>
      <c r="L599" t="s">
        <v>28</v>
      </c>
      <c r="M599">
        <v>40</v>
      </c>
      <c r="N599" t="s">
        <v>29</v>
      </c>
      <c r="O599">
        <f t="shared" si="47"/>
        <v>40</v>
      </c>
      <c r="P599">
        <f t="shared" si="48"/>
        <v>40</v>
      </c>
      <c r="Q599" t="s">
        <v>30</v>
      </c>
      <c r="R599">
        <v>45719</v>
      </c>
      <c r="S599">
        <v>401768</v>
      </c>
      <c r="U599">
        <f t="shared" si="46"/>
        <v>0</v>
      </c>
    </row>
    <row r="600" spans="1:21" ht="15.75" x14ac:dyDescent="0.25">
      <c r="A600" t="s">
        <v>1681</v>
      </c>
      <c r="B600">
        <v>43959</v>
      </c>
      <c r="C600" t="s">
        <v>22</v>
      </c>
      <c r="D600" t="s">
        <v>23</v>
      </c>
      <c r="E600" t="s">
        <v>22</v>
      </c>
      <c r="F600" t="s">
        <v>23</v>
      </c>
      <c r="G600" t="s">
        <v>1682</v>
      </c>
      <c r="H600" t="s">
        <v>1683</v>
      </c>
      <c r="I600" t="s">
        <v>1684</v>
      </c>
      <c r="J600">
        <v>0</v>
      </c>
      <c r="K600" t="s">
        <v>1685</v>
      </c>
      <c r="L600" t="s">
        <v>28</v>
      </c>
      <c r="M600">
        <v>7.55</v>
      </c>
      <c r="N600" t="s">
        <v>29</v>
      </c>
      <c r="O600">
        <f t="shared" si="47"/>
        <v>7.55</v>
      </c>
      <c r="P600">
        <f t="shared" si="48"/>
        <v>7.55</v>
      </c>
      <c r="Q600" t="s">
        <v>30</v>
      </c>
      <c r="R600">
        <v>41365</v>
      </c>
      <c r="S600">
        <v>401768</v>
      </c>
      <c r="U600">
        <f t="shared" si="46"/>
        <v>0</v>
      </c>
    </row>
    <row r="601" spans="1:21" ht="15.75" x14ac:dyDescent="0.25">
      <c r="A601" t="s">
        <v>1686</v>
      </c>
      <c r="B601">
        <v>43959</v>
      </c>
      <c r="C601" t="s">
        <v>22</v>
      </c>
      <c r="D601" t="s">
        <v>23</v>
      </c>
      <c r="E601" t="s">
        <v>22</v>
      </c>
      <c r="F601" t="s">
        <v>23</v>
      </c>
      <c r="G601" t="s">
        <v>1682</v>
      </c>
      <c r="H601" t="s">
        <v>1683</v>
      </c>
      <c r="I601" t="s">
        <v>1687</v>
      </c>
      <c r="J601">
        <v>0</v>
      </c>
      <c r="K601" t="s">
        <v>1688</v>
      </c>
      <c r="L601" t="s">
        <v>28</v>
      </c>
      <c r="M601">
        <v>26.3</v>
      </c>
      <c r="N601" t="s">
        <v>29</v>
      </c>
      <c r="O601">
        <f t="shared" si="47"/>
        <v>26.3</v>
      </c>
      <c r="P601">
        <f t="shared" si="48"/>
        <v>26.3</v>
      </c>
      <c r="Q601" t="s">
        <v>30</v>
      </c>
      <c r="R601">
        <v>41487</v>
      </c>
      <c r="S601">
        <v>401768</v>
      </c>
      <c r="U601">
        <f t="shared" si="46"/>
        <v>0</v>
      </c>
    </row>
    <row r="602" spans="1:21" ht="15.75" x14ac:dyDescent="0.25">
      <c r="A602" t="s">
        <v>1689</v>
      </c>
      <c r="B602">
        <v>43959</v>
      </c>
      <c r="C602" t="s">
        <v>22</v>
      </c>
      <c r="D602" t="s">
        <v>23</v>
      </c>
      <c r="E602" t="s">
        <v>22</v>
      </c>
      <c r="F602" t="s">
        <v>23</v>
      </c>
      <c r="G602" t="s">
        <v>1682</v>
      </c>
      <c r="H602" t="s">
        <v>1683</v>
      </c>
      <c r="I602" t="s">
        <v>1690</v>
      </c>
      <c r="J602">
        <v>0</v>
      </c>
      <c r="K602" t="s">
        <v>1691</v>
      </c>
      <c r="L602" t="s">
        <v>28</v>
      </c>
      <c r="M602">
        <v>11.11</v>
      </c>
      <c r="N602" t="s">
        <v>29</v>
      </c>
      <c r="O602">
        <f t="shared" si="47"/>
        <v>11.11</v>
      </c>
      <c r="P602">
        <f t="shared" si="48"/>
        <v>11.11</v>
      </c>
      <c r="Q602" t="s">
        <v>30</v>
      </c>
      <c r="R602">
        <v>42004</v>
      </c>
      <c r="S602">
        <v>401768</v>
      </c>
      <c r="U602">
        <f t="shared" si="46"/>
        <v>0</v>
      </c>
    </row>
    <row r="603" spans="1:21" ht="15.75" x14ac:dyDescent="0.25">
      <c r="A603" t="s">
        <v>1692</v>
      </c>
      <c r="B603">
        <v>43959</v>
      </c>
      <c r="C603" t="s">
        <v>22</v>
      </c>
      <c r="D603" t="s">
        <v>23</v>
      </c>
      <c r="E603" t="s">
        <v>22</v>
      </c>
      <c r="F603" t="s">
        <v>23</v>
      </c>
      <c r="G603" t="s">
        <v>1682</v>
      </c>
      <c r="H603" t="s">
        <v>1683</v>
      </c>
      <c r="I603" t="s">
        <v>1693</v>
      </c>
      <c r="J603">
        <v>0</v>
      </c>
      <c r="K603" t="s">
        <v>1694</v>
      </c>
      <c r="L603" t="s">
        <v>28</v>
      </c>
      <c r="M603">
        <v>33.79</v>
      </c>
      <c r="N603" t="s">
        <v>29</v>
      </c>
      <c r="O603">
        <f t="shared" si="47"/>
        <v>33.79</v>
      </c>
      <c r="P603">
        <f t="shared" si="48"/>
        <v>33.79</v>
      </c>
      <c r="Q603" t="s">
        <v>30</v>
      </c>
      <c r="R603">
        <v>41678</v>
      </c>
      <c r="S603">
        <v>401768</v>
      </c>
      <c r="U603">
        <f t="shared" si="46"/>
        <v>0</v>
      </c>
    </row>
    <row r="604" spans="1:21" ht="15.75" x14ac:dyDescent="0.25">
      <c r="A604" t="s">
        <v>1695</v>
      </c>
      <c r="B604">
        <v>43959</v>
      </c>
      <c r="C604" t="s">
        <v>22</v>
      </c>
      <c r="D604" t="s">
        <v>23</v>
      </c>
      <c r="E604" t="s">
        <v>22</v>
      </c>
      <c r="F604" t="s">
        <v>23</v>
      </c>
      <c r="G604" t="s">
        <v>1682</v>
      </c>
      <c r="H604" t="s">
        <v>1683</v>
      </c>
      <c r="I604" t="s">
        <v>1696</v>
      </c>
      <c r="J604">
        <v>0</v>
      </c>
      <c r="K604" t="s">
        <v>1697</v>
      </c>
      <c r="L604" t="s">
        <v>28</v>
      </c>
      <c r="M604">
        <v>10.01</v>
      </c>
      <c r="N604" t="s">
        <v>29</v>
      </c>
      <c r="O604">
        <f t="shared" si="47"/>
        <v>10.01</v>
      </c>
      <c r="P604">
        <f t="shared" si="48"/>
        <v>10.01</v>
      </c>
      <c r="Q604" t="s">
        <v>30</v>
      </c>
      <c r="R604">
        <v>41678</v>
      </c>
      <c r="S604">
        <v>401768</v>
      </c>
      <c r="U604">
        <f t="shared" si="46"/>
        <v>0</v>
      </c>
    </row>
    <row r="605" spans="1:21" ht="15.75" x14ac:dyDescent="0.25">
      <c r="A605" t="s">
        <v>1698</v>
      </c>
      <c r="B605">
        <v>43959</v>
      </c>
      <c r="C605" t="s">
        <v>22</v>
      </c>
      <c r="D605" t="s">
        <v>23</v>
      </c>
      <c r="E605" t="s">
        <v>22</v>
      </c>
      <c r="F605" t="s">
        <v>23</v>
      </c>
      <c r="G605" t="s">
        <v>1682</v>
      </c>
      <c r="H605" t="s">
        <v>1683</v>
      </c>
      <c r="I605" t="s">
        <v>1699</v>
      </c>
      <c r="J605">
        <v>0</v>
      </c>
      <c r="K605" t="s">
        <v>1700</v>
      </c>
      <c r="L605" t="s">
        <v>28</v>
      </c>
      <c r="M605">
        <v>32.94</v>
      </c>
      <c r="N605" t="s">
        <v>29</v>
      </c>
      <c r="O605">
        <f t="shared" si="47"/>
        <v>32.94</v>
      </c>
      <c r="P605">
        <f t="shared" si="48"/>
        <v>32.94</v>
      </c>
      <c r="Q605" t="s">
        <v>30</v>
      </c>
      <c r="R605">
        <v>41503</v>
      </c>
      <c r="S605">
        <v>401768</v>
      </c>
      <c r="U605">
        <f t="shared" si="46"/>
        <v>0</v>
      </c>
    </row>
    <row r="606" spans="1:21" ht="15.75" x14ac:dyDescent="0.25">
      <c r="A606" t="s">
        <v>1701</v>
      </c>
      <c r="B606">
        <v>43959</v>
      </c>
      <c r="C606" t="s">
        <v>22</v>
      </c>
      <c r="D606" t="s">
        <v>23</v>
      </c>
      <c r="E606" t="s">
        <v>22</v>
      </c>
      <c r="F606" t="s">
        <v>23</v>
      </c>
      <c r="G606" t="s">
        <v>1682</v>
      </c>
      <c r="H606" t="s">
        <v>1683</v>
      </c>
      <c r="I606" t="s">
        <v>1702</v>
      </c>
      <c r="J606">
        <v>0</v>
      </c>
      <c r="K606" t="s">
        <v>1703</v>
      </c>
      <c r="L606" t="s">
        <v>28</v>
      </c>
      <c r="M606">
        <v>9.82</v>
      </c>
      <c r="N606" t="s">
        <v>29</v>
      </c>
      <c r="O606">
        <f t="shared" si="47"/>
        <v>9.82</v>
      </c>
      <c r="P606">
        <f t="shared" si="48"/>
        <v>9.82</v>
      </c>
      <c r="Q606" t="s">
        <v>30</v>
      </c>
      <c r="R606">
        <v>41503</v>
      </c>
      <c r="S606">
        <v>401768</v>
      </c>
      <c r="U606">
        <f t="shared" si="46"/>
        <v>0</v>
      </c>
    </row>
    <row r="607" spans="1:21" ht="15.75" x14ac:dyDescent="0.25">
      <c r="A607" t="s">
        <v>1704</v>
      </c>
      <c r="B607">
        <v>43959</v>
      </c>
      <c r="C607" t="s">
        <v>22</v>
      </c>
      <c r="D607" t="s">
        <v>23</v>
      </c>
      <c r="E607" t="s">
        <v>22</v>
      </c>
      <c r="F607" t="s">
        <v>23</v>
      </c>
      <c r="G607" t="s">
        <v>1682</v>
      </c>
      <c r="H607" t="s">
        <v>1683</v>
      </c>
      <c r="I607" t="s">
        <v>1705</v>
      </c>
      <c r="J607">
        <v>0</v>
      </c>
      <c r="K607" t="s">
        <v>1706</v>
      </c>
      <c r="L607" t="s">
        <v>28</v>
      </c>
      <c r="M607">
        <v>27.85</v>
      </c>
      <c r="N607" t="s">
        <v>29</v>
      </c>
      <c r="O607">
        <f t="shared" si="47"/>
        <v>27.85</v>
      </c>
      <c r="P607">
        <f t="shared" si="48"/>
        <v>27.85</v>
      </c>
      <c r="Q607" t="s">
        <v>30</v>
      </c>
      <c r="R607">
        <v>42685</v>
      </c>
      <c r="S607">
        <v>401768</v>
      </c>
      <c r="U607">
        <f t="shared" si="46"/>
        <v>0</v>
      </c>
    </row>
    <row r="608" spans="1:21" ht="15.75" x14ac:dyDescent="0.25">
      <c r="A608" t="s">
        <v>1707</v>
      </c>
      <c r="B608">
        <v>43959</v>
      </c>
      <c r="C608" t="s">
        <v>22</v>
      </c>
      <c r="D608" t="s">
        <v>23</v>
      </c>
      <c r="E608" t="s">
        <v>22</v>
      </c>
      <c r="F608" t="s">
        <v>23</v>
      </c>
      <c r="G608" t="s">
        <v>1682</v>
      </c>
      <c r="H608" t="s">
        <v>1683</v>
      </c>
      <c r="I608" t="s">
        <v>1708</v>
      </c>
      <c r="J608">
        <v>0</v>
      </c>
      <c r="K608" t="s">
        <v>1709</v>
      </c>
      <c r="L608" t="s">
        <v>28</v>
      </c>
      <c r="M608">
        <v>215</v>
      </c>
      <c r="N608" t="s">
        <v>29</v>
      </c>
      <c r="O608">
        <f t="shared" si="47"/>
        <v>215</v>
      </c>
      <c r="P608">
        <f t="shared" si="48"/>
        <v>215</v>
      </c>
      <c r="Q608" t="s">
        <v>30</v>
      </c>
      <c r="R608">
        <v>42193</v>
      </c>
      <c r="S608">
        <v>401768</v>
      </c>
      <c r="U608">
        <f t="shared" si="46"/>
        <v>0</v>
      </c>
    </row>
    <row r="609" spans="1:21" ht="15.75" x14ac:dyDescent="0.25">
      <c r="A609" t="s">
        <v>1710</v>
      </c>
      <c r="B609">
        <v>43959</v>
      </c>
      <c r="C609" t="s">
        <v>22</v>
      </c>
      <c r="D609" t="s">
        <v>23</v>
      </c>
      <c r="E609" t="s">
        <v>22</v>
      </c>
      <c r="F609" t="s">
        <v>23</v>
      </c>
      <c r="G609" t="s">
        <v>1682</v>
      </c>
      <c r="H609" t="s">
        <v>1683</v>
      </c>
      <c r="I609" t="s">
        <v>1711</v>
      </c>
      <c r="J609">
        <v>0</v>
      </c>
      <c r="K609" t="s">
        <v>1712</v>
      </c>
      <c r="L609" t="s">
        <v>28</v>
      </c>
      <c r="M609">
        <v>25.65</v>
      </c>
      <c r="N609" t="s">
        <v>29</v>
      </c>
      <c r="O609">
        <f t="shared" si="47"/>
        <v>25.65</v>
      </c>
      <c r="P609">
        <f t="shared" si="48"/>
        <v>25.65</v>
      </c>
      <c r="Q609" t="s">
        <v>30</v>
      </c>
      <c r="R609">
        <v>41365</v>
      </c>
      <c r="S609">
        <v>401768</v>
      </c>
      <c r="U609">
        <f t="shared" si="46"/>
        <v>0</v>
      </c>
    </row>
    <row r="610" spans="1:21" ht="15.75" x14ac:dyDescent="0.25">
      <c r="A610" t="s">
        <v>1713</v>
      </c>
      <c r="B610">
        <v>43959</v>
      </c>
      <c r="C610" t="s">
        <v>22</v>
      </c>
      <c r="D610" t="s">
        <v>23</v>
      </c>
      <c r="E610" t="s">
        <v>22</v>
      </c>
      <c r="F610" t="s">
        <v>23</v>
      </c>
      <c r="G610" t="s">
        <v>1682</v>
      </c>
      <c r="H610" t="s">
        <v>1683</v>
      </c>
      <c r="I610" t="s">
        <v>1714</v>
      </c>
      <c r="J610">
        <v>0</v>
      </c>
      <c r="K610" t="s">
        <v>1715</v>
      </c>
      <c r="L610" t="s">
        <v>28</v>
      </c>
      <c r="M610">
        <v>25.65</v>
      </c>
      <c r="N610" t="s">
        <v>29</v>
      </c>
      <c r="O610">
        <f t="shared" si="47"/>
        <v>25.65</v>
      </c>
      <c r="P610">
        <f t="shared" si="48"/>
        <v>25.65</v>
      </c>
      <c r="Q610" t="s">
        <v>30</v>
      </c>
      <c r="R610">
        <v>41275</v>
      </c>
      <c r="S610">
        <v>401768</v>
      </c>
      <c r="U610">
        <f t="shared" si="46"/>
        <v>0</v>
      </c>
    </row>
    <row r="611" spans="1:21" ht="15.75" x14ac:dyDescent="0.25">
      <c r="A611" t="s">
        <v>1716</v>
      </c>
      <c r="B611">
        <v>43959</v>
      </c>
      <c r="C611" t="s">
        <v>22</v>
      </c>
      <c r="D611" t="s">
        <v>23</v>
      </c>
      <c r="E611" t="s">
        <v>22</v>
      </c>
      <c r="F611" t="s">
        <v>23</v>
      </c>
      <c r="G611" t="s">
        <v>1717</v>
      </c>
      <c r="H611" t="s">
        <v>1718</v>
      </c>
      <c r="I611" t="s">
        <v>1719</v>
      </c>
      <c r="J611">
        <v>0</v>
      </c>
      <c r="K611" t="s">
        <v>1720</v>
      </c>
      <c r="L611" t="s">
        <v>28</v>
      </c>
      <c r="M611">
        <v>1.5</v>
      </c>
      <c r="N611" t="s">
        <v>160</v>
      </c>
      <c r="O611">
        <v>95</v>
      </c>
      <c r="P611">
        <f t="shared" ref="P611:P644" si="49">O611*M611</f>
        <v>142.5</v>
      </c>
      <c r="Q611" t="s">
        <v>30</v>
      </c>
      <c r="R611">
        <v>41950</v>
      </c>
      <c r="S611">
        <v>401768</v>
      </c>
      <c r="U611">
        <f t="shared" si="46"/>
        <v>0</v>
      </c>
    </row>
    <row r="612" spans="1:21" ht="15.75" x14ac:dyDescent="0.25">
      <c r="A612" t="s">
        <v>1721</v>
      </c>
      <c r="B612">
        <v>46003</v>
      </c>
      <c r="C612" t="s">
        <v>22</v>
      </c>
      <c r="D612" t="s">
        <v>23</v>
      </c>
      <c r="E612" t="s">
        <v>22</v>
      </c>
      <c r="F612" t="s">
        <v>23</v>
      </c>
      <c r="G612" t="s">
        <v>1722</v>
      </c>
      <c r="H612" t="s">
        <v>1723</v>
      </c>
      <c r="I612" t="s">
        <v>1724</v>
      </c>
      <c r="J612">
        <v>0</v>
      </c>
      <c r="K612" t="s">
        <v>1725</v>
      </c>
      <c r="L612" t="s">
        <v>28</v>
      </c>
      <c r="M612">
        <v>2.23</v>
      </c>
      <c r="N612" t="s">
        <v>151</v>
      </c>
      <c r="O612">
        <v>110</v>
      </c>
      <c r="P612">
        <f t="shared" si="49"/>
        <v>245.3</v>
      </c>
      <c r="Q612" t="s">
        <v>30</v>
      </c>
      <c r="R612">
        <v>46139</v>
      </c>
      <c r="S612">
        <v>401768</v>
      </c>
      <c r="U612">
        <f t="shared" si="46"/>
        <v>0</v>
      </c>
    </row>
    <row r="613" spans="1:21" ht="15.75" x14ac:dyDescent="0.25">
      <c r="A613" t="s">
        <v>1726</v>
      </c>
      <c r="B613">
        <v>46003</v>
      </c>
      <c r="C613" t="s">
        <v>22</v>
      </c>
      <c r="D613" t="s">
        <v>23</v>
      </c>
      <c r="E613" t="s">
        <v>22</v>
      </c>
      <c r="F613" t="s">
        <v>23</v>
      </c>
      <c r="G613" t="s">
        <v>1722</v>
      </c>
      <c r="H613" t="s">
        <v>1723</v>
      </c>
      <c r="I613" t="s">
        <v>1727</v>
      </c>
      <c r="J613">
        <v>0</v>
      </c>
      <c r="K613" t="s">
        <v>1728</v>
      </c>
      <c r="L613" t="s">
        <v>28</v>
      </c>
      <c r="M613">
        <v>0.99</v>
      </c>
      <c r="N613" t="s">
        <v>151</v>
      </c>
      <c r="O613">
        <v>110</v>
      </c>
      <c r="P613">
        <f t="shared" si="49"/>
        <v>108.9</v>
      </c>
      <c r="Q613" t="s">
        <v>30</v>
      </c>
      <c r="R613">
        <v>46139</v>
      </c>
      <c r="S613">
        <v>401768</v>
      </c>
      <c r="U613">
        <f t="shared" si="46"/>
        <v>0</v>
      </c>
    </row>
    <row r="614" spans="1:21" ht="15.75" x14ac:dyDescent="0.25">
      <c r="A614" t="s">
        <v>1729</v>
      </c>
      <c r="B614">
        <v>46003</v>
      </c>
      <c r="C614" t="s">
        <v>22</v>
      </c>
      <c r="D614" t="s">
        <v>23</v>
      </c>
      <c r="E614" t="s">
        <v>22</v>
      </c>
      <c r="F614" t="s">
        <v>23</v>
      </c>
      <c r="G614" t="s">
        <v>1722</v>
      </c>
      <c r="H614" t="s">
        <v>1723</v>
      </c>
      <c r="I614" t="s">
        <v>1730</v>
      </c>
      <c r="J614">
        <v>0</v>
      </c>
      <c r="K614" t="s">
        <v>1731</v>
      </c>
      <c r="L614" t="s">
        <v>28</v>
      </c>
      <c r="M614">
        <v>2.2599999999999998</v>
      </c>
      <c r="N614" t="s">
        <v>151</v>
      </c>
      <c r="O614">
        <v>110</v>
      </c>
      <c r="P614">
        <f t="shared" si="49"/>
        <v>248.59999999999997</v>
      </c>
      <c r="Q614" t="s">
        <v>30</v>
      </c>
      <c r="R614">
        <v>46139</v>
      </c>
      <c r="S614">
        <v>401768</v>
      </c>
      <c r="U614">
        <f t="shared" si="46"/>
        <v>0</v>
      </c>
    </row>
    <row r="615" spans="1:21" ht="15.75" x14ac:dyDescent="0.25">
      <c r="A615" t="s">
        <v>1732</v>
      </c>
      <c r="B615">
        <v>46003</v>
      </c>
      <c r="C615" t="s">
        <v>22</v>
      </c>
      <c r="D615" t="s">
        <v>23</v>
      </c>
      <c r="E615" t="s">
        <v>22</v>
      </c>
      <c r="F615" t="s">
        <v>23</v>
      </c>
      <c r="G615" t="s">
        <v>1722</v>
      </c>
      <c r="H615" t="s">
        <v>1723</v>
      </c>
      <c r="I615" t="s">
        <v>1733</v>
      </c>
      <c r="J615">
        <v>0</v>
      </c>
      <c r="K615" t="s">
        <v>1734</v>
      </c>
      <c r="L615" t="s">
        <v>28</v>
      </c>
      <c r="M615">
        <v>1</v>
      </c>
      <c r="N615" t="s">
        <v>151</v>
      </c>
      <c r="O615">
        <v>110</v>
      </c>
      <c r="P615">
        <f t="shared" si="49"/>
        <v>110</v>
      </c>
      <c r="Q615" t="s">
        <v>30</v>
      </c>
      <c r="R615">
        <v>46139</v>
      </c>
      <c r="S615">
        <v>401768</v>
      </c>
      <c r="U615">
        <f t="shared" si="46"/>
        <v>0</v>
      </c>
    </row>
    <row r="616" spans="1:21" ht="15.75" x14ac:dyDescent="0.25">
      <c r="A616" t="s">
        <v>1735</v>
      </c>
      <c r="B616">
        <v>46147</v>
      </c>
      <c r="C616" t="s">
        <v>22</v>
      </c>
      <c r="D616" t="s">
        <v>23</v>
      </c>
      <c r="E616" t="s">
        <v>30</v>
      </c>
      <c r="F616" t="s">
        <v>30</v>
      </c>
      <c r="G616" t="s">
        <v>1722</v>
      </c>
      <c r="H616" t="s">
        <v>1723</v>
      </c>
      <c r="I616" t="s">
        <v>1736</v>
      </c>
      <c r="J616">
        <v>0</v>
      </c>
      <c r="K616" t="s">
        <v>1737</v>
      </c>
      <c r="L616" t="s">
        <v>28</v>
      </c>
      <c r="M616">
        <v>2.2000000000000002</v>
      </c>
      <c r="N616" t="s">
        <v>151</v>
      </c>
      <c r="O616">
        <v>110</v>
      </c>
      <c r="P616">
        <f t="shared" si="49"/>
        <v>242.00000000000003</v>
      </c>
      <c r="Q616" t="s">
        <v>30</v>
      </c>
      <c r="R616">
        <v>46147</v>
      </c>
      <c r="S616">
        <v>401768</v>
      </c>
      <c r="T616">
        <v>300</v>
      </c>
      <c r="U616">
        <f t="shared" si="46"/>
        <v>0.7260000000000002</v>
      </c>
    </row>
    <row r="617" spans="1:21" ht="15.75" x14ac:dyDescent="0.25">
      <c r="A617" t="s">
        <v>1738</v>
      </c>
      <c r="B617">
        <v>44673</v>
      </c>
      <c r="C617" t="s">
        <v>22</v>
      </c>
      <c r="D617" t="s">
        <v>23</v>
      </c>
      <c r="E617" t="s">
        <v>22</v>
      </c>
      <c r="F617" t="s">
        <v>23</v>
      </c>
      <c r="G617" t="s">
        <v>1739</v>
      </c>
      <c r="H617" t="s">
        <v>1740</v>
      </c>
      <c r="I617" t="s">
        <v>1727</v>
      </c>
      <c r="J617">
        <v>0</v>
      </c>
      <c r="K617" t="s">
        <v>1728</v>
      </c>
      <c r="L617" t="s">
        <v>28</v>
      </c>
      <c r="M617">
        <v>0.88</v>
      </c>
      <c r="N617" t="s">
        <v>151</v>
      </c>
      <c r="O617">
        <v>110</v>
      </c>
      <c r="P617">
        <f t="shared" si="49"/>
        <v>96.8</v>
      </c>
      <c r="Q617" t="s">
        <v>30</v>
      </c>
      <c r="R617">
        <v>44673</v>
      </c>
      <c r="S617">
        <v>401768</v>
      </c>
      <c r="U617">
        <f t="shared" si="46"/>
        <v>0</v>
      </c>
    </row>
    <row r="618" spans="1:21" ht="15.75" x14ac:dyDescent="0.25">
      <c r="A618" t="s">
        <v>1741</v>
      </c>
      <c r="B618">
        <v>44673</v>
      </c>
      <c r="C618" t="s">
        <v>22</v>
      </c>
      <c r="D618" t="s">
        <v>23</v>
      </c>
      <c r="E618" t="s">
        <v>22</v>
      </c>
      <c r="F618" t="s">
        <v>23</v>
      </c>
      <c r="G618" t="s">
        <v>1739</v>
      </c>
      <c r="H618" t="s">
        <v>1740</v>
      </c>
      <c r="I618" t="s">
        <v>1742</v>
      </c>
      <c r="J618">
        <v>0</v>
      </c>
      <c r="K618" t="s">
        <v>1743</v>
      </c>
      <c r="L618" t="s">
        <v>28</v>
      </c>
      <c r="M618">
        <v>0.61</v>
      </c>
      <c r="N618" t="s">
        <v>151</v>
      </c>
      <c r="O618">
        <v>110</v>
      </c>
      <c r="P618">
        <f t="shared" si="49"/>
        <v>67.099999999999994</v>
      </c>
      <c r="Q618" t="s">
        <v>30</v>
      </c>
      <c r="R618">
        <v>46118</v>
      </c>
      <c r="S618">
        <v>401768</v>
      </c>
      <c r="U618">
        <f t="shared" si="46"/>
        <v>0</v>
      </c>
    </row>
    <row r="619" spans="1:21" ht="15.75" x14ac:dyDescent="0.25">
      <c r="A619" t="s">
        <v>1744</v>
      </c>
      <c r="B619">
        <v>44673</v>
      </c>
      <c r="C619" t="s">
        <v>22</v>
      </c>
      <c r="D619" t="s">
        <v>23</v>
      </c>
      <c r="E619" t="s">
        <v>22</v>
      </c>
      <c r="F619" t="s">
        <v>23</v>
      </c>
      <c r="G619" t="s">
        <v>1739</v>
      </c>
      <c r="H619" t="s">
        <v>1740</v>
      </c>
      <c r="I619" t="s">
        <v>1730</v>
      </c>
      <c r="J619">
        <v>0</v>
      </c>
      <c r="K619" t="s">
        <v>1731</v>
      </c>
      <c r="L619" t="s">
        <v>28</v>
      </c>
      <c r="M619">
        <v>1.97</v>
      </c>
      <c r="N619" t="s">
        <v>151</v>
      </c>
      <c r="O619">
        <v>110</v>
      </c>
      <c r="P619">
        <f t="shared" si="49"/>
        <v>216.7</v>
      </c>
      <c r="Q619" t="s">
        <v>30</v>
      </c>
      <c r="R619">
        <v>44800</v>
      </c>
      <c r="S619">
        <v>401768</v>
      </c>
      <c r="U619">
        <f t="shared" si="46"/>
        <v>0</v>
      </c>
    </row>
    <row r="620" spans="1:21" ht="15.75" x14ac:dyDescent="0.25">
      <c r="A620" t="s">
        <v>1745</v>
      </c>
      <c r="B620">
        <v>44673</v>
      </c>
      <c r="C620" t="s">
        <v>22</v>
      </c>
      <c r="D620" t="s">
        <v>23</v>
      </c>
      <c r="E620" t="s">
        <v>22</v>
      </c>
      <c r="F620" t="s">
        <v>23</v>
      </c>
      <c r="G620" t="s">
        <v>1739</v>
      </c>
      <c r="H620" t="s">
        <v>1740</v>
      </c>
      <c r="I620" t="s">
        <v>1733</v>
      </c>
      <c r="J620">
        <v>0</v>
      </c>
      <c r="K620" t="s">
        <v>1734</v>
      </c>
      <c r="L620" t="s">
        <v>28</v>
      </c>
      <c r="M620">
        <v>0.86</v>
      </c>
      <c r="N620" t="s">
        <v>151</v>
      </c>
      <c r="O620">
        <v>110</v>
      </c>
      <c r="P620">
        <f t="shared" si="49"/>
        <v>94.6</v>
      </c>
      <c r="Q620" t="s">
        <v>30</v>
      </c>
      <c r="R620">
        <v>44673</v>
      </c>
      <c r="S620">
        <v>401768</v>
      </c>
      <c r="U620">
        <f t="shared" si="46"/>
        <v>0</v>
      </c>
    </row>
    <row r="621" spans="1:21" ht="15.75" x14ac:dyDescent="0.25">
      <c r="A621" t="s">
        <v>1746</v>
      </c>
      <c r="B621">
        <v>44873</v>
      </c>
      <c r="C621" t="s">
        <v>22</v>
      </c>
      <c r="D621" t="s">
        <v>23</v>
      </c>
      <c r="E621" t="s">
        <v>22</v>
      </c>
      <c r="F621" t="s">
        <v>23</v>
      </c>
      <c r="G621" t="s">
        <v>1739</v>
      </c>
      <c r="H621" t="s">
        <v>1740</v>
      </c>
      <c r="I621" t="s">
        <v>1747</v>
      </c>
      <c r="J621">
        <v>0</v>
      </c>
      <c r="K621" t="s">
        <v>1748</v>
      </c>
      <c r="L621" t="s">
        <v>28</v>
      </c>
      <c r="M621">
        <v>0.96</v>
      </c>
      <c r="N621" t="s">
        <v>151</v>
      </c>
      <c r="O621">
        <v>110</v>
      </c>
      <c r="P621">
        <f t="shared" si="49"/>
        <v>105.6</v>
      </c>
      <c r="Q621" t="s">
        <v>30</v>
      </c>
      <c r="R621">
        <v>44873</v>
      </c>
      <c r="S621">
        <v>401768</v>
      </c>
      <c r="U621">
        <f t="shared" si="46"/>
        <v>0</v>
      </c>
    </row>
    <row r="622" spans="1:21" ht="15.75" x14ac:dyDescent="0.25">
      <c r="A622" t="s">
        <v>1749</v>
      </c>
      <c r="B622">
        <v>44893</v>
      </c>
      <c r="C622" t="s">
        <v>22</v>
      </c>
      <c r="D622" t="s">
        <v>23</v>
      </c>
      <c r="E622" t="s">
        <v>22</v>
      </c>
      <c r="F622" t="s">
        <v>23</v>
      </c>
      <c r="G622" t="s">
        <v>1739</v>
      </c>
      <c r="H622" t="s">
        <v>1740</v>
      </c>
      <c r="I622" t="s">
        <v>1750</v>
      </c>
      <c r="J622">
        <v>0</v>
      </c>
      <c r="K622" t="s">
        <v>1751</v>
      </c>
      <c r="L622" t="s">
        <v>28</v>
      </c>
      <c r="M622">
        <v>0.59</v>
      </c>
      <c r="N622" t="s">
        <v>151</v>
      </c>
      <c r="O622">
        <v>110</v>
      </c>
      <c r="P622">
        <f t="shared" si="49"/>
        <v>64.899999999999991</v>
      </c>
      <c r="Q622" t="s">
        <v>30</v>
      </c>
      <c r="R622">
        <v>44893</v>
      </c>
      <c r="S622">
        <v>401768</v>
      </c>
      <c r="U622">
        <f t="shared" si="46"/>
        <v>0</v>
      </c>
    </row>
    <row r="623" spans="1:21" ht="15.75" x14ac:dyDescent="0.25">
      <c r="A623" t="s">
        <v>1752</v>
      </c>
      <c r="B623">
        <v>44896</v>
      </c>
      <c r="C623" t="s">
        <v>22</v>
      </c>
      <c r="D623" t="s">
        <v>23</v>
      </c>
      <c r="E623" t="s">
        <v>22</v>
      </c>
      <c r="F623" t="s">
        <v>23</v>
      </c>
      <c r="G623" t="s">
        <v>1739</v>
      </c>
      <c r="H623" t="s">
        <v>1740</v>
      </c>
      <c r="I623" t="s">
        <v>1753</v>
      </c>
      <c r="J623">
        <v>0</v>
      </c>
      <c r="K623" t="s">
        <v>1754</v>
      </c>
      <c r="L623" t="s">
        <v>28</v>
      </c>
      <c r="M623">
        <v>0.95</v>
      </c>
      <c r="N623" t="s">
        <v>151</v>
      </c>
      <c r="O623">
        <v>110</v>
      </c>
      <c r="P623">
        <f t="shared" si="49"/>
        <v>104.5</v>
      </c>
      <c r="Q623" t="s">
        <v>30</v>
      </c>
      <c r="R623">
        <v>44896</v>
      </c>
      <c r="S623">
        <v>401768</v>
      </c>
      <c r="U623">
        <f t="shared" si="46"/>
        <v>0</v>
      </c>
    </row>
    <row r="624" spans="1:21" ht="15.75" x14ac:dyDescent="0.25">
      <c r="A624" t="s">
        <v>1755</v>
      </c>
      <c r="B624">
        <v>44929</v>
      </c>
      <c r="C624" t="s">
        <v>22</v>
      </c>
      <c r="D624" t="s">
        <v>23</v>
      </c>
      <c r="E624" t="s">
        <v>22</v>
      </c>
      <c r="F624" t="s">
        <v>23</v>
      </c>
      <c r="G624" t="s">
        <v>1739</v>
      </c>
      <c r="H624" t="s">
        <v>1740</v>
      </c>
      <c r="I624" t="s">
        <v>1724</v>
      </c>
      <c r="J624">
        <v>0</v>
      </c>
      <c r="K624" t="s">
        <v>1725</v>
      </c>
      <c r="L624" t="s">
        <v>28</v>
      </c>
      <c r="M624">
        <v>2.23</v>
      </c>
      <c r="N624" t="s">
        <v>151</v>
      </c>
      <c r="O624">
        <v>110</v>
      </c>
      <c r="P624">
        <f t="shared" si="49"/>
        <v>245.3</v>
      </c>
      <c r="Q624" t="s">
        <v>30</v>
      </c>
      <c r="R624">
        <v>46118</v>
      </c>
      <c r="S624">
        <v>401768</v>
      </c>
      <c r="U624">
        <f t="shared" si="46"/>
        <v>0</v>
      </c>
    </row>
    <row r="625" spans="1:21" ht="15.75" x14ac:dyDescent="0.25">
      <c r="A625" t="s">
        <v>1756</v>
      </c>
      <c r="B625">
        <v>44929</v>
      </c>
      <c r="C625" t="s">
        <v>22</v>
      </c>
      <c r="D625" t="s">
        <v>23</v>
      </c>
      <c r="E625" t="s">
        <v>22</v>
      </c>
      <c r="F625" t="s">
        <v>23</v>
      </c>
      <c r="G625" t="s">
        <v>1739</v>
      </c>
      <c r="H625" t="s">
        <v>1740</v>
      </c>
      <c r="I625" t="s">
        <v>1724</v>
      </c>
      <c r="J625">
        <v>0</v>
      </c>
      <c r="K625" t="s">
        <v>1725</v>
      </c>
      <c r="L625" t="s">
        <v>28</v>
      </c>
      <c r="M625">
        <v>2.06</v>
      </c>
      <c r="N625" t="s">
        <v>151</v>
      </c>
      <c r="O625">
        <v>110</v>
      </c>
      <c r="P625">
        <f t="shared" si="49"/>
        <v>226.6</v>
      </c>
      <c r="Q625" t="s">
        <v>30</v>
      </c>
      <c r="R625">
        <v>46118</v>
      </c>
      <c r="S625">
        <v>46119</v>
      </c>
      <c r="U625">
        <f t="shared" si="46"/>
        <v>0</v>
      </c>
    </row>
    <row r="626" spans="1:21" ht="15.75" x14ac:dyDescent="0.25">
      <c r="A626" t="s">
        <v>1757</v>
      </c>
      <c r="B626">
        <v>44987</v>
      </c>
      <c r="C626" t="s">
        <v>22</v>
      </c>
      <c r="D626" t="s">
        <v>23</v>
      </c>
      <c r="E626" t="s">
        <v>22</v>
      </c>
      <c r="F626" t="s">
        <v>23</v>
      </c>
      <c r="G626" t="s">
        <v>1739</v>
      </c>
      <c r="H626" t="s">
        <v>1740</v>
      </c>
      <c r="I626" t="s">
        <v>1758</v>
      </c>
      <c r="J626">
        <v>0</v>
      </c>
      <c r="K626" t="s">
        <v>1759</v>
      </c>
      <c r="L626" t="s">
        <v>28</v>
      </c>
      <c r="M626">
        <v>0.32</v>
      </c>
      <c r="N626" t="s">
        <v>151</v>
      </c>
      <c r="O626">
        <v>110</v>
      </c>
      <c r="P626">
        <f t="shared" si="49"/>
        <v>35.200000000000003</v>
      </c>
      <c r="Q626" t="s">
        <v>30</v>
      </c>
      <c r="R626">
        <v>44987</v>
      </c>
      <c r="S626">
        <v>401768</v>
      </c>
      <c r="U626">
        <f t="shared" si="46"/>
        <v>0</v>
      </c>
    </row>
    <row r="627" spans="1:21" ht="15.75" x14ac:dyDescent="0.25">
      <c r="A627" t="s">
        <v>1760</v>
      </c>
      <c r="B627">
        <v>45002</v>
      </c>
      <c r="C627" t="s">
        <v>22</v>
      </c>
      <c r="D627" t="s">
        <v>23</v>
      </c>
      <c r="E627" t="s">
        <v>22</v>
      </c>
      <c r="F627" t="s">
        <v>23</v>
      </c>
      <c r="G627" t="s">
        <v>1739</v>
      </c>
      <c r="H627" t="s">
        <v>1740</v>
      </c>
      <c r="I627" t="s">
        <v>1761</v>
      </c>
      <c r="J627">
        <v>0</v>
      </c>
      <c r="K627" t="s">
        <v>1762</v>
      </c>
      <c r="L627" t="s">
        <v>28</v>
      </c>
      <c r="M627">
        <v>2.15</v>
      </c>
      <c r="N627" t="s">
        <v>151</v>
      </c>
      <c r="O627">
        <v>110</v>
      </c>
      <c r="P627">
        <f t="shared" si="49"/>
        <v>236.5</v>
      </c>
      <c r="Q627" t="s">
        <v>30</v>
      </c>
      <c r="R627">
        <v>45002</v>
      </c>
      <c r="S627">
        <v>401768</v>
      </c>
      <c r="U627">
        <f t="shared" si="46"/>
        <v>0</v>
      </c>
    </row>
    <row r="628" spans="1:21" ht="15.75" x14ac:dyDescent="0.25">
      <c r="A628" t="s">
        <v>1763</v>
      </c>
      <c r="B628">
        <v>45535</v>
      </c>
      <c r="C628" t="s">
        <v>22</v>
      </c>
      <c r="D628" t="s">
        <v>23</v>
      </c>
      <c r="E628" t="s">
        <v>22</v>
      </c>
      <c r="F628" t="s">
        <v>23</v>
      </c>
      <c r="G628" t="s">
        <v>1739</v>
      </c>
      <c r="H628" t="s">
        <v>1740</v>
      </c>
      <c r="I628" t="s">
        <v>1764</v>
      </c>
      <c r="J628">
        <v>0</v>
      </c>
      <c r="K628" t="s">
        <v>1765</v>
      </c>
      <c r="L628" t="s">
        <v>28</v>
      </c>
      <c r="M628">
        <v>1.1000000000000001</v>
      </c>
      <c r="N628" t="s">
        <v>151</v>
      </c>
      <c r="O628">
        <v>110</v>
      </c>
      <c r="P628">
        <f t="shared" si="49"/>
        <v>121.00000000000001</v>
      </c>
      <c r="Q628" t="s">
        <v>30</v>
      </c>
      <c r="R628">
        <v>45535</v>
      </c>
      <c r="S628">
        <v>401768</v>
      </c>
      <c r="U628">
        <f t="shared" si="46"/>
        <v>0</v>
      </c>
    </row>
    <row r="629" spans="1:21" ht="15.75" x14ac:dyDescent="0.25">
      <c r="A629" t="s">
        <v>1766</v>
      </c>
      <c r="B629">
        <v>45535</v>
      </c>
      <c r="C629" t="s">
        <v>22</v>
      </c>
      <c r="D629" t="s">
        <v>23</v>
      </c>
      <c r="E629" t="s">
        <v>22</v>
      </c>
      <c r="F629" t="s">
        <v>23</v>
      </c>
      <c r="G629" t="s">
        <v>1739</v>
      </c>
      <c r="H629" t="s">
        <v>1740</v>
      </c>
      <c r="I629" t="s">
        <v>1767</v>
      </c>
      <c r="J629">
        <v>0</v>
      </c>
      <c r="K629" t="s">
        <v>1768</v>
      </c>
      <c r="L629" t="s">
        <v>28</v>
      </c>
      <c r="M629">
        <v>1.1000000000000001</v>
      </c>
      <c r="N629" t="s">
        <v>151</v>
      </c>
      <c r="O629">
        <v>110</v>
      </c>
      <c r="P629">
        <f t="shared" si="49"/>
        <v>121.00000000000001</v>
      </c>
      <c r="Q629" t="s">
        <v>30</v>
      </c>
      <c r="R629">
        <v>45535</v>
      </c>
      <c r="S629">
        <v>401768</v>
      </c>
      <c r="U629">
        <f t="shared" si="46"/>
        <v>0</v>
      </c>
    </row>
    <row r="630" spans="1:21" ht="15.75" x14ac:dyDescent="0.25">
      <c r="A630" t="s">
        <v>1769</v>
      </c>
      <c r="B630">
        <v>45573</v>
      </c>
      <c r="C630" t="s">
        <v>22</v>
      </c>
      <c r="D630" t="s">
        <v>23</v>
      </c>
      <c r="E630" t="s">
        <v>22</v>
      </c>
      <c r="F630" t="s">
        <v>23</v>
      </c>
      <c r="G630" t="s">
        <v>1739</v>
      </c>
      <c r="H630" t="s">
        <v>1740</v>
      </c>
      <c r="I630" t="s">
        <v>1736</v>
      </c>
      <c r="J630">
        <v>0</v>
      </c>
      <c r="K630" t="s">
        <v>1737</v>
      </c>
      <c r="L630" t="s">
        <v>28</v>
      </c>
      <c r="M630">
        <v>1.95</v>
      </c>
      <c r="N630" t="s">
        <v>151</v>
      </c>
      <c r="O630">
        <v>110</v>
      </c>
      <c r="P630">
        <f t="shared" si="49"/>
        <v>214.5</v>
      </c>
      <c r="Q630" t="s">
        <v>30</v>
      </c>
      <c r="R630">
        <v>45587</v>
      </c>
      <c r="S630">
        <v>401768</v>
      </c>
      <c r="U630">
        <f t="shared" si="46"/>
        <v>0</v>
      </c>
    </row>
    <row r="631" spans="1:21" ht="15.75" x14ac:dyDescent="0.25">
      <c r="A631" t="s">
        <v>1770</v>
      </c>
      <c r="B631">
        <v>46128</v>
      </c>
      <c r="C631" t="s">
        <v>22</v>
      </c>
      <c r="D631" t="s">
        <v>23</v>
      </c>
      <c r="E631" t="s">
        <v>22</v>
      </c>
      <c r="F631" t="s">
        <v>23</v>
      </c>
      <c r="G631" t="s">
        <v>1739</v>
      </c>
      <c r="H631" t="s">
        <v>1740</v>
      </c>
      <c r="I631" t="s">
        <v>1771</v>
      </c>
      <c r="J631">
        <v>0</v>
      </c>
      <c r="K631" t="s">
        <v>1772</v>
      </c>
      <c r="L631" t="s">
        <v>28</v>
      </c>
      <c r="M631">
        <v>0.9</v>
      </c>
      <c r="N631" t="s">
        <v>151</v>
      </c>
      <c r="O631">
        <v>110</v>
      </c>
      <c r="P631">
        <f t="shared" si="49"/>
        <v>99</v>
      </c>
      <c r="Q631" t="s">
        <v>30</v>
      </c>
      <c r="R631">
        <v>46128</v>
      </c>
      <c r="S631">
        <v>401768</v>
      </c>
      <c r="T631">
        <v>2500</v>
      </c>
      <c r="U631">
        <f t="shared" si="46"/>
        <v>2.4750000000000001</v>
      </c>
    </row>
    <row r="632" spans="1:21" ht="15.75" x14ac:dyDescent="0.25">
      <c r="A632" t="s">
        <v>1773</v>
      </c>
      <c r="B632">
        <v>45310</v>
      </c>
      <c r="C632" t="s">
        <v>22</v>
      </c>
      <c r="D632" t="s">
        <v>23</v>
      </c>
      <c r="E632" t="s">
        <v>22</v>
      </c>
      <c r="F632" t="s">
        <v>23</v>
      </c>
      <c r="G632" t="s">
        <v>1774</v>
      </c>
      <c r="H632" t="s">
        <v>1775</v>
      </c>
      <c r="I632" t="s">
        <v>1674</v>
      </c>
      <c r="J632">
        <v>0</v>
      </c>
      <c r="K632" t="s">
        <v>321</v>
      </c>
      <c r="L632" t="s">
        <v>28</v>
      </c>
      <c r="M632">
        <v>0.5</v>
      </c>
      <c r="N632" t="s">
        <v>160</v>
      </c>
      <c r="O632">
        <v>95</v>
      </c>
      <c r="P632">
        <f t="shared" si="49"/>
        <v>47.5</v>
      </c>
      <c r="Q632" t="s">
        <v>30</v>
      </c>
      <c r="R632">
        <v>45310</v>
      </c>
      <c r="S632">
        <v>401768</v>
      </c>
      <c r="U632">
        <f t="shared" si="46"/>
        <v>0</v>
      </c>
    </row>
    <row r="633" spans="1:21" ht="15.75" x14ac:dyDescent="0.25">
      <c r="A633" t="s">
        <v>1776</v>
      </c>
      <c r="B633">
        <v>45381</v>
      </c>
      <c r="C633" t="s">
        <v>22</v>
      </c>
      <c r="D633" t="s">
        <v>23</v>
      </c>
      <c r="E633" t="s">
        <v>22</v>
      </c>
      <c r="F633" t="s">
        <v>23</v>
      </c>
      <c r="G633" t="s">
        <v>1774</v>
      </c>
      <c r="H633" t="s">
        <v>1775</v>
      </c>
      <c r="I633" t="s">
        <v>320</v>
      </c>
      <c r="J633">
        <v>0</v>
      </c>
      <c r="K633" t="s">
        <v>321</v>
      </c>
      <c r="L633" t="s">
        <v>28</v>
      </c>
      <c r="M633">
        <v>9</v>
      </c>
      <c r="N633" t="s">
        <v>160</v>
      </c>
      <c r="O633">
        <v>95</v>
      </c>
      <c r="P633">
        <f t="shared" si="49"/>
        <v>855</v>
      </c>
      <c r="Q633" t="s">
        <v>30</v>
      </c>
      <c r="R633">
        <v>45381</v>
      </c>
      <c r="S633">
        <v>401768</v>
      </c>
      <c r="U633">
        <f t="shared" si="46"/>
        <v>0</v>
      </c>
    </row>
    <row r="634" spans="1:21" ht="15.75" x14ac:dyDescent="0.25">
      <c r="A634" t="s">
        <v>1777</v>
      </c>
      <c r="B634">
        <v>45493</v>
      </c>
      <c r="C634" t="s">
        <v>22</v>
      </c>
      <c r="D634" t="s">
        <v>23</v>
      </c>
      <c r="E634" t="s">
        <v>22</v>
      </c>
      <c r="F634" t="s">
        <v>23</v>
      </c>
      <c r="G634" t="s">
        <v>1774</v>
      </c>
      <c r="H634" t="s">
        <v>1775</v>
      </c>
      <c r="I634" t="s">
        <v>323</v>
      </c>
      <c r="J634">
        <v>0</v>
      </c>
      <c r="K634" t="s">
        <v>324</v>
      </c>
      <c r="L634" t="s">
        <v>28</v>
      </c>
      <c r="M634">
        <v>0.5</v>
      </c>
      <c r="N634" t="s">
        <v>160</v>
      </c>
      <c r="O634">
        <v>95</v>
      </c>
      <c r="P634">
        <f t="shared" si="49"/>
        <v>47.5</v>
      </c>
      <c r="Q634" t="s">
        <v>30</v>
      </c>
      <c r="R634">
        <v>45493</v>
      </c>
      <c r="S634">
        <v>401768</v>
      </c>
      <c r="U634">
        <f t="shared" si="46"/>
        <v>0</v>
      </c>
    </row>
    <row r="635" spans="1:21" ht="15.75" x14ac:dyDescent="0.25">
      <c r="A635" t="s">
        <v>1778</v>
      </c>
      <c r="B635">
        <v>45493</v>
      </c>
      <c r="C635" t="s">
        <v>22</v>
      </c>
      <c r="D635" t="s">
        <v>23</v>
      </c>
      <c r="E635" t="s">
        <v>22</v>
      </c>
      <c r="F635" t="s">
        <v>23</v>
      </c>
      <c r="G635" t="s">
        <v>1774</v>
      </c>
      <c r="H635" t="s">
        <v>1775</v>
      </c>
      <c r="I635" t="s">
        <v>326</v>
      </c>
      <c r="J635">
        <v>0</v>
      </c>
      <c r="K635" t="s">
        <v>327</v>
      </c>
      <c r="L635" t="s">
        <v>28</v>
      </c>
      <c r="M635">
        <v>0.5</v>
      </c>
      <c r="N635" t="s">
        <v>160</v>
      </c>
      <c r="O635">
        <v>95</v>
      </c>
      <c r="P635">
        <f t="shared" si="49"/>
        <v>47.5</v>
      </c>
      <c r="Q635" t="s">
        <v>30</v>
      </c>
      <c r="R635">
        <v>45493</v>
      </c>
      <c r="S635">
        <v>401768</v>
      </c>
      <c r="U635">
        <f t="shared" si="46"/>
        <v>0</v>
      </c>
    </row>
    <row r="636" spans="1:21" ht="15.75" x14ac:dyDescent="0.25">
      <c r="A636" t="s">
        <v>1779</v>
      </c>
      <c r="B636">
        <v>45538</v>
      </c>
      <c r="C636" t="s">
        <v>22</v>
      </c>
      <c r="D636" t="s">
        <v>23</v>
      </c>
      <c r="E636" t="s">
        <v>22</v>
      </c>
      <c r="F636" t="s">
        <v>23</v>
      </c>
      <c r="G636" t="s">
        <v>1774</v>
      </c>
      <c r="H636" t="s">
        <v>1775</v>
      </c>
      <c r="I636" t="s">
        <v>237</v>
      </c>
      <c r="J636">
        <v>0</v>
      </c>
      <c r="K636" t="s">
        <v>238</v>
      </c>
      <c r="L636" t="s">
        <v>28</v>
      </c>
      <c r="M636">
        <v>0.5</v>
      </c>
      <c r="N636" t="s">
        <v>160</v>
      </c>
      <c r="O636">
        <v>95</v>
      </c>
      <c r="P636">
        <f t="shared" si="49"/>
        <v>47.5</v>
      </c>
      <c r="Q636" t="s">
        <v>30</v>
      </c>
      <c r="R636">
        <v>45538</v>
      </c>
      <c r="S636">
        <v>401768</v>
      </c>
      <c r="U636">
        <f t="shared" si="46"/>
        <v>0</v>
      </c>
    </row>
    <row r="637" spans="1:21" ht="15.75" x14ac:dyDescent="0.25">
      <c r="A637" t="s">
        <v>1780</v>
      </c>
      <c r="B637">
        <v>45666</v>
      </c>
      <c r="C637" t="s">
        <v>22</v>
      </c>
      <c r="D637" t="s">
        <v>23</v>
      </c>
      <c r="E637" t="s">
        <v>22</v>
      </c>
      <c r="F637" t="s">
        <v>23</v>
      </c>
      <c r="G637" t="s">
        <v>1774</v>
      </c>
      <c r="H637" t="s">
        <v>1775</v>
      </c>
      <c r="I637" t="s">
        <v>329</v>
      </c>
      <c r="J637">
        <v>0</v>
      </c>
      <c r="K637" t="s">
        <v>330</v>
      </c>
      <c r="L637" t="s">
        <v>28</v>
      </c>
      <c r="M637">
        <v>9</v>
      </c>
      <c r="N637" t="s">
        <v>160</v>
      </c>
      <c r="O637">
        <v>95</v>
      </c>
      <c r="P637">
        <f t="shared" si="49"/>
        <v>855</v>
      </c>
      <c r="Q637" t="s">
        <v>30</v>
      </c>
      <c r="R637">
        <v>45666</v>
      </c>
      <c r="S637">
        <v>401768</v>
      </c>
      <c r="U637">
        <f t="shared" si="46"/>
        <v>0</v>
      </c>
    </row>
    <row r="638" spans="1:21" ht="15.75" x14ac:dyDescent="0.25">
      <c r="A638" t="s">
        <v>1781</v>
      </c>
      <c r="B638">
        <v>45666</v>
      </c>
      <c r="C638" t="s">
        <v>22</v>
      </c>
      <c r="D638" t="s">
        <v>23</v>
      </c>
      <c r="E638" t="s">
        <v>22</v>
      </c>
      <c r="F638" t="s">
        <v>23</v>
      </c>
      <c r="G638" t="s">
        <v>1774</v>
      </c>
      <c r="H638" t="s">
        <v>1775</v>
      </c>
      <c r="I638" t="s">
        <v>1782</v>
      </c>
      <c r="J638">
        <v>0</v>
      </c>
      <c r="K638" t="s">
        <v>1783</v>
      </c>
      <c r="L638" t="s">
        <v>28</v>
      </c>
      <c r="M638">
        <v>9</v>
      </c>
      <c r="N638" t="s">
        <v>160</v>
      </c>
      <c r="O638">
        <v>95</v>
      </c>
      <c r="P638">
        <f t="shared" si="49"/>
        <v>855</v>
      </c>
      <c r="Q638" t="s">
        <v>30</v>
      </c>
      <c r="R638">
        <v>45666</v>
      </c>
      <c r="S638">
        <v>401768</v>
      </c>
      <c r="U638">
        <f t="shared" si="46"/>
        <v>0</v>
      </c>
    </row>
    <row r="639" spans="1:21" ht="15.75" x14ac:dyDescent="0.25">
      <c r="A639" t="s">
        <v>1784</v>
      </c>
      <c r="B639">
        <v>45684</v>
      </c>
      <c r="C639" t="s">
        <v>22</v>
      </c>
      <c r="D639" t="s">
        <v>23</v>
      </c>
      <c r="E639" t="s">
        <v>30</v>
      </c>
      <c r="F639" t="s">
        <v>30</v>
      </c>
      <c r="G639" t="s">
        <v>1774</v>
      </c>
      <c r="H639" t="s">
        <v>1775</v>
      </c>
      <c r="I639" t="s">
        <v>1785</v>
      </c>
      <c r="J639">
        <v>0</v>
      </c>
      <c r="K639" t="s">
        <v>1786</v>
      </c>
      <c r="L639" t="s">
        <v>28</v>
      </c>
      <c r="M639">
        <v>9.07</v>
      </c>
      <c r="N639" t="s">
        <v>160</v>
      </c>
      <c r="O639">
        <v>95</v>
      </c>
      <c r="P639">
        <f t="shared" si="49"/>
        <v>861.65</v>
      </c>
      <c r="Q639" t="s">
        <v>30</v>
      </c>
      <c r="R639">
        <v>45684</v>
      </c>
      <c r="S639">
        <v>401768</v>
      </c>
      <c r="U639">
        <f t="shared" si="46"/>
        <v>0</v>
      </c>
    </row>
    <row r="640" spans="1:21" ht="15.75" x14ac:dyDescent="0.25">
      <c r="A640" t="s">
        <v>1787</v>
      </c>
      <c r="B640">
        <v>45684</v>
      </c>
      <c r="C640" t="s">
        <v>22</v>
      </c>
      <c r="D640" t="s">
        <v>23</v>
      </c>
      <c r="E640" t="s">
        <v>22</v>
      </c>
      <c r="F640" t="s">
        <v>23</v>
      </c>
      <c r="G640" t="s">
        <v>1774</v>
      </c>
      <c r="H640" t="s">
        <v>1775</v>
      </c>
      <c r="I640" t="s">
        <v>240</v>
      </c>
      <c r="J640">
        <v>0</v>
      </c>
      <c r="K640" t="s">
        <v>241</v>
      </c>
      <c r="L640" t="s">
        <v>28</v>
      </c>
      <c r="M640">
        <v>9.07</v>
      </c>
      <c r="N640" t="s">
        <v>160</v>
      </c>
      <c r="O640">
        <v>95</v>
      </c>
      <c r="P640">
        <f t="shared" si="49"/>
        <v>861.65</v>
      </c>
      <c r="Q640" t="s">
        <v>30</v>
      </c>
      <c r="R640">
        <v>45684</v>
      </c>
      <c r="S640">
        <v>401768</v>
      </c>
      <c r="U640">
        <f t="shared" si="46"/>
        <v>0</v>
      </c>
    </row>
    <row r="641" spans="1:21" ht="15.75" x14ac:dyDescent="0.25">
      <c r="A641" t="s">
        <v>1788</v>
      </c>
      <c r="B641">
        <v>45684</v>
      </c>
      <c r="C641" t="s">
        <v>22</v>
      </c>
      <c r="D641" t="s">
        <v>23</v>
      </c>
      <c r="E641" t="s">
        <v>22</v>
      </c>
      <c r="F641" t="s">
        <v>23</v>
      </c>
      <c r="G641" t="s">
        <v>1774</v>
      </c>
      <c r="H641" t="s">
        <v>1775</v>
      </c>
      <c r="I641" t="s">
        <v>336</v>
      </c>
      <c r="J641">
        <v>0</v>
      </c>
      <c r="K641" t="s">
        <v>337</v>
      </c>
      <c r="L641" t="s">
        <v>28</v>
      </c>
      <c r="M641">
        <v>9.07</v>
      </c>
      <c r="N641" t="s">
        <v>160</v>
      </c>
      <c r="O641">
        <v>95</v>
      </c>
      <c r="P641">
        <f t="shared" si="49"/>
        <v>861.65</v>
      </c>
      <c r="Q641" t="s">
        <v>30</v>
      </c>
      <c r="R641">
        <v>45684</v>
      </c>
      <c r="S641">
        <v>401768</v>
      </c>
      <c r="U641">
        <f t="shared" si="46"/>
        <v>0</v>
      </c>
    </row>
    <row r="642" spans="1:21" ht="15.75" x14ac:dyDescent="0.25">
      <c r="A642" t="s">
        <v>1789</v>
      </c>
      <c r="B642">
        <v>45684</v>
      </c>
      <c r="C642" t="s">
        <v>22</v>
      </c>
      <c r="D642" t="s">
        <v>23</v>
      </c>
      <c r="E642" t="s">
        <v>22</v>
      </c>
      <c r="F642" t="s">
        <v>23</v>
      </c>
      <c r="G642" t="s">
        <v>1774</v>
      </c>
      <c r="H642" t="s">
        <v>1775</v>
      </c>
      <c r="I642" t="s">
        <v>243</v>
      </c>
      <c r="J642">
        <v>0</v>
      </c>
      <c r="K642" t="s">
        <v>244</v>
      </c>
      <c r="L642" t="s">
        <v>28</v>
      </c>
      <c r="M642">
        <v>9.07</v>
      </c>
      <c r="N642" t="s">
        <v>160</v>
      </c>
      <c r="O642">
        <v>95</v>
      </c>
      <c r="P642">
        <f t="shared" si="49"/>
        <v>861.65</v>
      </c>
      <c r="Q642" t="s">
        <v>30</v>
      </c>
      <c r="R642">
        <v>45684</v>
      </c>
      <c r="S642">
        <v>401768</v>
      </c>
      <c r="U642">
        <f t="shared" si="46"/>
        <v>0</v>
      </c>
    </row>
    <row r="643" spans="1:21" ht="15.75" x14ac:dyDescent="0.25">
      <c r="A643" t="s">
        <v>1790</v>
      </c>
      <c r="B643">
        <v>45684</v>
      </c>
      <c r="C643" t="s">
        <v>22</v>
      </c>
      <c r="D643" t="s">
        <v>23</v>
      </c>
      <c r="E643" t="s">
        <v>30</v>
      </c>
      <c r="F643" t="s">
        <v>30</v>
      </c>
      <c r="G643" t="s">
        <v>1774</v>
      </c>
      <c r="H643" t="s">
        <v>1775</v>
      </c>
      <c r="I643" t="s">
        <v>1791</v>
      </c>
      <c r="J643">
        <v>0</v>
      </c>
      <c r="K643" t="s">
        <v>238</v>
      </c>
      <c r="L643" t="s">
        <v>28</v>
      </c>
      <c r="M643">
        <v>9</v>
      </c>
      <c r="N643" t="s">
        <v>160</v>
      </c>
      <c r="O643">
        <v>95</v>
      </c>
      <c r="P643">
        <f t="shared" si="49"/>
        <v>855</v>
      </c>
      <c r="Q643" t="s">
        <v>30</v>
      </c>
      <c r="R643">
        <v>45684</v>
      </c>
      <c r="S643">
        <v>401768</v>
      </c>
      <c r="U643">
        <f t="shared" ref="U643:U706" si="50">T643*P643/100000</f>
        <v>0</v>
      </c>
    </row>
    <row r="644" spans="1:21" ht="15.75" x14ac:dyDescent="0.25">
      <c r="A644" t="s">
        <v>1792</v>
      </c>
      <c r="B644">
        <v>45801</v>
      </c>
      <c r="C644" t="s">
        <v>22</v>
      </c>
      <c r="D644" t="s">
        <v>23</v>
      </c>
      <c r="E644" t="s">
        <v>22</v>
      </c>
      <c r="F644" t="s">
        <v>23</v>
      </c>
      <c r="G644" t="s">
        <v>1774</v>
      </c>
      <c r="H644" t="s">
        <v>1775</v>
      </c>
      <c r="I644" t="s">
        <v>1793</v>
      </c>
      <c r="J644">
        <v>0</v>
      </c>
      <c r="K644" t="s">
        <v>1794</v>
      </c>
      <c r="L644" t="s">
        <v>36</v>
      </c>
      <c r="M644">
        <v>1101100</v>
      </c>
      <c r="N644" t="s">
        <v>160</v>
      </c>
      <c r="O644">
        <v>95</v>
      </c>
      <c r="P644">
        <f t="shared" si="49"/>
        <v>104604500</v>
      </c>
      <c r="Q644" t="s">
        <v>30</v>
      </c>
      <c r="R644">
        <v>45801</v>
      </c>
      <c r="S644">
        <v>401768</v>
      </c>
      <c r="U644">
        <f t="shared" si="50"/>
        <v>0</v>
      </c>
    </row>
    <row r="645" spans="1:21" ht="15.75" x14ac:dyDescent="0.25">
      <c r="A645" t="s">
        <v>1795</v>
      </c>
      <c r="B645">
        <v>44046</v>
      </c>
      <c r="C645" t="s">
        <v>22</v>
      </c>
      <c r="D645" t="s">
        <v>23</v>
      </c>
      <c r="E645" t="s">
        <v>22</v>
      </c>
      <c r="F645" t="s">
        <v>23</v>
      </c>
      <c r="G645" t="s">
        <v>1796</v>
      </c>
      <c r="H645" t="s">
        <v>1797</v>
      </c>
      <c r="I645" t="s">
        <v>1798</v>
      </c>
      <c r="J645">
        <v>0</v>
      </c>
      <c r="K645" t="s">
        <v>1799</v>
      </c>
      <c r="L645" t="s">
        <v>28</v>
      </c>
      <c r="M645">
        <v>272.68</v>
      </c>
      <c r="N645" t="s">
        <v>29</v>
      </c>
      <c r="O645">
        <f>M645</f>
        <v>272.68</v>
      </c>
      <c r="P645">
        <f>O645</f>
        <v>272.68</v>
      </c>
      <c r="Q645" t="s">
        <v>30</v>
      </c>
      <c r="R645">
        <v>44545</v>
      </c>
      <c r="S645">
        <v>401768</v>
      </c>
      <c r="U645">
        <f t="shared" si="50"/>
        <v>0</v>
      </c>
    </row>
    <row r="646" spans="1:21" ht="15.75" x14ac:dyDescent="0.25">
      <c r="A646" t="s">
        <v>1800</v>
      </c>
      <c r="B646">
        <v>44432</v>
      </c>
      <c r="C646" t="s">
        <v>22</v>
      </c>
      <c r="D646" t="s">
        <v>23</v>
      </c>
      <c r="E646" t="s">
        <v>22</v>
      </c>
      <c r="F646" t="s">
        <v>23</v>
      </c>
      <c r="G646" t="s">
        <v>1796</v>
      </c>
      <c r="H646" t="s">
        <v>1797</v>
      </c>
      <c r="I646" t="s">
        <v>1801</v>
      </c>
      <c r="J646">
        <v>0</v>
      </c>
      <c r="K646" t="s">
        <v>1802</v>
      </c>
      <c r="L646" t="s">
        <v>36</v>
      </c>
      <c r="M646">
        <v>69600</v>
      </c>
      <c r="N646" t="s">
        <v>29</v>
      </c>
      <c r="O646">
        <f>M646</f>
        <v>69600</v>
      </c>
      <c r="P646">
        <f>O646</f>
        <v>69600</v>
      </c>
      <c r="Q646" t="s">
        <v>30</v>
      </c>
      <c r="R646">
        <v>44497</v>
      </c>
      <c r="S646">
        <v>401768</v>
      </c>
      <c r="U646">
        <f t="shared" si="50"/>
        <v>0</v>
      </c>
    </row>
    <row r="647" spans="1:21" ht="15.75" x14ac:dyDescent="0.25">
      <c r="A647" t="s">
        <v>1803</v>
      </c>
      <c r="B647">
        <v>44487</v>
      </c>
      <c r="C647" t="s">
        <v>22</v>
      </c>
      <c r="D647" t="s">
        <v>23</v>
      </c>
      <c r="E647" t="s">
        <v>22</v>
      </c>
      <c r="F647" t="s">
        <v>23</v>
      </c>
      <c r="G647" t="s">
        <v>1796</v>
      </c>
      <c r="H647" t="s">
        <v>1797</v>
      </c>
      <c r="I647" t="s">
        <v>724</v>
      </c>
      <c r="J647">
        <v>0</v>
      </c>
      <c r="K647" t="s">
        <v>725</v>
      </c>
      <c r="L647" t="s">
        <v>28</v>
      </c>
      <c r="M647">
        <v>36.07</v>
      </c>
      <c r="N647" t="s">
        <v>29</v>
      </c>
      <c r="O647">
        <f>M647</f>
        <v>36.07</v>
      </c>
      <c r="P647">
        <f>O647</f>
        <v>36.07</v>
      </c>
      <c r="Q647" t="s">
        <v>30</v>
      </c>
      <c r="R647">
        <v>44499</v>
      </c>
      <c r="S647">
        <v>401768</v>
      </c>
      <c r="U647">
        <f t="shared" si="50"/>
        <v>0</v>
      </c>
    </row>
    <row r="648" spans="1:21" ht="15.75" x14ac:dyDescent="0.25">
      <c r="A648" t="s">
        <v>1804</v>
      </c>
      <c r="B648">
        <v>43959</v>
      </c>
      <c r="C648" t="s">
        <v>22</v>
      </c>
      <c r="D648" t="s">
        <v>23</v>
      </c>
      <c r="E648" t="s">
        <v>22</v>
      </c>
      <c r="F648" t="s">
        <v>23</v>
      </c>
      <c r="G648" t="s">
        <v>1805</v>
      </c>
      <c r="H648" t="s">
        <v>1806</v>
      </c>
      <c r="I648" t="s">
        <v>279</v>
      </c>
      <c r="J648">
        <v>0</v>
      </c>
      <c r="K648" t="s">
        <v>280</v>
      </c>
      <c r="L648" t="s">
        <v>28</v>
      </c>
      <c r="M648">
        <v>53.85</v>
      </c>
      <c r="N648" t="s">
        <v>29</v>
      </c>
      <c r="O648">
        <f>M648</f>
        <v>53.85</v>
      </c>
      <c r="P648">
        <f>O648</f>
        <v>53.85</v>
      </c>
      <c r="Q648" t="s">
        <v>30</v>
      </c>
      <c r="R648">
        <v>43123</v>
      </c>
      <c r="S648">
        <v>401768</v>
      </c>
      <c r="U648">
        <f t="shared" si="50"/>
        <v>0</v>
      </c>
    </row>
    <row r="649" spans="1:21" ht="15.75" x14ac:dyDescent="0.25">
      <c r="A649" t="s">
        <v>1807</v>
      </c>
      <c r="B649">
        <v>43959</v>
      </c>
      <c r="C649" t="s">
        <v>22</v>
      </c>
      <c r="D649" t="s">
        <v>23</v>
      </c>
      <c r="E649" t="s">
        <v>22</v>
      </c>
      <c r="F649" t="s">
        <v>23</v>
      </c>
      <c r="G649" t="s">
        <v>1808</v>
      </c>
      <c r="H649" t="s">
        <v>1809</v>
      </c>
      <c r="I649" t="s">
        <v>1810</v>
      </c>
      <c r="J649">
        <v>0</v>
      </c>
      <c r="K649" t="s">
        <v>1811</v>
      </c>
      <c r="L649" t="s">
        <v>28</v>
      </c>
      <c r="M649">
        <v>7.04</v>
      </c>
      <c r="N649" t="s">
        <v>160</v>
      </c>
      <c r="O649">
        <v>95</v>
      </c>
      <c r="P649">
        <f>O649*M649</f>
        <v>668.8</v>
      </c>
      <c r="Q649" t="s">
        <v>30</v>
      </c>
      <c r="R649">
        <v>43669</v>
      </c>
      <c r="S649">
        <v>401768</v>
      </c>
      <c r="U649">
        <f t="shared" si="50"/>
        <v>0</v>
      </c>
    </row>
    <row r="650" spans="1:21" ht="15.75" x14ac:dyDescent="0.25">
      <c r="A650" t="s">
        <v>1812</v>
      </c>
      <c r="B650">
        <v>43959</v>
      </c>
      <c r="C650" t="s">
        <v>22</v>
      </c>
      <c r="D650" t="s">
        <v>23</v>
      </c>
      <c r="E650" t="s">
        <v>30</v>
      </c>
      <c r="F650" t="s">
        <v>30</v>
      </c>
      <c r="G650" t="s">
        <v>1813</v>
      </c>
      <c r="H650" t="s">
        <v>1814</v>
      </c>
      <c r="I650" t="s">
        <v>1815</v>
      </c>
      <c r="J650">
        <v>0</v>
      </c>
      <c r="K650" t="s">
        <v>30</v>
      </c>
      <c r="L650" t="s">
        <v>28</v>
      </c>
      <c r="M650">
        <v>432.84</v>
      </c>
      <c r="N650" t="s">
        <v>29</v>
      </c>
      <c r="O650">
        <f>M650</f>
        <v>432.84</v>
      </c>
      <c r="P650">
        <f>O650</f>
        <v>432.84</v>
      </c>
      <c r="Q650" t="s">
        <v>30</v>
      </c>
      <c r="R650">
        <v>43004</v>
      </c>
      <c r="S650">
        <v>401768</v>
      </c>
      <c r="U650">
        <f t="shared" si="50"/>
        <v>0</v>
      </c>
    </row>
    <row r="651" spans="1:21" ht="15.75" x14ac:dyDescent="0.25">
      <c r="A651" t="s">
        <v>1816</v>
      </c>
      <c r="B651">
        <v>43959</v>
      </c>
      <c r="C651" t="s">
        <v>22</v>
      </c>
      <c r="D651" t="s">
        <v>23</v>
      </c>
      <c r="E651" t="s">
        <v>22</v>
      </c>
      <c r="F651" t="s">
        <v>23</v>
      </c>
      <c r="G651" t="s">
        <v>1813</v>
      </c>
      <c r="H651" t="s">
        <v>1814</v>
      </c>
      <c r="I651" t="s">
        <v>1810</v>
      </c>
      <c r="J651">
        <v>0</v>
      </c>
      <c r="K651" t="s">
        <v>1811</v>
      </c>
      <c r="L651" t="s">
        <v>28</v>
      </c>
      <c r="M651">
        <v>7.04</v>
      </c>
      <c r="N651" t="s">
        <v>29</v>
      </c>
      <c r="O651">
        <f>M651</f>
        <v>7.04</v>
      </c>
      <c r="P651">
        <f>O651</f>
        <v>7.04</v>
      </c>
      <c r="Q651" t="s">
        <v>30</v>
      </c>
      <c r="R651">
        <v>43650</v>
      </c>
      <c r="S651">
        <v>401768</v>
      </c>
      <c r="U651">
        <f t="shared" si="50"/>
        <v>0</v>
      </c>
    </row>
    <row r="652" spans="1:21" ht="15.75" x14ac:dyDescent="0.25">
      <c r="A652" t="s">
        <v>1817</v>
      </c>
      <c r="B652">
        <v>43959</v>
      </c>
      <c r="C652" t="s">
        <v>22</v>
      </c>
      <c r="D652" t="s">
        <v>23</v>
      </c>
      <c r="E652" t="s">
        <v>22</v>
      </c>
      <c r="F652" t="s">
        <v>23</v>
      </c>
      <c r="G652" t="s">
        <v>1813</v>
      </c>
      <c r="H652" t="s">
        <v>1814</v>
      </c>
      <c r="I652" t="s">
        <v>1727</v>
      </c>
      <c r="J652">
        <v>0</v>
      </c>
      <c r="K652" t="s">
        <v>1728</v>
      </c>
      <c r="L652" t="s">
        <v>28</v>
      </c>
      <c r="M652">
        <v>0.88</v>
      </c>
      <c r="N652" t="s">
        <v>151</v>
      </c>
      <c r="O652">
        <v>110</v>
      </c>
      <c r="P652">
        <f>O652*M652</f>
        <v>96.8</v>
      </c>
      <c r="Q652" t="s">
        <v>30</v>
      </c>
      <c r="R652">
        <v>44580</v>
      </c>
      <c r="S652">
        <v>401768</v>
      </c>
      <c r="U652">
        <f t="shared" si="50"/>
        <v>0</v>
      </c>
    </row>
    <row r="653" spans="1:21" ht="15.75" x14ac:dyDescent="0.25">
      <c r="A653" t="s">
        <v>1818</v>
      </c>
      <c r="B653">
        <v>43959</v>
      </c>
      <c r="C653" t="s">
        <v>22</v>
      </c>
      <c r="D653" t="s">
        <v>23</v>
      </c>
      <c r="E653" t="s">
        <v>22</v>
      </c>
      <c r="F653" t="s">
        <v>23</v>
      </c>
      <c r="G653" t="s">
        <v>1813</v>
      </c>
      <c r="H653" t="s">
        <v>1814</v>
      </c>
      <c r="I653" t="s">
        <v>1742</v>
      </c>
      <c r="J653">
        <v>0</v>
      </c>
      <c r="K653" t="s">
        <v>1743</v>
      </c>
      <c r="L653" t="s">
        <v>28</v>
      </c>
      <c r="M653">
        <v>0.54</v>
      </c>
      <c r="N653" t="s">
        <v>151</v>
      </c>
      <c r="O653">
        <v>110</v>
      </c>
      <c r="P653">
        <f>O653*M653</f>
        <v>59.400000000000006</v>
      </c>
      <c r="Q653" t="s">
        <v>30</v>
      </c>
      <c r="R653">
        <v>44580</v>
      </c>
      <c r="S653">
        <v>401768</v>
      </c>
      <c r="U653">
        <f t="shared" si="50"/>
        <v>0</v>
      </c>
    </row>
    <row r="654" spans="1:21" ht="15.75" x14ac:dyDescent="0.25">
      <c r="A654" t="s">
        <v>1819</v>
      </c>
      <c r="B654">
        <v>43959</v>
      </c>
      <c r="C654" t="s">
        <v>22</v>
      </c>
      <c r="D654" t="s">
        <v>23</v>
      </c>
      <c r="E654" t="s">
        <v>22</v>
      </c>
      <c r="F654" t="s">
        <v>23</v>
      </c>
      <c r="G654" t="s">
        <v>1813</v>
      </c>
      <c r="H654" t="s">
        <v>1814</v>
      </c>
      <c r="I654" t="s">
        <v>1730</v>
      </c>
      <c r="J654">
        <v>0</v>
      </c>
      <c r="K654" t="s">
        <v>1731</v>
      </c>
      <c r="L654" t="s">
        <v>28</v>
      </c>
      <c r="M654">
        <v>1.9</v>
      </c>
      <c r="N654" t="s">
        <v>151</v>
      </c>
      <c r="O654">
        <v>110</v>
      </c>
      <c r="P654">
        <f>O654*M654</f>
        <v>209</v>
      </c>
      <c r="Q654" t="s">
        <v>30</v>
      </c>
      <c r="R654">
        <v>44580</v>
      </c>
      <c r="S654">
        <v>401768</v>
      </c>
      <c r="U654">
        <f t="shared" si="50"/>
        <v>0</v>
      </c>
    </row>
    <row r="655" spans="1:21" ht="15.75" x14ac:dyDescent="0.25">
      <c r="A655" t="s">
        <v>1820</v>
      </c>
      <c r="B655">
        <v>43959</v>
      </c>
      <c r="C655" t="s">
        <v>22</v>
      </c>
      <c r="D655" t="s">
        <v>23</v>
      </c>
      <c r="E655" t="s">
        <v>22</v>
      </c>
      <c r="F655" t="s">
        <v>23</v>
      </c>
      <c r="G655" t="s">
        <v>1813</v>
      </c>
      <c r="H655" t="s">
        <v>1814</v>
      </c>
      <c r="I655" t="s">
        <v>1733</v>
      </c>
      <c r="J655">
        <v>0</v>
      </c>
      <c r="K655" t="s">
        <v>1734</v>
      </c>
      <c r="L655" t="s">
        <v>28</v>
      </c>
      <c r="M655">
        <v>0.86</v>
      </c>
      <c r="N655" t="s">
        <v>151</v>
      </c>
      <c r="O655">
        <v>110</v>
      </c>
      <c r="P655">
        <f>O655*M655</f>
        <v>94.6</v>
      </c>
      <c r="Q655" t="s">
        <v>30</v>
      </c>
      <c r="R655">
        <v>44580</v>
      </c>
      <c r="S655">
        <v>401768</v>
      </c>
      <c r="U655">
        <f t="shared" si="50"/>
        <v>0</v>
      </c>
    </row>
    <row r="656" spans="1:21" ht="15.75" x14ac:dyDescent="0.25">
      <c r="A656" t="s">
        <v>1821</v>
      </c>
      <c r="B656">
        <v>43959</v>
      </c>
      <c r="C656" t="s">
        <v>22</v>
      </c>
      <c r="D656" t="s">
        <v>23</v>
      </c>
      <c r="E656" t="s">
        <v>22</v>
      </c>
      <c r="F656" t="s">
        <v>23</v>
      </c>
      <c r="G656" t="s">
        <v>1813</v>
      </c>
      <c r="H656" t="s">
        <v>1814</v>
      </c>
      <c r="I656" t="s">
        <v>1822</v>
      </c>
      <c r="J656">
        <v>0</v>
      </c>
      <c r="K656" t="s">
        <v>1823</v>
      </c>
      <c r="L656" t="s">
        <v>28</v>
      </c>
      <c r="M656">
        <v>60.35</v>
      </c>
      <c r="N656" t="s">
        <v>29</v>
      </c>
      <c r="O656">
        <f>M656</f>
        <v>60.35</v>
      </c>
      <c r="P656">
        <f>O656</f>
        <v>60.35</v>
      </c>
      <c r="Q656" t="s">
        <v>30</v>
      </c>
      <c r="R656">
        <v>42578</v>
      </c>
      <c r="S656">
        <v>401768</v>
      </c>
      <c r="U656">
        <f t="shared" si="50"/>
        <v>0</v>
      </c>
    </row>
    <row r="657" spans="1:21" ht="15.75" x14ac:dyDescent="0.25">
      <c r="A657" t="s">
        <v>1824</v>
      </c>
      <c r="B657">
        <v>43959</v>
      </c>
      <c r="C657" t="s">
        <v>22</v>
      </c>
      <c r="D657" t="s">
        <v>23</v>
      </c>
      <c r="E657" t="s">
        <v>22</v>
      </c>
      <c r="F657" t="s">
        <v>23</v>
      </c>
      <c r="G657" t="s">
        <v>1813</v>
      </c>
      <c r="H657" t="s">
        <v>1814</v>
      </c>
      <c r="I657" t="s">
        <v>1825</v>
      </c>
      <c r="J657">
        <v>0</v>
      </c>
      <c r="K657" t="s">
        <v>1826</v>
      </c>
      <c r="L657" t="s">
        <v>28</v>
      </c>
      <c r="M657">
        <v>1120.32</v>
      </c>
      <c r="N657" t="s">
        <v>29</v>
      </c>
      <c r="O657">
        <f>M657</f>
        <v>1120.32</v>
      </c>
      <c r="P657">
        <f>O657</f>
        <v>1120.32</v>
      </c>
      <c r="Q657" t="s">
        <v>30</v>
      </c>
      <c r="R657">
        <v>43004</v>
      </c>
      <c r="S657">
        <v>401768</v>
      </c>
      <c r="U657">
        <f t="shared" si="50"/>
        <v>0</v>
      </c>
    </row>
    <row r="658" spans="1:21" ht="15.75" x14ac:dyDescent="0.25">
      <c r="A658" t="s">
        <v>1827</v>
      </c>
      <c r="B658">
        <v>44750</v>
      </c>
      <c r="C658" t="s">
        <v>22</v>
      </c>
      <c r="D658" t="s">
        <v>23</v>
      </c>
      <c r="E658" t="s">
        <v>22</v>
      </c>
      <c r="F658" t="s">
        <v>23</v>
      </c>
      <c r="G658" t="s">
        <v>1813</v>
      </c>
      <c r="H658" t="s">
        <v>1814</v>
      </c>
      <c r="I658" t="s">
        <v>1828</v>
      </c>
      <c r="J658">
        <v>0</v>
      </c>
      <c r="K658" t="s">
        <v>1829</v>
      </c>
      <c r="L658" t="s">
        <v>28</v>
      </c>
      <c r="M658">
        <v>3.27</v>
      </c>
      <c r="N658" t="s">
        <v>151</v>
      </c>
      <c r="O658">
        <v>110</v>
      </c>
      <c r="P658">
        <f t="shared" ref="P658:P663" si="51">O658*M658</f>
        <v>359.7</v>
      </c>
      <c r="Q658" t="s">
        <v>30</v>
      </c>
      <c r="R658">
        <v>44750</v>
      </c>
      <c r="S658">
        <v>401768</v>
      </c>
      <c r="U658">
        <f t="shared" si="50"/>
        <v>0</v>
      </c>
    </row>
    <row r="659" spans="1:21" ht="15.75" x14ac:dyDescent="0.25">
      <c r="A659" t="s">
        <v>1830</v>
      </c>
      <c r="B659">
        <v>44750</v>
      </c>
      <c r="C659" t="s">
        <v>22</v>
      </c>
      <c r="D659" t="s">
        <v>23</v>
      </c>
      <c r="E659" t="s">
        <v>22</v>
      </c>
      <c r="F659" t="s">
        <v>23</v>
      </c>
      <c r="G659" t="s">
        <v>1813</v>
      </c>
      <c r="H659" t="s">
        <v>1814</v>
      </c>
      <c r="I659" t="s">
        <v>1831</v>
      </c>
      <c r="J659">
        <v>0</v>
      </c>
      <c r="K659" t="s">
        <v>1832</v>
      </c>
      <c r="L659" t="s">
        <v>28</v>
      </c>
      <c r="M659">
        <v>2.14</v>
      </c>
      <c r="N659" t="s">
        <v>151</v>
      </c>
      <c r="O659">
        <v>110</v>
      </c>
      <c r="P659">
        <f t="shared" si="51"/>
        <v>235.4</v>
      </c>
      <c r="Q659" t="s">
        <v>30</v>
      </c>
      <c r="R659">
        <v>44750</v>
      </c>
      <c r="S659">
        <v>401768</v>
      </c>
      <c r="U659">
        <f t="shared" si="50"/>
        <v>0</v>
      </c>
    </row>
    <row r="660" spans="1:21" ht="15.75" x14ac:dyDescent="0.25">
      <c r="A660" t="s">
        <v>1833</v>
      </c>
      <c r="B660">
        <v>44750</v>
      </c>
      <c r="C660" t="s">
        <v>22</v>
      </c>
      <c r="D660" t="s">
        <v>23</v>
      </c>
      <c r="E660" t="s">
        <v>22</v>
      </c>
      <c r="F660" t="s">
        <v>23</v>
      </c>
      <c r="G660" t="s">
        <v>1813</v>
      </c>
      <c r="H660" t="s">
        <v>1814</v>
      </c>
      <c r="I660" t="s">
        <v>1834</v>
      </c>
      <c r="J660">
        <v>0</v>
      </c>
      <c r="K660" t="s">
        <v>1835</v>
      </c>
      <c r="L660" t="s">
        <v>28</v>
      </c>
      <c r="M660">
        <v>6.2</v>
      </c>
      <c r="N660" t="s">
        <v>151</v>
      </c>
      <c r="O660">
        <v>110</v>
      </c>
      <c r="P660">
        <f t="shared" si="51"/>
        <v>682</v>
      </c>
      <c r="Q660" t="s">
        <v>30</v>
      </c>
      <c r="R660">
        <v>45383</v>
      </c>
      <c r="S660">
        <v>401768</v>
      </c>
      <c r="U660">
        <f t="shared" si="50"/>
        <v>0</v>
      </c>
    </row>
    <row r="661" spans="1:21" ht="15.75" x14ac:dyDescent="0.25">
      <c r="A661" t="s">
        <v>1836</v>
      </c>
      <c r="B661">
        <v>43959</v>
      </c>
      <c r="C661" t="s">
        <v>22</v>
      </c>
      <c r="D661" t="s">
        <v>23</v>
      </c>
      <c r="E661" t="s">
        <v>22</v>
      </c>
      <c r="F661" t="s">
        <v>23</v>
      </c>
      <c r="G661" t="s">
        <v>1837</v>
      </c>
      <c r="H661" t="s">
        <v>1838</v>
      </c>
      <c r="I661" t="s">
        <v>1839</v>
      </c>
      <c r="J661">
        <v>0</v>
      </c>
      <c r="K661" t="s">
        <v>1840</v>
      </c>
      <c r="L661" t="s">
        <v>28</v>
      </c>
      <c r="M661">
        <v>0.96</v>
      </c>
      <c r="N661" t="s">
        <v>151</v>
      </c>
      <c r="O661">
        <v>110</v>
      </c>
      <c r="P661">
        <f t="shared" si="51"/>
        <v>105.6</v>
      </c>
      <c r="Q661" t="s">
        <v>30</v>
      </c>
      <c r="R661">
        <v>44548</v>
      </c>
      <c r="S661">
        <v>401768</v>
      </c>
      <c r="U661">
        <f t="shared" si="50"/>
        <v>0</v>
      </c>
    </row>
    <row r="662" spans="1:21" ht="15.75" x14ac:dyDescent="0.25">
      <c r="A662" t="s">
        <v>1841</v>
      </c>
      <c r="B662">
        <v>43959</v>
      </c>
      <c r="C662" t="s">
        <v>22</v>
      </c>
      <c r="D662" t="s">
        <v>23</v>
      </c>
      <c r="E662" t="s">
        <v>22</v>
      </c>
      <c r="F662" t="s">
        <v>23</v>
      </c>
      <c r="G662" t="s">
        <v>1837</v>
      </c>
      <c r="H662" t="s">
        <v>1838</v>
      </c>
      <c r="I662" t="s">
        <v>1825</v>
      </c>
      <c r="J662">
        <v>0</v>
      </c>
      <c r="K662" t="s">
        <v>1826</v>
      </c>
      <c r="L662" t="s">
        <v>28</v>
      </c>
      <c r="M662">
        <v>25.03</v>
      </c>
      <c r="N662" t="s">
        <v>151</v>
      </c>
      <c r="O662">
        <v>110</v>
      </c>
      <c r="P662">
        <f t="shared" si="51"/>
        <v>2753.3</v>
      </c>
      <c r="Q662" t="s">
        <v>30</v>
      </c>
      <c r="R662">
        <v>45276</v>
      </c>
      <c r="S662">
        <v>401768</v>
      </c>
      <c r="U662">
        <f t="shared" si="50"/>
        <v>0</v>
      </c>
    </row>
    <row r="663" spans="1:21" ht="15.75" x14ac:dyDescent="0.25">
      <c r="A663" t="s">
        <v>1842</v>
      </c>
      <c r="B663">
        <v>43959</v>
      </c>
      <c r="C663" t="s">
        <v>22</v>
      </c>
      <c r="D663" t="s">
        <v>23</v>
      </c>
      <c r="E663" t="s">
        <v>22</v>
      </c>
      <c r="F663" t="s">
        <v>23</v>
      </c>
      <c r="G663" t="s">
        <v>1837</v>
      </c>
      <c r="H663" t="s">
        <v>1838</v>
      </c>
      <c r="I663" t="s">
        <v>1843</v>
      </c>
      <c r="J663">
        <v>0</v>
      </c>
      <c r="K663" t="s">
        <v>1844</v>
      </c>
      <c r="L663" t="s">
        <v>28</v>
      </c>
      <c r="M663">
        <v>9.9</v>
      </c>
      <c r="N663" t="s">
        <v>151</v>
      </c>
      <c r="O663">
        <v>110</v>
      </c>
      <c r="P663">
        <f t="shared" si="51"/>
        <v>1089</v>
      </c>
      <c r="Q663" t="s">
        <v>30</v>
      </c>
      <c r="R663">
        <v>45423</v>
      </c>
      <c r="S663">
        <v>401768</v>
      </c>
      <c r="U663">
        <f t="shared" si="50"/>
        <v>0</v>
      </c>
    </row>
    <row r="664" spans="1:21" ht="15.75" x14ac:dyDescent="0.25">
      <c r="A664" t="s">
        <v>1845</v>
      </c>
      <c r="B664">
        <v>43959</v>
      </c>
      <c r="C664" t="s">
        <v>22</v>
      </c>
      <c r="D664" t="s">
        <v>23</v>
      </c>
      <c r="E664" t="s">
        <v>22</v>
      </c>
      <c r="F664" t="s">
        <v>23</v>
      </c>
      <c r="G664" t="s">
        <v>1846</v>
      </c>
      <c r="H664" t="s">
        <v>1847</v>
      </c>
      <c r="I664" t="s">
        <v>1810</v>
      </c>
      <c r="J664">
        <v>0</v>
      </c>
      <c r="K664" t="s">
        <v>1811</v>
      </c>
      <c r="L664" t="s">
        <v>28</v>
      </c>
      <c r="M664">
        <v>430.09</v>
      </c>
      <c r="N664" t="s">
        <v>29</v>
      </c>
      <c r="O664">
        <f t="shared" ref="O664:O711" si="52">M664</f>
        <v>430.09</v>
      </c>
      <c r="P664">
        <f t="shared" ref="P664:P711" si="53">O664</f>
        <v>430.09</v>
      </c>
      <c r="Q664" t="s">
        <v>30</v>
      </c>
      <c r="R664">
        <v>42524</v>
      </c>
      <c r="S664">
        <v>401768</v>
      </c>
      <c r="U664">
        <f t="shared" si="50"/>
        <v>0</v>
      </c>
    </row>
    <row r="665" spans="1:21" ht="15.75" x14ac:dyDescent="0.25">
      <c r="A665" t="s">
        <v>1848</v>
      </c>
      <c r="B665">
        <v>43959</v>
      </c>
      <c r="C665" t="s">
        <v>22</v>
      </c>
      <c r="D665" t="s">
        <v>23</v>
      </c>
      <c r="E665" t="s">
        <v>22</v>
      </c>
      <c r="F665" t="s">
        <v>23</v>
      </c>
      <c r="G665" t="s">
        <v>1846</v>
      </c>
      <c r="H665" t="s">
        <v>1847</v>
      </c>
      <c r="I665" t="s">
        <v>1839</v>
      </c>
      <c r="J665">
        <v>0</v>
      </c>
      <c r="K665" t="s">
        <v>1840</v>
      </c>
      <c r="L665" t="s">
        <v>28</v>
      </c>
      <c r="M665">
        <v>60.57</v>
      </c>
      <c r="N665" t="s">
        <v>29</v>
      </c>
      <c r="O665">
        <f t="shared" si="52"/>
        <v>60.57</v>
      </c>
      <c r="P665">
        <f t="shared" si="53"/>
        <v>60.57</v>
      </c>
      <c r="Q665" t="s">
        <v>30</v>
      </c>
      <c r="R665">
        <v>42444</v>
      </c>
      <c r="S665">
        <v>401768</v>
      </c>
      <c r="U665">
        <f t="shared" si="50"/>
        <v>0</v>
      </c>
    </row>
    <row r="666" spans="1:21" ht="15.75" x14ac:dyDescent="0.25">
      <c r="A666" t="s">
        <v>1849</v>
      </c>
      <c r="B666">
        <v>43959</v>
      </c>
      <c r="C666" t="s">
        <v>22</v>
      </c>
      <c r="D666" t="s">
        <v>23</v>
      </c>
      <c r="E666" t="s">
        <v>22</v>
      </c>
      <c r="F666" t="s">
        <v>23</v>
      </c>
      <c r="G666" t="s">
        <v>1846</v>
      </c>
      <c r="H666" t="s">
        <v>1847</v>
      </c>
      <c r="I666" t="s">
        <v>1850</v>
      </c>
      <c r="J666">
        <v>0</v>
      </c>
      <c r="K666" t="s">
        <v>1851</v>
      </c>
      <c r="L666" t="s">
        <v>28</v>
      </c>
      <c r="M666">
        <v>294.39999999999998</v>
      </c>
      <c r="N666" t="s">
        <v>29</v>
      </c>
      <c r="O666">
        <f t="shared" si="52"/>
        <v>294.39999999999998</v>
      </c>
      <c r="P666">
        <f t="shared" si="53"/>
        <v>294.39999999999998</v>
      </c>
      <c r="Q666" t="s">
        <v>30</v>
      </c>
      <c r="R666">
        <v>42524</v>
      </c>
      <c r="S666">
        <v>401768</v>
      </c>
      <c r="U666">
        <f t="shared" si="50"/>
        <v>0</v>
      </c>
    </row>
    <row r="667" spans="1:21" ht="15.75" x14ac:dyDescent="0.25">
      <c r="A667" t="s">
        <v>1852</v>
      </c>
      <c r="B667">
        <v>43959</v>
      </c>
      <c r="C667" t="s">
        <v>22</v>
      </c>
      <c r="D667" t="s">
        <v>23</v>
      </c>
      <c r="E667" t="s">
        <v>22</v>
      </c>
      <c r="F667" t="s">
        <v>23</v>
      </c>
      <c r="G667" t="s">
        <v>1846</v>
      </c>
      <c r="H667" t="s">
        <v>1847</v>
      </c>
      <c r="I667" t="s">
        <v>1853</v>
      </c>
      <c r="J667">
        <v>0</v>
      </c>
      <c r="K667" t="s">
        <v>1854</v>
      </c>
      <c r="L667" t="s">
        <v>28</v>
      </c>
      <c r="M667">
        <v>181.76</v>
      </c>
      <c r="N667" t="s">
        <v>29</v>
      </c>
      <c r="O667">
        <f t="shared" si="52"/>
        <v>181.76</v>
      </c>
      <c r="P667">
        <f t="shared" si="53"/>
        <v>181.76</v>
      </c>
      <c r="Q667" t="s">
        <v>30</v>
      </c>
      <c r="R667">
        <v>46146</v>
      </c>
      <c r="S667">
        <v>401768</v>
      </c>
      <c r="U667">
        <f t="shared" si="50"/>
        <v>0</v>
      </c>
    </row>
    <row r="668" spans="1:21" ht="15.75" x14ac:dyDescent="0.25">
      <c r="A668" t="s">
        <v>1855</v>
      </c>
      <c r="B668">
        <v>43959</v>
      </c>
      <c r="C668" t="s">
        <v>22</v>
      </c>
      <c r="D668" t="s">
        <v>23</v>
      </c>
      <c r="E668" t="s">
        <v>22</v>
      </c>
      <c r="F668" t="s">
        <v>23</v>
      </c>
      <c r="G668" t="s">
        <v>1846</v>
      </c>
      <c r="H668" t="s">
        <v>1847</v>
      </c>
      <c r="I668" t="s">
        <v>1856</v>
      </c>
      <c r="J668">
        <v>0</v>
      </c>
      <c r="K668" t="s">
        <v>1857</v>
      </c>
      <c r="L668" t="s">
        <v>28</v>
      </c>
      <c r="M668">
        <v>153.93</v>
      </c>
      <c r="N668" t="s">
        <v>29</v>
      </c>
      <c r="O668">
        <f t="shared" si="52"/>
        <v>153.93</v>
      </c>
      <c r="P668">
        <f t="shared" si="53"/>
        <v>153.93</v>
      </c>
      <c r="Q668" t="s">
        <v>30</v>
      </c>
      <c r="R668">
        <v>46146</v>
      </c>
      <c r="S668">
        <v>401768</v>
      </c>
      <c r="U668">
        <f t="shared" si="50"/>
        <v>0</v>
      </c>
    </row>
    <row r="669" spans="1:21" ht="15.75" x14ac:dyDescent="0.25">
      <c r="A669" t="s">
        <v>1858</v>
      </c>
      <c r="B669">
        <v>43959</v>
      </c>
      <c r="C669" t="s">
        <v>22</v>
      </c>
      <c r="D669" t="s">
        <v>23</v>
      </c>
      <c r="E669" t="s">
        <v>22</v>
      </c>
      <c r="F669" t="s">
        <v>23</v>
      </c>
      <c r="G669" t="s">
        <v>1846</v>
      </c>
      <c r="H669" t="s">
        <v>1847</v>
      </c>
      <c r="I669" t="s">
        <v>1859</v>
      </c>
      <c r="J669">
        <v>0</v>
      </c>
      <c r="K669" t="s">
        <v>1860</v>
      </c>
      <c r="L669" t="s">
        <v>28</v>
      </c>
      <c r="M669">
        <v>16.59</v>
      </c>
      <c r="N669" t="s">
        <v>29</v>
      </c>
      <c r="O669">
        <f t="shared" si="52"/>
        <v>16.59</v>
      </c>
      <c r="P669">
        <f t="shared" si="53"/>
        <v>16.59</v>
      </c>
      <c r="Q669" t="s">
        <v>30</v>
      </c>
      <c r="R669">
        <v>46146</v>
      </c>
      <c r="S669">
        <v>401768</v>
      </c>
      <c r="U669">
        <f t="shared" si="50"/>
        <v>0</v>
      </c>
    </row>
    <row r="670" spans="1:21" ht="15.75" x14ac:dyDescent="0.25">
      <c r="A670" t="s">
        <v>1861</v>
      </c>
      <c r="B670">
        <v>43959</v>
      </c>
      <c r="C670" t="s">
        <v>22</v>
      </c>
      <c r="D670" t="s">
        <v>23</v>
      </c>
      <c r="E670" t="s">
        <v>22</v>
      </c>
      <c r="F670" t="s">
        <v>23</v>
      </c>
      <c r="G670" t="s">
        <v>1846</v>
      </c>
      <c r="H670" t="s">
        <v>1847</v>
      </c>
      <c r="I670" t="s">
        <v>1862</v>
      </c>
      <c r="J670">
        <v>0</v>
      </c>
      <c r="K670" t="s">
        <v>1863</v>
      </c>
      <c r="L670" t="s">
        <v>28</v>
      </c>
      <c r="M670">
        <v>128.61000000000001</v>
      </c>
      <c r="N670" t="s">
        <v>29</v>
      </c>
      <c r="O670">
        <f t="shared" si="52"/>
        <v>128.61000000000001</v>
      </c>
      <c r="P670">
        <f t="shared" si="53"/>
        <v>128.61000000000001</v>
      </c>
      <c r="Q670" t="s">
        <v>30</v>
      </c>
      <c r="R670">
        <v>46146</v>
      </c>
      <c r="S670">
        <v>401768</v>
      </c>
      <c r="T670">
        <v>718</v>
      </c>
      <c r="U670">
        <f t="shared" si="50"/>
        <v>0.92341980000000012</v>
      </c>
    </row>
    <row r="671" spans="1:21" ht="15.75" x14ac:dyDescent="0.25">
      <c r="A671" t="s">
        <v>1864</v>
      </c>
      <c r="B671">
        <v>43959</v>
      </c>
      <c r="C671" t="s">
        <v>22</v>
      </c>
      <c r="D671" t="s">
        <v>23</v>
      </c>
      <c r="E671" t="s">
        <v>22</v>
      </c>
      <c r="F671" t="s">
        <v>23</v>
      </c>
      <c r="G671" t="s">
        <v>1846</v>
      </c>
      <c r="H671" t="s">
        <v>1847</v>
      </c>
      <c r="I671" t="s">
        <v>1865</v>
      </c>
      <c r="J671">
        <v>0</v>
      </c>
      <c r="K671" t="s">
        <v>1866</v>
      </c>
      <c r="L671" t="s">
        <v>28</v>
      </c>
      <c r="M671">
        <v>15.99</v>
      </c>
      <c r="N671" t="s">
        <v>29</v>
      </c>
      <c r="O671">
        <f t="shared" si="52"/>
        <v>15.99</v>
      </c>
      <c r="P671">
        <f t="shared" si="53"/>
        <v>15.99</v>
      </c>
      <c r="Q671" t="s">
        <v>30</v>
      </c>
      <c r="R671">
        <v>46146</v>
      </c>
      <c r="S671">
        <v>401768</v>
      </c>
      <c r="T671">
        <v>4380</v>
      </c>
      <c r="U671">
        <f t="shared" si="50"/>
        <v>0.70036199999999993</v>
      </c>
    </row>
    <row r="672" spans="1:21" ht="15.75" x14ac:dyDescent="0.25">
      <c r="A672" t="s">
        <v>1867</v>
      </c>
      <c r="B672">
        <v>43959</v>
      </c>
      <c r="C672" t="s">
        <v>22</v>
      </c>
      <c r="D672" t="s">
        <v>23</v>
      </c>
      <c r="E672" t="s">
        <v>22</v>
      </c>
      <c r="F672" t="s">
        <v>23</v>
      </c>
      <c r="G672" t="s">
        <v>1846</v>
      </c>
      <c r="H672" t="s">
        <v>1847</v>
      </c>
      <c r="I672" t="s">
        <v>1868</v>
      </c>
      <c r="J672">
        <v>0</v>
      </c>
      <c r="K672" t="s">
        <v>1869</v>
      </c>
      <c r="L672" t="s">
        <v>28</v>
      </c>
      <c r="M672">
        <v>78.62</v>
      </c>
      <c r="N672" t="s">
        <v>29</v>
      </c>
      <c r="O672">
        <f t="shared" si="52"/>
        <v>78.62</v>
      </c>
      <c r="P672">
        <f t="shared" si="53"/>
        <v>78.62</v>
      </c>
      <c r="Q672" t="s">
        <v>30</v>
      </c>
      <c r="R672">
        <v>46146</v>
      </c>
      <c r="S672">
        <v>401768</v>
      </c>
      <c r="T672">
        <v>828</v>
      </c>
      <c r="U672">
        <f t="shared" si="50"/>
        <v>0.65097360000000004</v>
      </c>
    </row>
    <row r="673" spans="1:21" ht="15.75" x14ac:dyDescent="0.25">
      <c r="A673" t="s">
        <v>1870</v>
      </c>
      <c r="B673">
        <v>43959</v>
      </c>
      <c r="C673" t="s">
        <v>22</v>
      </c>
      <c r="D673" t="s">
        <v>23</v>
      </c>
      <c r="E673" t="s">
        <v>22</v>
      </c>
      <c r="F673" t="s">
        <v>23</v>
      </c>
      <c r="G673" t="s">
        <v>1846</v>
      </c>
      <c r="H673" t="s">
        <v>1847</v>
      </c>
      <c r="I673" t="s">
        <v>1871</v>
      </c>
      <c r="J673">
        <v>0</v>
      </c>
      <c r="K673" t="s">
        <v>1872</v>
      </c>
      <c r="L673" t="s">
        <v>28</v>
      </c>
      <c r="M673">
        <v>73.8</v>
      </c>
      <c r="N673" t="s">
        <v>29</v>
      </c>
      <c r="O673">
        <f t="shared" si="52"/>
        <v>73.8</v>
      </c>
      <c r="P673">
        <f t="shared" si="53"/>
        <v>73.8</v>
      </c>
      <c r="Q673" t="s">
        <v>30</v>
      </c>
      <c r="R673">
        <v>46146</v>
      </c>
      <c r="S673">
        <v>401768</v>
      </c>
      <c r="T673">
        <v>4357</v>
      </c>
      <c r="U673">
        <f t="shared" si="50"/>
        <v>3.2154659999999997</v>
      </c>
    </row>
    <row r="674" spans="1:21" ht="15.75" x14ac:dyDescent="0.25">
      <c r="A674" t="s">
        <v>1873</v>
      </c>
      <c r="B674">
        <v>43959</v>
      </c>
      <c r="C674" t="s">
        <v>22</v>
      </c>
      <c r="D674" t="s">
        <v>23</v>
      </c>
      <c r="E674" t="s">
        <v>22</v>
      </c>
      <c r="F674" t="s">
        <v>23</v>
      </c>
      <c r="G674" t="s">
        <v>1846</v>
      </c>
      <c r="H674" t="s">
        <v>1847</v>
      </c>
      <c r="I674" t="s">
        <v>1874</v>
      </c>
      <c r="J674">
        <v>0</v>
      </c>
      <c r="K674" t="s">
        <v>1875</v>
      </c>
      <c r="L674" t="s">
        <v>28</v>
      </c>
      <c r="M674">
        <v>77.099999999999994</v>
      </c>
      <c r="N674" t="s">
        <v>29</v>
      </c>
      <c r="O674">
        <f t="shared" si="52"/>
        <v>77.099999999999994</v>
      </c>
      <c r="P674">
        <f t="shared" si="53"/>
        <v>77.099999999999994</v>
      </c>
      <c r="Q674" t="s">
        <v>30</v>
      </c>
      <c r="R674">
        <v>46146</v>
      </c>
      <c r="S674">
        <v>401768</v>
      </c>
      <c r="T674">
        <v>2310</v>
      </c>
      <c r="U674">
        <f t="shared" si="50"/>
        <v>1.78101</v>
      </c>
    </row>
    <row r="675" spans="1:21" ht="15.75" x14ac:dyDescent="0.25">
      <c r="A675" t="s">
        <v>1876</v>
      </c>
      <c r="B675">
        <v>43959</v>
      </c>
      <c r="C675" t="s">
        <v>22</v>
      </c>
      <c r="D675" t="s">
        <v>23</v>
      </c>
      <c r="E675" t="s">
        <v>22</v>
      </c>
      <c r="F675" t="s">
        <v>23</v>
      </c>
      <c r="G675" t="s">
        <v>1846</v>
      </c>
      <c r="H675" t="s">
        <v>1847</v>
      </c>
      <c r="I675" t="s">
        <v>1877</v>
      </c>
      <c r="J675">
        <v>0</v>
      </c>
      <c r="K675" t="s">
        <v>1878</v>
      </c>
      <c r="L675" t="s">
        <v>28</v>
      </c>
      <c r="M675">
        <v>60.48</v>
      </c>
      <c r="N675" t="s">
        <v>29</v>
      </c>
      <c r="O675">
        <f t="shared" si="52"/>
        <v>60.48</v>
      </c>
      <c r="P675">
        <f t="shared" si="53"/>
        <v>60.48</v>
      </c>
      <c r="Q675" t="s">
        <v>30</v>
      </c>
      <c r="R675">
        <v>46146</v>
      </c>
      <c r="S675">
        <v>401768</v>
      </c>
      <c r="U675">
        <f t="shared" si="50"/>
        <v>0</v>
      </c>
    </row>
    <row r="676" spans="1:21" ht="15.75" x14ac:dyDescent="0.25">
      <c r="A676" t="s">
        <v>1879</v>
      </c>
      <c r="B676">
        <v>43959</v>
      </c>
      <c r="C676" t="s">
        <v>22</v>
      </c>
      <c r="D676" t="s">
        <v>23</v>
      </c>
      <c r="E676" t="s">
        <v>22</v>
      </c>
      <c r="F676" t="s">
        <v>23</v>
      </c>
      <c r="G676" t="s">
        <v>1846</v>
      </c>
      <c r="H676" t="s">
        <v>1847</v>
      </c>
      <c r="I676" t="s">
        <v>1880</v>
      </c>
      <c r="J676">
        <v>0</v>
      </c>
      <c r="K676" t="s">
        <v>1881</v>
      </c>
      <c r="L676" t="s">
        <v>28</v>
      </c>
      <c r="M676">
        <v>62.71</v>
      </c>
      <c r="N676" t="s">
        <v>29</v>
      </c>
      <c r="O676">
        <f t="shared" si="52"/>
        <v>62.71</v>
      </c>
      <c r="P676">
        <f t="shared" si="53"/>
        <v>62.71</v>
      </c>
      <c r="Q676" t="s">
        <v>30</v>
      </c>
      <c r="R676">
        <v>46146</v>
      </c>
      <c r="S676">
        <v>401768</v>
      </c>
      <c r="U676">
        <f t="shared" si="50"/>
        <v>0</v>
      </c>
    </row>
    <row r="677" spans="1:21" ht="15.75" x14ac:dyDescent="0.25">
      <c r="A677" t="s">
        <v>1882</v>
      </c>
      <c r="B677">
        <v>43959</v>
      </c>
      <c r="C677" t="s">
        <v>22</v>
      </c>
      <c r="D677" t="s">
        <v>23</v>
      </c>
      <c r="E677" t="s">
        <v>22</v>
      </c>
      <c r="F677" t="s">
        <v>23</v>
      </c>
      <c r="G677" t="s">
        <v>1846</v>
      </c>
      <c r="H677" t="s">
        <v>1847</v>
      </c>
      <c r="I677" t="s">
        <v>1883</v>
      </c>
      <c r="J677">
        <v>0</v>
      </c>
      <c r="K677" t="s">
        <v>1884</v>
      </c>
      <c r="L677" t="s">
        <v>28</v>
      </c>
      <c r="M677">
        <v>93.32</v>
      </c>
      <c r="N677" t="s">
        <v>29</v>
      </c>
      <c r="O677">
        <f t="shared" si="52"/>
        <v>93.32</v>
      </c>
      <c r="P677">
        <f t="shared" si="53"/>
        <v>93.32</v>
      </c>
      <c r="Q677" t="s">
        <v>30</v>
      </c>
      <c r="R677">
        <v>46146</v>
      </c>
      <c r="S677">
        <v>401768</v>
      </c>
      <c r="U677">
        <f t="shared" si="50"/>
        <v>0</v>
      </c>
    </row>
    <row r="678" spans="1:21" ht="15.75" x14ac:dyDescent="0.25">
      <c r="A678" t="s">
        <v>1885</v>
      </c>
      <c r="B678">
        <v>43959</v>
      </c>
      <c r="C678" t="s">
        <v>22</v>
      </c>
      <c r="D678" t="s">
        <v>23</v>
      </c>
      <c r="E678" t="s">
        <v>22</v>
      </c>
      <c r="F678" t="s">
        <v>23</v>
      </c>
      <c r="G678" t="s">
        <v>1846</v>
      </c>
      <c r="H678" t="s">
        <v>1847</v>
      </c>
      <c r="I678" t="s">
        <v>1886</v>
      </c>
      <c r="J678">
        <v>0</v>
      </c>
      <c r="K678" t="s">
        <v>1887</v>
      </c>
      <c r="L678" t="s">
        <v>28</v>
      </c>
      <c r="M678">
        <v>95.78</v>
      </c>
      <c r="N678" t="s">
        <v>29</v>
      </c>
      <c r="O678">
        <f t="shared" si="52"/>
        <v>95.78</v>
      </c>
      <c r="P678">
        <f t="shared" si="53"/>
        <v>95.78</v>
      </c>
      <c r="Q678" t="s">
        <v>30</v>
      </c>
      <c r="R678">
        <v>46146</v>
      </c>
      <c r="S678">
        <v>401768</v>
      </c>
      <c r="U678">
        <f t="shared" si="50"/>
        <v>0</v>
      </c>
    </row>
    <row r="679" spans="1:21" ht="15.75" x14ac:dyDescent="0.25">
      <c r="A679" t="s">
        <v>1888</v>
      </c>
      <c r="B679">
        <v>43959</v>
      </c>
      <c r="C679" t="s">
        <v>22</v>
      </c>
      <c r="D679" t="s">
        <v>23</v>
      </c>
      <c r="E679" t="s">
        <v>22</v>
      </c>
      <c r="F679" t="s">
        <v>23</v>
      </c>
      <c r="G679" t="s">
        <v>1846</v>
      </c>
      <c r="H679" t="s">
        <v>1847</v>
      </c>
      <c r="I679" t="s">
        <v>1889</v>
      </c>
      <c r="J679">
        <v>0</v>
      </c>
      <c r="K679" t="s">
        <v>1890</v>
      </c>
      <c r="L679" t="s">
        <v>28</v>
      </c>
      <c r="M679">
        <v>215.68</v>
      </c>
      <c r="N679" t="s">
        <v>29</v>
      </c>
      <c r="O679">
        <f t="shared" si="52"/>
        <v>215.68</v>
      </c>
      <c r="P679">
        <f t="shared" si="53"/>
        <v>215.68</v>
      </c>
      <c r="Q679" t="s">
        <v>30</v>
      </c>
      <c r="R679">
        <v>44834</v>
      </c>
      <c r="S679">
        <v>401768</v>
      </c>
      <c r="U679">
        <f t="shared" si="50"/>
        <v>0</v>
      </c>
    </row>
    <row r="680" spans="1:21" ht="15.75" x14ac:dyDescent="0.25">
      <c r="A680" t="s">
        <v>1891</v>
      </c>
      <c r="B680">
        <v>43959</v>
      </c>
      <c r="C680" t="s">
        <v>22</v>
      </c>
      <c r="D680" t="s">
        <v>23</v>
      </c>
      <c r="E680" t="s">
        <v>22</v>
      </c>
      <c r="F680" t="s">
        <v>23</v>
      </c>
      <c r="G680" t="s">
        <v>1846</v>
      </c>
      <c r="H680" t="s">
        <v>1847</v>
      </c>
      <c r="I680" t="s">
        <v>1892</v>
      </c>
      <c r="J680">
        <v>0</v>
      </c>
      <c r="K680" t="s">
        <v>1893</v>
      </c>
      <c r="L680" t="s">
        <v>28</v>
      </c>
      <c r="M680">
        <v>58.63</v>
      </c>
      <c r="N680" t="s">
        <v>29</v>
      </c>
      <c r="O680">
        <f t="shared" si="52"/>
        <v>58.63</v>
      </c>
      <c r="P680">
        <f t="shared" si="53"/>
        <v>58.63</v>
      </c>
      <c r="Q680" t="s">
        <v>30</v>
      </c>
      <c r="R680">
        <v>43299</v>
      </c>
      <c r="S680">
        <v>401768</v>
      </c>
      <c r="U680">
        <f t="shared" si="50"/>
        <v>0</v>
      </c>
    </row>
    <row r="681" spans="1:21" ht="15.75" x14ac:dyDescent="0.25">
      <c r="A681" t="s">
        <v>1894</v>
      </c>
      <c r="B681">
        <v>43959</v>
      </c>
      <c r="C681" t="s">
        <v>22</v>
      </c>
      <c r="D681" t="s">
        <v>23</v>
      </c>
      <c r="E681" t="s">
        <v>22</v>
      </c>
      <c r="F681" t="s">
        <v>23</v>
      </c>
      <c r="G681" t="s">
        <v>1846</v>
      </c>
      <c r="H681" t="s">
        <v>1847</v>
      </c>
      <c r="I681" t="s">
        <v>1895</v>
      </c>
      <c r="J681">
        <v>0</v>
      </c>
      <c r="K681" t="s">
        <v>1896</v>
      </c>
      <c r="L681" t="s">
        <v>28</v>
      </c>
      <c r="M681">
        <v>71.48</v>
      </c>
      <c r="N681" t="s">
        <v>29</v>
      </c>
      <c r="O681">
        <f t="shared" si="52"/>
        <v>71.48</v>
      </c>
      <c r="P681">
        <f t="shared" si="53"/>
        <v>71.48</v>
      </c>
      <c r="Q681" t="s">
        <v>30</v>
      </c>
      <c r="R681">
        <v>46146</v>
      </c>
      <c r="S681">
        <v>401768</v>
      </c>
      <c r="U681">
        <f t="shared" si="50"/>
        <v>0</v>
      </c>
    </row>
    <row r="682" spans="1:21" ht="15.75" x14ac:dyDescent="0.25">
      <c r="A682" t="s">
        <v>1897</v>
      </c>
      <c r="B682">
        <v>43959</v>
      </c>
      <c r="C682" t="s">
        <v>22</v>
      </c>
      <c r="D682" t="s">
        <v>23</v>
      </c>
      <c r="E682" t="s">
        <v>22</v>
      </c>
      <c r="F682" t="s">
        <v>23</v>
      </c>
      <c r="G682" t="s">
        <v>1898</v>
      </c>
      <c r="H682" t="s">
        <v>1899</v>
      </c>
      <c r="I682" t="s">
        <v>1900</v>
      </c>
      <c r="J682">
        <v>0</v>
      </c>
      <c r="K682" t="s">
        <v>1901</v>
      </c>
      <c r="L682" t="s">
        <v>28</v>
      </c>
      <c r="M682">
        <v>90.67</v>
      </c>
      <c r="N682" t="s">
        <v>29</v>
      </c>
      <c r="O682">
        <f t="shared" si="52"/>
        <v>90.67</v>
      </c>
      <c r="P682">
        <f t="shared" si="53"/>
        <v>90.67</v>
      </c>
      <c r="Q682" t="s">
        <v>30</v>
      </c>
      <c r="R682">
        <v>44435</v>
      </c>
      <c r="S682">
        <v>401768</v>
      </c>
      <c r="U682">
        <f t="shared" si="50"/>
        <v>0</v>
      </c>
    </row>
    <row r="683" spans="1:21" ht="15.75" x14ac:dyDescent="0.25">
      <c r="A683" t="s">
        <v>1902</v>
      </c>
      <c r="B683">
        <v>43959</v>
      </c>
      <c r="C683" t="s">
        <v>22</v>
      </c>
      <c r="D683" t="s">
        <v>23</v>
      </c>
      <c r="E683" t="s">
        <v>22</v>
      </c>
      <c r="F683" t="s">
        <v>23</v>
      </c>
      <c r="G683" t="s">
        <v>1898</v>
      </c>
      <c r="H683" t="s">
        <v>1899</v>
      </c>
      <c r="I683" t="s">
        <v>1903</v>
      </c>
      <c r="J683">
        <v>0</v>
      </c>
      <c r="K683" t="s">
        <v>1904</v>
      </c>
      <c r="L683" t="s">
        <v>28</v>
      </c>
      <c r="M683">
        <v>95.72</v>
      </c>
      <c r="N683" t="s">
        <v>29</v>
      </c>
      <c r="O683">
        <f t="shared" si="52"/>
        <v>95.72</v>
      </c>
      <c r="P683">
        <f t="shared" si="53"/>
        <v>95.72</v>
      </c>
      <c r="Q683" t="s">
        <v>30</v>
      </c>
      <c r="R683">
        <v>44427</v>
      </c>
      <c r="S683">
        <v>401768</v>
      </c>
      <c r="U683">
        <f t="shared" si="50"/>
        <v>0</v>
      </c>
    </row>
    <row r="684" spans="1:21" ht="15.75" x14ac:dyDescent="0.25">
      <c r="A684" t="s">
        <v>1905</v>
      </c>
      <c r="B684">
        <v>43959</v>
      </c>
      <c r="C684" t="s">
        <v>22</v>
      </c>
      <c r="D684" t="s">
        <v>23</v>
      </c>
      <c r="E684" t="s">
        <v>22</v>
      </c>
      <c r="F684" t="s">
        <v>23</v>
      </c>
      <c r="G684" t="s">
        <v>1898</v>
      </c>
      <c r="H684" t="s">
        <v>1899</v>
      </c>
      <c r="I684" t="s">
        <v>1906</v>
      </c>
      <c r="J684">
        <v>0</v>
      </c>
      <c r="K684" t="s">
        <v>1907</v>
      </c>
      <c r="L684" t="s">
        <v>28</v>
      </c>
      <c r="M684">
        <v>58.82</v>
      </c>
      <c r="N684" t="s">
        <v>29</v>
      </c>
      <c r="O684">
        <f t="shared" si="52"/>
        <v>58.82</v>
      </c>
      <c r="P684">
        <f t="shared" si="53"/>
        <v>58.82</v>
      </c>
      <c r="Q684" t="s">
        <v>30</v>
      </c>
      <c r="R684">
        <v>41981</v>
      </c>
      <c r="S684">
        <v>401768</v>
      </c>
      <c r="U684">
        <f t="shared" si="50"/>
        <v>0</v>
      </c>
    </row>
    <row r="685" spans="1:21" ht="15.75" x14ac:dyDescent="0.25">
      <c r="A685" t="s">
        <v>1908</v>
      </c>
      <c r="B685">
        <v>43959</v>
      </c>
      <c r="C685" t="s">
        <v>22</v>
      </c>
      <c r="D685" t="s">
        <v>23</v>
      </c>
      <c r="E685" t="s">
        <v>22</v>
      </c>
      <c r="F685" t="s">
        <v>23</v>
      </c>
      <c r="G685" t="s">
        <v>1898</v>
      </c>
      <c r="H685" t="s">
        <v>1899</v>
      </c>
      <c r="I685" t="s">
        <v>1909</v>
      </c>
      <c r="J685">
        <v>0</v>
      </c>
      <c r="K685" t="s">
        <v>1910</v>
      </c>
      <c r="L685" t="s">
        <v>28</v>
      </c>
      <c r="M685">
        <v>62.49</v>
      </c>
      <c r="N685" t="s">
        <v>29</v>
      </c>
      <c r="O685">
        <f t="shared" si="52"/>
        <v>62.49</v>
      </c>
      <c r="P685">
        <f t="shared" si="53"/>
        <v>62.49</v>
      </c>
      <c r="Q685" t="s">
        <v>30</v>
      </c>
      <c r="R685">
        <v>44438</v>
      </c>
      <c r="S685">
        <v>401768</v>
      </c>
      <c r="U685">
        <f t="shared" si="50"/>
        <v>0</v>
      </c>
    </row>
    <row r="686" spans="1:21" ht="15.75" x14ac:dyDescent="0.25">
      <c r="A686" t="s">
        <v>1911</v>
      </c>
      <c r="B686">
        <v>43959</v>
      </c>
      <c r="C686" t="s">
        <v>22</v>
      </c>
      <c r="D686" t="s">
        <v>23</v>
      </c>
      <c r="E686" t="s">
        <v>22</v>
      </c>
      <c r="F686" t="s">
        <v>23</v>
      </c>
      <c r="G686" t="s">
        <v>1898</v>
      </c>
      <c r="H686" t="s">
        <v>1899</v>
      </c>
      <c r="I686" t="s">
        <v>1912</v>
      </c>
      <c r="J686">
        <v>0</v>
      </c>
      <c r="K686" t="s">
        <v>1913</v>
      </c>
      <c r="L686" t="s">
        <v>28</v>
      </c>
      <c r="M686">
        <v>126.53</v>
      </c>
      <c r="N686" t="s">
        <v>29</v>
      </c>
      <c r="O686">
        <f t="shared" si="52"/>
        <v>126.53</v>
      </c>
      <c r="P686">
        <f t="shared" si="53"/>
        <v>126.53</v>
      </c>
      <c r="Q686" t="s">
        <v>30</v>
      </c>
      <c r="R686">
        <v>42695</v>
      </c>
      <c r="S686">
        <v>401768</v>
      </c>
      <c r="U686">
        <f t="shared" si="50"/>
        <v>0</v>
      </c>
    </row>
    <row r="687" spans="1:21" ht="15.75" x14ac:dyDescent="0.25">
      <c r="A687" t="s">
        <v>1914</v>
      </c>
      <c r="B687">
        <v>43959</v>
      </c>
      <c r="C687" t="s">
        <v>22</v>
      </c>
      <c r="D687" t="s">
        <v>23</v>
      </c>
      <c r="E687" t="s">
        <v>22</v>
      </c>
      <c r="F687" t="s">
        <v>23</v>
      </c>
      <c r="G687" t="s">
        <v>1898</v>
      </c>
      <c r="H687" t="s">
        <v>1899</v>
      </c>
      <c r="I687" t="s">
        <v>1915</v>
      </c>
      <c r="J687">
        <v>0</v>
      </c>
      <c r="K687" t="s">
        <v>1916</v>
      </c>
      <c r="L687" t="s">
        <v>28</v>
      </c>
      <c r="M687">
        <v>55.31</v>
      </c>
      <c r="N687" t="s">
        <v>29</v>
      </c>
      <c r="O687">
        <f t="shared" si="52"/>
        <v>55.31</v>
      </c>
      <c r="P687">
        <f t="shared" si="53"/>
        <v>55.31</v>
      </c>
      <c r="Q687" t="s">
        <v>30</v>
      </c>
      <c r="R687">
        <v>41999</v>
      </c>
      <c r="S687">
        <v>401768</v>
      </c>
      <c r="U687">
        <f t="shared" si="50"/>
        <v>0</v>
      </c>
    </row>
    <row r="688" spans="1:21" ht="15.75" x14ac:dyDescent="0.25">
      <c r="A688" t="s">
        <v>1917</v>
      </c>
      <c r="B688">
        <v>43959</v>
      </c>
      <c r="C688" t="s">
        <v>22</v>
      </c>
      <c r="D688" t="s">
        <v>23</v>
      </c>
      <c r="E688" t="s">
        <v>22</v>
      </c>
      <c r="F688" t="s">
        <v>23</v>
      </c>
      <c r="G688" t="s">
        <v>1898</v>
      </c>
      <c r="H688" t="s">
        <v>1899</v>
      </c>
      <c r="I688" t="s">
        <v>1918</v>
      </c>
      <c r="J688">
        <v>0</v>
      </c>
      <c r="K688" t="s">
        <v>1919</v>
      </c>
      <c r="L688" t="s">
        <v>28</v>
      </c>
      <c r="M688">
        <v>59.1</v>
      </c>
      <c r="N688" t="s">
        <v>29</v>
      </c>
      <c r="O688">
        <f t="shared" si="52"/>
        <v>59.1</v>
      </c>
      <c r="P688">
        <f t="shared" si="53"/>
        <v>59.1</v>
      </c>
      <c r="Q688" t="s">
        <v>30</v>
      </c>
      <c r="R688">
        <v>42000</v>
      </c>
      <c r="S688">
        <v>401768</v>
      </c>
      <c r="U688">
        <f t="shared" si="50"/>
        <v>0</v>
      </c>
    </row>
    <row r="689" spans="1:21" ht="15.75" x14ac:dyDescent="0.25">
      <c r="A689" t="s">
        <v>1920</v>
      </c>
      <c r="B689">
        <v>43959</v>
      </c>
      <c r="C689" t="s">
        <v>22</v>
      </c>
      <c r="D689" t="s">
        <v>23</v>
      </c>
      <c r="E689" t="s">
        <v>22</v>
      </c>
      <c r="F689" t="s">
        <v>23</v>
      </c>
      <c r="G689" t="s">
        <v>1898</v>
      </c>
      <c r="H689" t="s">
        <v>1899</v>
      </c>
      <c r="I689" t="s">
        <v>1921</v>
      </c>
      <c r="J689">
        <v>0</v>
      </c>
      <c r="K689" t="s">
        <v>1922</v>
      </c>
      <c r="L689" t="s">
        <v>28</v>
      </c>
      <c r="M689">
        <v>38.36</v>
      </c>
      <c r="N689" t="s">
        <v>29</v>
      </c>
      <c r="O689">
        <f t="shared" si="52"/>
        <v>38.36</v>
      </c>
      <c r="P689">
        <f t="shared" si="53"/>
        <v>38.36</v>
      </c>
      <c r="Q689" t="s">
        <v>30</v>
      </c>
      <c r="R689">
        <v>42122</v>
      </c>
      <c r="S689">
        <v>401768</v>
      </c>
      <c r="U689">
        <f t="shared" si="50"/>
        <v>0</v>
      </c>
    </row>
    <row r="690" spans="1:21" ht="15.75" x14ac:dyDescent="0.25">
      <c r="A690" t="s">
        <v>1923</v>
      </c>
      <c r="B690">
        <v>43959</v>
      </c>
      <c r="C690" t="s">
        <v>22</v>
      </c>
      <c r="D690" t="s">
        <v>23</v>
      </c>
      <c r="E690" t="s">
        <v>22</v>
      </c>
      <c r="F690" t="s">
        <v>23</v>
      </c>
      <c r="G690" t="s">
        <v>1898</v>
      </c>
      <c r="H690" t="s">
        <v>1899</v>
      </c>
      <c r="I690" t="s">
        <v>1924</v>
      </c>
      <c r="J690">
        <v>0</v>
      </c>
      <c r="K690" t="s">
        <v>1925</v>
      </c>
      <c r="L690" t="s">
        <v>28</v>
      </c>
      <c r="M690">
        <v>14.5</v>
      </c>
      <c r="N690" t="s">
        <v>29</v>
      </c>
      <c r="O690">
        <f t="shared" si="52"/>
        <v>14.5</v>
      </c>
      <c r="P690">
        <f t="shared" si="53"/>
        <v>14.5</v>
      </c>
      <c r="Q690" t="s">
        <v>30</v>
      </c>
      <c r="R690">
        <v>42016</v>
      </c>
      <c r="S690">
        <v>401768</v>
      </c>
      <c r="U690">
        <f t="shared" si="50"/>
        <v>0</v>
      </c>
    </row>
    <row r="691" spans="1:21" ht="15.75" x14ac:dyDescent="0.25">
      <c r="A691" t="s">
        <v>1926</v>
      </c>
      <c r="B691">
        <v>44461</v>
      </c>
      <c r="C691" t="s">
        <v>22</v>
      </c>
      <c r="D691" t="s">
        <v>23</v>
      </c>
      <c r="E691" t="s">
        <v>22</v>
      </c>
      <c r="F691" t="s">
        <v>23</v>
      </c>
      <c r="G691" t="s">
        <v>1898</v>
      </c>
      <c r="H691" t="s">
        <v>1899</v>
      </c>
      <c r="I691" t="s">
        <v>1927</v>
      </c>
      <c r="J691">
        <v>0</v>
      </c>
      <c r="K691" t="s">
        <v>1928</v>
      </c>
      <c r="L691" t="s">
        <v>36</v>
      </c>
      <c r="M691">
        <v>24000</v>
      </c>
      <c r="N691" t="s">
        <v>29</v>
      </c>
      <c r="O691">
        <f t="shared" si="52"/>
        <v>24000</v>
      </c>
      <c r="P691">
        <f t="shared" si="53"/>
        <v>24000</v>
      </c>
      <c r="Q691" t="s">
        <v>30</v>
      </c>
      <c r="R691">
        <v>44462</v>
      </c>
      <c r="S691">
        <v>401768</v>
      </c>
      <c r="U691">
        <f t="shared" si="50"/>
        <v>0</v>
      </c>
    </row>
    <row r="692" spans="1:21" ht="15.75" x14ac:dyDescent="0.25">
      <c r="A692" t="s">
        <v>1929</v>
      </c>
      <c r="B692">
        <v>44541</v>
      </c>
      <c r="C692" t="s">
        <v>22</v>
      </c>
      <c r="D692" t="s">
        <v>23</v>
      </c>
      <c r="E692" t="s">
        <v>22</v>
      </c>
      <c r="F692" t="s">
        <v>23</v>
      </c>
      <c r="G692" t="s">
        <v>1898</v>
      </c>
      <c r="H692" t="s">
        <v>1899</v>
      </c>
      <c r="I692" t="s">
        <v>67</v>
      </c>
      <c r="J692">
        <v>0</v>
      </c>
      <c r="K692" t="s">
        <v>68</v>
      </c>
      <c r="L692" t="s">
        <v>28</v>
      </c>
      <c r="M692">
        <v>74053</v>
      </c>
      <c r="N692" t="s">
        <v>29</v>
      </c>
      <c r="O692">
        <f t="shared" si="52"/>
        <v>74053</v>
      </c>
      <c r="P692">
        <f t="shared" si="53"/>
        <v>74053</v>
      </c>
      <c r="Q692" t="s">
        <v>30</v>
      </c>
      <c r="R692">
        <v>44541</v>
      </c>
      <c r="S692">
        <v>401768</v>
      </c>
      <c r="U692">
        <f t="shared" si="50"/>
        <v>0</v>
      </c>
    </row>
    <row r="693" spans="1:21" ht="15.75" x14ac:dyDescent="0.25">
      <c r="A693" t="s">
        <v>1930</v>
      </c>
      <c r="B693">
        <v>43959</v>
      </c>
      <c r="C693" t="s">
        <v>22</v>
      </c>
      <c r="D693" t="s">
        <v>23</v>
      </c>
      <c r="E693" t="s">
        <v>22</v>
      </c>
      <c r="F693" t="s">
        <v>23</v>
      </c>
      <c r="G693" t="s">
        <v>1931</v>
      </c>
      <c r="H693" t="s">
        <v>1932</v>
      </c>
      <c r="I693" t="s">
        <v>1933</v>
      </c>
      <c r="J693">
        <v>0</v>
      </c>
      <c r="K693" t="s">
        <v>1934</v>
      </c>
      <c r="L693" t="s">
        <v>28</v>
      </c>
      <c r="M693">
        <v>207.6</v>
      </c>
      <c r="N693" t="s">
        <v>29</v>
      </c>
      <c r="O693">
        <f t="shared" si="52"/>
        <v>207.6</v>
      </c>
      <c r="P693">
        <f t="shared" si="53"/>
        <v>207.6</v>
      </c>
      <c r="Q693" t="s">
        <v>30</v>
      </c>
      <c r="R693">
        <v>44644</v>
      </c>
      <c r="S693">
        <v>401768</v>
      </c>
      <c r="U693">
        <f t="shared" si="50"/>
        <v>0</v>
      </c>
    </row>
    <row r="694" spans="1:21" ht="15.75" x14ac:dyDescent="0.25">
      <c r="A694" t="s">
        <v>1935</v>
      </c>
      <c r="B694">
        <v>43959</v>
      </c>
      <c r="C694" t="s">
        <v>22</v>
      </c>
      <c r="D694" t="s">
        <v>23</v>
      </c>
      <c r="E694" t="s">
        <v>22</v>
      </c>
      <c r="F694" t="s">
        <v>23</v>
      </c>
      <c r="G694" t="s">
        <v>1936</v>
      </c>
      <c r="H694" t="s">
        <v>1937</v>
      </c>
      <c r="I694" t="s">
        <v>1938</v>
      </c>
      <c r="J694">
        <v>0</v>
      </c>
      <c r="K694" t="s">
        <v>944</v>
      </c>
      <c r="L694" t="s">
        <v>28</v>
      </c>
      <c r="M694">
        <v>6.74</v>
      </c>
      <c r="N694" t="s">
        <v>29</v>
      </c>
      <c r="O694">
        <f t="shared" si="52"/>
        <v>6.74</v>
      </c>
      <c r="P694">
        <f t="shared" si="53"/>
        <v>6.74</v>
      </c>
      <c r="Q694" t="s">
        <v>30</v>
      </c>
      <c r="R694">
        <v>41365</v>
      </c>
      <c r="S694">
        <v>401768</v>
      </c>
      <c r="U694">
        <f t="shared" si="50"/>
        <v>0</v>
      </c>
    </row>
    <row r="695" spans="1:21" ht="15.75" x14ac:dyDescent="0.25">
      <c r="A695" t="s">
        <v>1939</v>
      </c>
      <c r="B695">
        <v>43959</v>
      </c>
      <c r="C695" t="s">
        <v>22</v>
      </c>
      <c r="D695" t="s">
        <v>23</v>
      </c>
      <c r="E695" t="s">
        <v>22</v>
      </c>
      <c r="F695" t="s">
        <v>23</v>
      </c>
      <c r="G695" t="s">
        <v>1940</v>
      </c>
      <c r="H695" t="s">
        <v>1941</v>
      </c>
      <c r="I695" t="s">
        <v>1942</v>
      </c>
      <c r="J695">
        <v>0</v>
      </c>
      <c r="K695" t="s">
        <v>1943</v>
      </c>
      <c r="L695" t="s">
        <v>28</v>
      </c>
      <c r="M695">
        <v>3</v>
      </c>
      <c r="N695" t="s">
        <v>29</v>
      </c>
      <c r="O695">
        <f t="shared" si="52"/>
        <v>3</v>
      </c>
      <c r="P695">
        <f t="shared" si="53"/>
        <v>3</v>
      </c>
      <c r="Q695" t="s">
        <v>30</v>
      </c>
      <c r="R695">
        <v>43088</v>
      </c>
      <c r="S695">
        <v>401768</v>
      </c>
      <c r="U695">
        <f t="shared" si="50"/>
        <v>0</v>
      </c>
    </row>
    <row r="696" spans="1:21" ht="15.75" x14ac:dyDescent="0.25">
      <c r="A696" t="s">
        <v>1944</v>
      </c>
      <c r="B696">
        <v>43959</v>
      </c>
      <c r="C696" t="s">
        <v>22</v>
      </c>
      <c r="D696" t="s">
        <v>23</v>
      </c>
      <c r="E696" t="s">
        <v>22</v>
      </c>
      <c r="F696" t="s">
        <v>23</v>
      </c>
      <c r="G696" t="s">
        <v>1940</v>
      </c>
      <c r="H696" t="s">
        <v>1941</v>
      </c>
      <c r="I696" t="s">
        <v>1945</v>
      </c>
      <c r="J696">
        <v>0</v>
      </c>
      <c r="K696" t="s">
        <v>1946</v>
      </c>
      <c r="L696" t="s">
        <v>28</v>
      </c>
      <c r="M696">
        <v>10</v>
      </c>
      <c r="N696" t="s">
        <v>29</v>
      </c>
      <c r="O696">
        <f t="shared" si="52"/>
        <v>10</v>
      </c>
      <c r="P696">
        <f t="shared" si="53"/>
        <v>10</v>
      </c>
      <c r="Q696" t="s">
        <v>30</v>
      </c>
      <c r="R696">
        <v>41365</v>
      </c>
      <c r="S696">
        <v>401768</v>
      </c>
      <c r="U696">
        <f t="shared" si="50"/>
        <v>0</v>
      </c>
    </row>
    <row r="697" spans="1:21" ht="15.75" x14ac:dyDescent="0.25">
      <c r="A697" t="s">
        <v>1947</v>
      </c>
      <c r="B697">
        <v>43959</v>
      </c>
      <c r="C697" t="s">
        <v>22</v>
      </c>
      <c r="D697" t="s">
        <v>23</v>
      </c>
      <c r="E697" t="s">
        <v>22</v>
      </c>
      <c r="F697" t="s">
        <v>23</v>
      </c>
      <c r="G697" t="s">
        <v>1940</v>
      </c>
      <c r="H697" t="s">
        <v>1941</v>
      </c>
      <c r="I697" t="s">
        <v>1948</v>
      </c>
      <c r="J697">
        <v>0</v>
      </c>
      <c r="K697" t="s">
        <v>1949</v>
      </c>
      <c r="L697" t="s">
        <v>28</v>
      </c>
      <c r="M697">
        <v>18</v>
      </c>
      <c r="N697" t="s">
        <v>29</v>
      </c>
      <c r="O697">
        <f t="shared" si="52"/>
        <v>18</v>
      </c>
      <c r="P697">
        <f t="shared" si="53"/>
        <v>18</v>
      </c>
      <c r="Q697" t="s">
        <v>30</v>
      </c>
      <c r="R697">
        <v>41849</v>
      </c>
      <c r="S697">
        <v>401768</v>
      </c>
      <c r="U697">
        <f t="shared" si="50"/>
        <v>0</v>
      </c>
    </row>
    <row r="698" spans="1:21" ht="15.75" x14ac:dyDescent="0.25">
      <c r="A698" t="s">
        <v>1950</v>
      </c>
      <c r="B698">
        <v>43959</v>
      </c>
      <c r="C698" t="s">
        <v>22</v>
      </c>
      <c r="D698" t="s">
        <v>23</v>
      </c>
      <c r="E698" t="s">
        <v>22</v>
      </c>
      <c r="F698" t="s">
        <v>23</v>
      </c>
      <c r="G698" t="s">
        <v>1940</v>
      </c>
      <c r="H698" t="s">
        <v>1941</v>
      </c>
      <c r="I698" t="s">
        <v>1951</v>
      </c>
      <c r="J698">
        <v>0</v>
      </c>
      <c r="K698" t="s">
        <v>1952</v>
      </c>
      <c r="L698" t="s">
        <v>28</v>
      </c>
      <c r="M698">
        <v>14.4</v>
      </c>
      <c r="N698" t="s">
        <v>29</v>
      </c>
      <c r="O698">
        <f t="shared" si="52"/>
        <v>14.4</v>
      </c>
      <c r="P698">
        <f t="shared" si="53"/>
        <v>14.4</v>
      </c>
      <c r="Q698" t="s">
        <v>30</v>
      </c>
      <c r="R698">
        <v>41426</v>
      </c>
      <c r="S698">
        <v>401768</v>
      </c>
      <c r="U698">
        <f t="shared" si="50"/>
        <v>0</v>
      </c>
    </row>
    <row r="699" spans="1:21" ht="15.75" x14ac:dyDescent="0.25">
      <c r="A699" t="s">
        <v>1953</v>
      </c>
      <c r="B699">
        <v>43959</v>
      </c>
      <c r="C699" t="s">
        <v>22</v>
      </c>
      <c r="D699" t="s">
        <v>23</v>
      </c>
      <c r="E699" t="s">
        <v>22</v>
      </c>
      <c r="F699" t="s">
        <v>23</v>
      </c>
      <c r="G699" t="s">
        <v>1954</v>
      </c>
      <c r="H699" t="s">
        <v>1955</v>
      </c>
      <c r="I699" t="s">
        <v>1956</v>
      </c>
      <c r="J699">
        <v>0</v>
      </c>
      <c r="K699" t="s">
        <v>1957</v>
      </c>
      <c r="L699" t="s">
        <v>28</v>
      </c>
      <c r="M699">
        <v>16.87</v>
      </c>
      <c r="N699" t="s">
        <v>29</v>
      </c>
      <c r="O699">
        <f t="shared" si="52"/>
        <v>16.87</v>
      </c>
      <c r="P699">
        <f t="shared" si="53"/>
        <v>16.87</v>
      </c>
      <c r="Q699" t="s">
        <v>30</v>
      </c>
      <c r="R699">
        <v>42422</v>
      </c>
      <c r="S699">
        <v>401768</v>
      </c>
      <c r="U699">
        <f t="shared" si="50"/>
        <v>0</v>
      </c>
    </row>
    <row r="700" spans="1:21" ht="15.75" x14ac:dyDescent="0.25">
      <c r="A700" t="s">
        <v>1958</v>
      </c>
      <c r="B700">
        <v>43959</v>
      </c>
      <c r="C700" t="s">
        <v>22</v>
      </c>
      <c r="D700" t="s">
        <v>23</v>
      </c>
      <c r="E700" t="s">
        <v>22</v>
      </c>
      <c r="F700" t="s">
        <v>23</v>
      </c>
      <c r="G700" t="s">
        <v>1959</v>
      </c>
      <c r="H700" t="s">
        <v>1960</v>
      </c>
      <c r="I700" t="s">
        <v>1961</v>
      </c>
      <c r="J700">
        <v>0</v>
      </c>
      <c r="K700" t="s">
        <v>1962</v>
      </c>
      <c r="L700" t="s">
        <v>28</v>
      </c>
      <c r="M700">
        <v>587</v>
      </c>
      <c r="N700" t="s">
        <v>29</v>
      </c>
      <c r="O700">
        <f t="shared" si="52"/>
        <v>587</v>
      </c>
      <c r="P700">
        <f t="shared" si="53"/>
        <v>587</v>
      </c>
      <c r="Q700" t="s">
        <v>30</v>
      </c>
      <c r="R700">
        <v>45159</v>
      </c>
      <c r="S700">
        <v>401768</v>
      </c>
      <c r="U700">
        <f t="shared" si="50"/>
        <v>0</v>
      </c>
    </row>
    <row r="701" spans="1:21" ht="15.75" x14ac:dyDescent="0.25">
      <c r="A701" t="s">
        <v>1963</v>
      </c>
      <c r="B701">
        <v>43959</v>
      </c>
      <c r="C701" t="s">
        <v>22</v>
      </c>
      <c r="D701" t="s">
        <v>23</v>
      </c>
      <c r="E701" t="s">
        <v>22</v>
      </c>
      <c r="F701" t="s">
        <v>23</v>
      </c>
      <c r="G701" t="s">
        <v>1959</v>
      </c>
      <c r="H701" t="s">
        <v>1960</v>
      </c>
      <c r="I701" t="s">
        <v>1964</v>
      </c>
      <c r="J701">
        <v>0</v>
      </c>
      <c r="K701" t="s">
        <v>1965</v>
      </c>
      <c r="L701" t="s">
        <v>28</v>
      </c>
      <c r="M701">
        <v>347</v>
      </c>
      <c r="N701" t="s">
        <v>29</v>
      </c>
      <c r="O701">
        <f t="shared" si="52"/>
        <v>347</v>
      </c>
      <c r="P701">
        <f t="shared" si="53"/>
        <v>347</v>
      </c>
      <c r="Q701" t="s">
        <v>30</v>
      </c>
      <c r="R701">
        <v>45159</v>
      </c>
      <c r="S701">
        <v>401768</v>
      </c>
      <c r="U701">
        <f t="shared" si="50"/>
        <v>0</v>
      </c>
    </row>
    <row r="702" spans="1:21" ht="15.75" x14ac:dyDescent="0.25">
      <c r="A702" t="s">
        <v>1966</v>
      </c>
      <c r="B702">
        <v>45159</v>
      </c>
      <c r="C702" t="s">
        <v>22</v>
      </c>
      <c r="D702" t="s">
        <v>23</v>
      </c>
      <c r="E702" t="s">
        <v>22</v>
      </c>
      <c r="F702" t="s">
        <v>23</v>
      </c>
      <c r="G702" t="s">
        <v>1959</v>
      </c>
      <c r="H702" t="s">
        <v>1960</v>
      </c>
      <c r="I702" t="s">
        <v>1967</v>
      </c>
      <c r="J702">
        <v>0</v>
      </c>
      <c r="K702" t="s">
        <v>1968</v>
      </c>
      <c r="L702" t="s">
        <v>28</v>
      </c>
      <c r="M702">
        <v>8310</v>
      </c>
      <c r="N702" t="s">
        <v>29</v>
      </c>
      <c r="O702">
        <f t="shared" si="52"/>
        <v>8310</v>
      </c>
      <c r="P702">
        <f t="shared" si="53"/>
        <v>8310</v>
      </c>
      <c r="Q702" t="s">
        <v>30</v>
      </c>
      <c r="R702">
        <v>45159</v>
      </c>
      <c r="S702">
        <v>401768</v>
      </c>
      <c r="U702">
        <f t="shared" si="50"/>
        <v>0</v>
      </c>
    </row>
    <row r="703" spans="1:21" ht="15.75" x14ac:dyDescent="0.25">
      <c r="A703" t="s">
        <v>1969</v>
      </c>
      <c r="B703">
        <v>45161</v>
      </c>
      <c r="C703" t="s">
        <v>22</v>
      </c>
      <c r="D703" t="s">
        <v>23</v>
      </c>
      <c r="E703" t="s">
        <v>22</v>
      </c>
      <c r="F703" t="s">
        <v>23</v>
      </c>
      <c r="G703" t="s">
        <v>1959</v>
      </c>
      <c r="H703" t="s">
        <v>1960</v>
      </c>
      <c r="I703" t="s">
        <v>1967</v>
      </c>
      <c r="J703">
        <v>0</v>
      </c>
      <c r="K703" t="s">
        <v>1968</v>
      </c>
      <c r="L703" t="s">
        <v>28</v>
      </c>
      <c r="M703">
        <v>8310</v>
      </c>
      <c r="N703" t="s">
        <v>29</v>
      </c>
      <c r="O703">
        <f t="shared" si="52"/>
        <v>8310</v>
      </c>
      <c r="P703">
        <f t="shared" si="53"/>
        <v>8310</v>
      </c>
      <c r="Q703" t="s">
        <v>30</v>
      </c>
      <c r="R703">
        <v>45161</v>
      </c>
      <c r="S703">
        <v>401768</v>
      </c>
      <c r="U703">
        <f t="shared" si="50"/>
        <v>0</v>
      </c>
    </row>
    <row r="704" spans="1:21" ht="15.75" x14ac:dyDescent="0.25">
      <c r="A704" t="s">
        <v>1970</v>
      </c>
      <c r="B704">
        <v>44370</v>
      </c>
      <c r="C704" t="s">
        <v>22</v>
      </c>
      <c r="D704" t="s">
        <v>23</v>
      </c>
      <c r="E704" t="s">
        <v>22</v>
      </c>
      <c r="F704" t="s">
        <v>23</v>
      </c>
      <c r="G704" t="s">
        <v>1971</v>
      </c>
      <c r="H704" t="s">
        <v>1972</v>
      </c>
      <c r="I704" t="s">
        <v>352</v>
      </c>
      <c r="J704">
        <v>0</v>
      </c>
      <c r="K704" t="s">
        <v>353</v>
      </c>
      <c r="L704" t="s">
        <v>28</v>
      </c>
      <c r="M704">
        <v>57</v>
      </c>
      <c r="N704" t="s">
        <v>29</v>
      </c>
      <c r="O704">
        <f t="shared" si="52"/>
        <v>57</v>
      </c>
      <c r="P704">
        <f t="shared" si="53"/>
        <v>57</v>
      </c>
      <c r="Q704" t="s">
        <v>30</v>
      </c>
      <c r="R704">
        <v>44370</v>
      </c>
      <c r="S704">
        <v>401768</v>
      </c>
      <c r="U704">
        <f t="shared" si="50"/>
        <v>0</v>
      </c>
    </row>
    <row r="705" spans="1:21" ht="15.75" x14ac:dyDescent="0.25">
      <c r="A705" t="s">
        <v>1973</v>
      </c>
      <c r="B705">
        <v>44370</v>
      </c>
      <c r="C705" t="s">
        <v>22</v>
      </c>
      <c r="D705" t="s">
        <v>23</v>
      </c>
      <c r="E705" t="s">
        <v>22</v>
      </c>
      <c r="F705" t="s">
        <v>23</v>
      </c>
      <c r="G705" t="s">
        <v>1971</v>
      </c>
      <c r="H705" t="s">
        <v>1972</v>
      </c>
      <c r="I705" t="s">
        <v>382</v>
      </c>
      <c r="J705">
        <v>0</v>
      </c>
      <c r="K705" t="s">
        <v>383</v>
      </c>
      <c r="L705" t="s">
        <v>28</v>
      </c>
      <c r="M705">
        <v>1460</v>
      </c>
      <c r="N705" t="s">
        <v>29</v>
      </c>
      <c r="O705">
        <f t="shared" si="52"/>
        <v>1460</v>
      </c>
      <c r="P705">
        <f t="shared" si="53"/>
        <v>1460</v>
      </c>
      <c r="Q705" t="s">
        <v>30</v>
      </c>
      <c r="R705">
        <v>44370</v>
      </c>
      <c r="S705">
        <v>401768</v>
      </c>
      <c r="U705">
        <f t="shared" si="50"/>
        <v>0</v>
      </c>
    </row>
    <row r="706" spans="1:21" ht="15.75" x14ac:dyDescent="0.25">
      <c r="A706" t="s">
        <v>1974</v>
      </c>
      <c r="B706">
        <v>44590</v>
      </c>
      <c r="C706" t="s">
        <v>22</v>
      </c>
      <c r="D706" t="s">
        <v>23</v>
      </c>
      <c r="E706" t="s">
        <v>22</v>
      </c>
      <c r="F706" t="s">
        <v>23</v>
      </c>
      <c r="G706" t="s">
        <v>1971</v>
      </c>
      <c r="H706" t="s">
        <v>1972</v>
      </c>
      <c r="I706" t="s">
        <v>1975</v>
      </c>
      <c r="J706">
        <v>0</v>
      </c>
      <c r="K706" t="s">
        <v>1976</v>
      </c>
      <c r="L706" t="s">
        <v>28</v>
      </c>
      <c r="M706">
        <v>812</v>
      </c>
      <c r="N706" t="s">
        <v>29</v>
      </c>
      <c r="O706">
        <f t="shared" si="52"/>
        <v>812</v>
      </c>
      <c r="P706">
        <f t="shared" si="53"/>
        <v>812</v>
      </c>
      <c r="Q706" t="s">
        <v>30</v>
      </c>
      <c r="R706">
        <v>46102</v>
      </c>
      <c r="S706">
        <v>401768</v>
      </c>
      <c r="U706">
        <f t="shared" si="50"/>
        <v>0</v>
      </c>
    </row>
    <row r="707" spans="1:21" ht="15.75" x14ac:dyDescent="0.25">
      <c r="A707" t="s">
        <v>1977</v>
      </c>
      <c r="B707">
        <v>44590</v>
      </c>
      <c r="C707" t="s">
        <v>22</v>
      </c>
      <c r="D707" t="s">
        <v>23</v>
      </c>
      <c r="E707" t="s">
        <v>22</v>
      </c>
      <c r="F707" t="s">
        <v>23</v>
      </c>
      <c r="G707" t="s">
        <v>1971</v>
      </c>
      <c r="H707" t="s">
        <v>1972</v>
      </c>
      <c r="I707" t="s">
        <v>1978</v>
      </c>
      <c r="J707">
        <v>0</v>
      </c>
      <c r="K707" t="s">
        <v>1979</v>
      </c>
      <c r="L707" t="s">
        <v>28</v>
      </c>
      <c r="M707">
        <v>396</v>
      </c>
      <c r="N707" t="s">
        <v>29</v>
      </c>
      <c r="O707">
        <f t="shared" si="52"/>
        <v>396</v>
      </c>
      <c r="P707">
        <f t="shared" si="53"/>
        <v>396</v>
      </c>
      <c r="Q707" t="s">
        <v>30</v>
      </c>
      <c r="R707">
        <v>46102</v>
      </c>
      <c r="S707">
        <v>401768</v>
      </c>
      <c r="U707">
        <f t="shared" ref="U707:U770" si="54">T707*P707/100000</f>
        <v>0</v>
      </c>
    </row>
    <row r="708" spans="1:21" ht="15.75" x14ac:dyDescent="0.25">
      <c r="A708" t="s">
        <v>1980</v>
      </c>
      <c r="B708">
        <v>45664</v>
      </c>
      <c r="C708" t="s">
        <v>22</v>
      </c>
      <c r="D708" t="s">
        <v>23</v>
      </c>
      <c r="E708" t="s">
        <v>22</v>
      </c>
      <c r="F708" t="s">
        <v>23</v>
      </c>
      <c r="G708" t="s">
        <v>1971</v>
      </c>
      <c r="H708" t="s">
        <v>1972</v>
      </c>
      <c r="I708" t="s">
        <v>385</v>
      </c>
      <c r="J708">
        <v>0</v>
      </c>
      <c r="K708" t="s">
        <v>386</v>
      </c>
      <c r="L708" t="s">
        <v>28</v>
      </c>
      <c r="M708">
        <v>230.74</v>
      </c>
      <c r="N708" t="s">
        <v>29</v>
      </c>
      <c r="O708">
        <f t="shared" si="52"/>
        <v>230.74</v>
      </c>
      <c r="P708">
        <f t="shared" si="53"/>
        <v>230.74</v>
      </c>
      <c r="Q708" t="s">
        <v>30</v>
      </c>
      <c r="R708">
        <v>45664</v>
      </c>
      <c r="S708">
        <v>401768</v>
      </c>
      <c r="U708">
        <f t="shared" si="54"/>
        <v>0</v>
      </c>
    </row>
    <row r="709" spans="1:21" ht="15.75" x14ac:dyDescent="0.25">
      <c r="A709" t="s">
        <v>1981</v>
      </c>
      <c r="B709">
        <v>45803</v>
      </c>
      <c r="C709" t="s">
        <v>22</v>
      </c>
      <c r="D709" t="s">
        <v>23</v>
      </c>
      <c r="E709" t="s">
        <v>22</v>
      </c>
      <c r="F709" t="s">
        <v>23</v>
      </c>
      <c r="G709" t="s">
        <v>1971</v>
      </c>
      <c r="H709" t="s">
        <v>1972</v>
      </c>
      <c r="I709" t="s">
        <v>349</v>
      </c>
      <c r="J709">
        <v>0</v>
      </c>
      <c r="K709" t="s">
        <v>350</v>
      </c>
      <c r="L709" t="s">
        <v>28</v>
      </c>
      <c r="M709">
        <v>42</v>
      </c>
      <c r="N709" t="s">
        <v>29</v>
      </c>
      <c r="O709">
        <f t="shared" si="52"/>
        <v>42</v>
      </c>
      <c r="P709">
        <f t="shared" si="53"/>
        <v>42</v>
      </c>
      <c r="Q709" t="s">
        <v>30</v>
      </c>
      <c r="R709">
        <v>45803</v>
      </c>
      <c r="S709">
        <v>401768</v>
      </c>
      <c r="U709">
        <f t="shared" si="54"/>
        <v>0</v>
      </c>
    </row>
    <row r="710" spans="1:21" ht="15.75" x14ac:dyDescent="0.25">
      <c r="A710" t="s">
        <v>1982</v>
      </c>
      <c r="B710">
        <v>46165</v>
      </c>
      <c r="C710" t="s">
        <v>22</v>
      </c>
      <c r="D710" t="s">
        <v>23</v>
      </c>
      <c r="E710" t="s">
        <v>30</v>
      </c>
      <c r="F710" t="s">
        <v>30</v>
      </c>
      <c r="G710" t="s">
        <v>1971</v>
      </c>
      <c r="H710" t="s">
        <v>1972</v>
      </c>
      <c r="I710" t="s">
        <v>1983</v>
      </c>
      <c r="J710">
        <v>0</v>
      </c>
      <c r="K710" t="s">
        <v>1984</v>
      </c>
      <c r="L710" t="s">
        <v>28</v>
      </c>
      <c r="M710">
        <v>812</v>
      </c>
      <c r="N710" t="s">
        <v>29</v>
      </c>
      <c r="O710">
        <f t="shared" si="52"/>
        <v>812</v>
      </c>
      <c r="P710">
        <f t="shared" si="53"/>
        <v>812</v>
      </c>
      <c r="Q710" t="s">
        <v>30</v>
      </c>
      <c r="R710">
        <v>46165</v>
      </c>
      <c r="S710">
        <v>401768</v>
      </c>
      <c r="U710">
        <f t="shared" si="54"/>
        <v>0</v>
      </c>
    </row>
    <row r="711" spans="1:21" ht="15.75" x14ac:dyDescent="0.25">
      <c r="A711" t="s">
        <v>1985</v>
      </c>
      <c r="B711">
        <v>46165</v>
      </c>
      <c r="C711" t="s">
        <v>22</v>
      </c>
      <c r="D711" t="s">
        <v>23</v>
      </c>
      <c r="E711" t="s">
        <v>30</v>
      </c>
      <c r="F711" t="s">
        <v>30</v>
      </c>
      <c r="G711" t="s">
        <v>1971</v>
      </c>
      <c r="H711" t="s">
        <v>1972</v>
      </c>
      <c r="I711" t="s">
        <v>1986</v>
      </c>
      <c r="J711">
        <v>0</v>
      </c>
      <c r="K711" t="s">
        <v>1987</v>
      </c>
      <c r="L711" t="s">
        <v>28</v>
      </c>
      <c r="M711">
        <v>396</v>
      </c>
      <c r="N711" t="s">
        <v>29</v>
      </c>
      <c r="O711">
        <f t="shared" si="52"/>
        <v>396</v>
      </c>
      <c r="P711">
        <f t="shared" si="53"/>
        <v>396</v>
      </c>
      <c r="Q711" t="s">
        <v>30</v>
      </c>
      <c r="R711">
        <v>46165</v>
      </c>
      <c r="S711">
        <v>401768</v>
      </c>
      <c r="U711">
        <f t="shared" si="54"/>
        <v>0</v>
      </c>
    </row>
    <row r="712" spans="1:21" ht="15.75" x14ac:dyDescent="0.25">
      <c r="A712" t="s">
        <v>1988</v>
      </c>
      <c r="B712">
        <v>43959</v>
      </c>
      <c r="C712" t="s">
        <v>22</v>
      </c>
      <c r="D712" t="s">
        <v>23</v>
      </c>
      <c r="E712" t="s">
        <v>22</v>
      </c>
      <c r="F712" t="s">
        <v>23</v>
      </c>
      <c r="G712" t="s">
        <v>1989</v>
      </c>
      <c r="H712" t="s">
        <v>1990</v>
      </c>
      <c r="I712" t="s">
        <v>948</v>
      </c>
      <c r="J712">
        <v>0</v>
      </c>
      <c r="K712" t="s">
        <v>949</v>
      </c>
      <c r="L712" t="s">
        <v>28</v>
      </c>
      <c r="M712">
        <v>0.2</v>
      </c>
      <c r="N712" t="s">
        <v>160</v>
      </c>
      <c r="O712">
        <v>95</v>
      </c>
      <c r="P712">
        <f>O712*M712</f>
        <v>19</v>
      </c>
      <c r="Q712" t="s">
        <v>30</v>
      </c>
      <c r="R712">
        <v>42357</v>
      </c>
      <c r="S712">
        <v>401768</v>
      </c>
      <c r="U712">
        <f t="shared" si="54"/>
        <v>0</v>
      </c>
    </row>
    <row r="713" spans="1:21" ht="15.75" x14ac:dyDescent="0.25">
      <c r="A713" t="s">
        <v>1991</v>
      </c>
      <c r="B713">
        <v>43959</v>
      </c>
      <c r="C713" t="s">
        <v>22</v>
      </c>
      <c r="D713" t="s">
        <v>23</v>
      </c>
      <c r="E713" t="s">
        <v>22</v>
      </c>
      <c r="F713" t="s">
        <v>23</v>
      </c>
      <c r="G713" t="s">
        <v>1989</v>
      </c>
      <c r="H713" t="s">
        <v>1990</v>
      </c>
      <c r="I713" t="s">
        <v>1992</v>
      </c>
      <c r="J713">
        <v>0</v>
      </c>
      <c r="K713" t="s">
        <v>1993</v>
      </c>
      <c r="L713" t="s">
        <v>28</v>
      </c>
      <c r="M713">
        <v>0.2</v>
      </c>
      <c r="N713" t="s">
        <v>160</v>
      </c>
      <c r="O713">
        <v>95</v>
      </c>
      <c r="P713">
        <f>O713*M713</f>
        <v>19</v>
      </c>
      <c r="Q713" t="s">
        <v>30</v>
      </c>
      <c r="R713">
        <v>42357</v>
      </c>
      <c r="S713">
        <v>401768</v>
      </c>
      <c r="U713">
        <f t="shared" si="54"/>
        <v>0</v>
      </c>
    </row>
    <row r="714" spans="1:21" ht="15.75" x14ac:dyDescent="0.25">
      <c r="A714" t="s">
        <v>1994</v>
      </c>
      <c r="B714">
        <v>43959</v>
      </c>
      <c r="C714" t="s">
        <v>22</v>
      </c>
      <c r="D714" t="s">
        <v>23</v>
      </c>
      <c r="E714" t="s">
        <v>22</v>
      </c>
      <c r="F714" t="s">
        <v>23</v>
      </c>
      <c r="G714" t="s">
        <v>1989</v>
      </c>
      <c r="H714" t="s">
        <v>1990</v>
      </c>
      <c r="I714" t="s">
        <v>951</v>
      </c>
      <c r="J714">
        <v>0</v>
      </c>
      <c r="K714" t="s">
        <v>952</v>
      </c>
      <c r="L714" t="s">
        <v>28</v>
      </c>
      <c r="M714">
        <v>0.8</v>
      </c>
      <c r="N714" t="s">
        <v>160</v>
      </c>
      <c r="O714">
        <v>95</v>
      </c>
      <c r="P714">
        <f>O714*M714</f>
        <v>76</v>
      </c>
      <c r="Q714" t="s">
        <v>30</v>
      </c>
      <c r="R714">
        <v>42357</v>
      </c>
      <c r="S714">
        <v>401768</v>
      </c>
      <c r="U714">
        <f t="shared" si="54"/>
        <v>0</v>
      </c>
    </row>
    <row r="715" spans="1:21" ht="15.75" x14ac:dyDescent="0.25">
      <c r="A715" t="s">
        <v>1995</v>
      </c>
      <c r="B715">
        <v>43959</v>
      </c>
      <c r="C715" t="s">
        <v>22</v>
      </c>
      <c r="D715" t="s">
        <v>23</v>
      </c>
      <c r="E715" t="s">
        <v>22</v>
      </c>
      <c r="F715" t="s">
        <v>23</v>
      </c>
      <c r="G715" t="s">
        <v>1989</v>
      </c>
      <c r="H715" t="s">
        <v>1990</v>
      </c>
      <c r="I715" t="s">
        <v>957</v>
      </c>
      <c r="J715">
        <v>0</v>
      </c>
      <c r="K715" t="s">
        <v>958</v>
      </c>
      <c r="L715" t="s">
        <v>28</v>
      </c>
      <c r="M715">
        <v>0.75</v>
      </c>
      <c r="N715" t="s">
        <v>160</v>
      </c>
      <c r="O715">
        <v>95</v>
      </c>
      <c r="P715">
        <f>O715*M715</f>
        <v>71.25</v>
      </c>
      <c r="Q715" t="s">
        <v>30</v>
      </c>
      <c r="R715">
        <v>42357</v>
      </c>
      <c r="S715">
        <v>401768</v>
      </c>
      <c r="U715">
        <f t="shared" si="54"/>
        <v>0</v>
      </c>
    </row>
    <row r="716" spans="1:21" ht="15.75" x14ac:dyDescent="0.25">
      <c r="A716" t="s">
        <v>1996</v>
      </c>
      <c r="B716">
        <v>43959</v>
      </c>
      <c r="C716" t="s">
        <v>22</v>
      </c>
      <c r="D716" t="s">
        <v>23</v>
      </c>
      <c r="E716" t="s">
        <v>22</v>
      </c>
      <c r="F716" t="s">
        <v>23</v>
      </c>
      <c r="G716" t="s">
        <v>1989</v>
      </c>
      <c r="H716" t="s">
        <v>1990</v>
      </c>
      <c r="I716" t="s">
        <v>960</v>
      </c>
      <c r="J716">
        <v>0</v>
      </c>
      <c r="K716" t="s">
        <v>961</v>
      </c>
      <c r="L716" t="s">
        <v>28</v>
      </c>
      <c r="M716">
        <v>0.51</v>
      </c>
      <c r="N716" t="s">
        <v>160</v>
      </c>
      <c r="O716">
        <v>95</v>
      </c>
      <c r="P716">
        <f>O716*M716</f>
        <v>48.45</v>
      </c>
      <c r="Q716" t="s">
        <v>30</v>
      </c>
      <c r="R716">
        <v>42357</v>
      </c>
      <c r="S716">
        <v>401768</v>
      </c>
      <c r="U716">
        <f t="shared" si="54"/>
        <v>0</v>
      </c>
    </row>
    <row r="717" spans="1:21" ht="15.75" x14ac:dyDescent="0.25">
      <c r="A717" t="s">
        <v>1997</v>
      </c>
      <c r="B717">
        <v>43959</v>
      </c>
      <c r="C717" t="s">
        <v>22</v>
      </c>
      <c r="D717" t="s">
        <v>23</v>
      </c>
      <c r="E717" t="s">
        <v>22</v>
      </c>
      <c r="F717" t="s">
        <v>23</v>
      </c>
      <c r="G717" t="s">
        <v>1998</v>
      </c>
      <c r="H717" t="s">
        <v>1999</v>
      </c>
      <c r="I717" t="s">
        <v>2000</v>
      </c>
      <c r="J717">
        <v>0</v>
      </c>
      <c r="K717" t="s">
        <v>2001</v>
      </c>
      <c r="L717" t="s">
        <v>28</v>
      </c>
      <c r="M717">
        <v>92</v>
      </c>
      <c r="N717" t="s">
        <v>29</v>
      </c>
      <c r="O717">
        <f t="shared" ref="O717:O740" si="55">M717</f>
        <v>92</v>
      </c>
      <c r="P717">
        <f t="shared" ref="P717:P740" si="56">O717</f>
        <v>92</v>
      </c>
      <c r="Q717" t="s">
        <v>30</v>
      </c>
      <c r="R717">
        <v>44627</v>
      </c>
      <c r="S717">
        <v>401768</v>
      </c>
      <c r="U717">
        <f t="shared" si="54"/>
        <v>0</v>
      </c>
    </row>
    <row r="718" spans="1:21" ht="15.75" x14ac:dyDescent="0.25">
      <c r="A718" t="s">
        <v>2002</v>
      </c>
      <c r="B718">
        <v>43959</v>
      </c>
      <c r="C718" t="s">
        <v>22</v>
      </c>
      <c r="D718" t="s">
        <v>23</v>
      </c>
      <c r="E718" t="s">
        <v>22</v>
      </c>
      <c r="F718" t="s">
        <v>23</v>
      </c>
      <c r="G718" t="s">
        <v>2003</v>
      </c>
      <c r="H718" t="s">
        <v>2004</v>
      </c>
      <c r="I718" t="s">
        <v>2005</v>
      </c>
      <c r="J718">
        <v>0</v>
      </c>
      <c r="K718" t="s">
        <v>2006</v>
      </c>
      <c r="L718" t="s">
        <v>28</v>
      </c>
      <c r="M718">
        <v>46</v>
      </c>
      <c r="N718" t="s">
        <v>29</v>
      </c>
      <c r="O718">
        <f t="shared" si="55"/>
        <v>46</v>
      </c>
      <c r="P718">
        <f t="shared" si="56"/>
        <v>46</v>
      </c>
      <c r="Q718" t="s">
        <v>30</v>
      </c>
      <c r="R718">
        <v>41475</v>
      </c>
      <c r="S718">
        <v>401768</v>
      </c>
      <c r="U718">
        <f t="shared" si="54"/>
        <v>0</v>
      </c>
    </row>
    <row r="719" spans="1:21" ht="15.75" x14ac:dyDescent="0.25">
      <c r="A719" t="s">
        <v>2007</v>
      </c>
      <c r="B719">
        <v>43959</v>
      </c>
      <c r="C719" t="s">
        <v>22</v>
      </c>
      <c r="D719" t="s">
        <v>23</v>
      </c>
      <c r="E719" t="s">
        <v>22</v>
      </c>
      <c r="F719" t="s">
        <v>23</v>
      </c>
      <c r="G719" t="s">
        <v>2003</v>
      </c>
      <c r="H719" t="s">
        <v>2004</v>
      </c>
      <c r="I719" t="s">
        <v>2008</v>
      </c>
      <c r="J719">
        <v>0</v>
      </c>
      <c r="K719" t="s">
        <v>2009</v>
      </c>
      <c r="L719" t="s">
        <v>28</v>
      </c>
      <c r="M719">
        <v>34.479999999999997</v>
      </c>
      <c r="N719" t="s">
        <v>29</v>
      </c>
      <c r="O719">
        <f t="shared" si="55"/>
        <v>34.479999999999997</v>
      </c>
      <c r="P719">
        <f t="shared" si="56"/>
        <v>34.479999999999997</v>
      </c>
      <c r="Q719" t="s">
        <v>30</v>
      </c>
      <c r="R719">
        <v>43465</v>
      </c>
      <c r="S719">
        <v>401768</v>
      </c>
      <c r="U719">
        <f t="shared" si="54"/>
        <v>0</v>
      </c>
    </row>
    <row r="720" spans="1:21" ht="15.75" x14ac:dyDescent="0.25">
      <c r="A720" t="s">
        <v>2010</v>
      </c>
      <c r="B720">
        <v>43959</v>
      </c>
      <c r="C720" t="s">
        <v>22</v>
      </c>
      <c r="D720" t="s">
        <v>23</v>
      </c>
      <c r="E720" t="s">
        <v>22</v>
      </c>
      <c r="F720" t="s">
        <v>23</v>
      </c>
      <c r="G720" t="s">
        <v>2003</v>
      </c>
      <c r="H720" t="s">
        <v>2004</v>
      </c>
      <c r="I720" t="s">
        <v>2011</v>
      </c>
      <c r="J720">
        <v>0</v>
      </c>
      <c r="K720" t="s">
        <v>2012</v>
      </c>
      <c r="L720" t="s">
        <v>28</v>
      </c>
      <c r="M720">
        <v>23</v>
      </c>
      <c r="N720" t="s">
        <v>29</v>
      </c>
      <c r="O720">
        <f t="shared" si="55"/>
        <v>23</v>
      </c>
      <c r="P720">
        <f t="shared" si="56"/>
        <v>23</v>
      </c>
      <c r="Q720" t="s">
        <v>30</v>
      </c>
      <c r="R720">
        <v>41577</v>
      </c>
      <c r="S720">
        <v>401768</v>
      </c>
      <c r="U720">
        <f t="shared" si="54"/>
        <v>0</v>
      </c>
    </row>
    <row r="721" spans="1:21" ht="15.75" x14ac:dyDescent="0.25">
      <c r="A721" t="s">
        <v>2013</v>
      </c>
      <c r="B721">
        <v>43959</v>
      </c>
      <c r="C721" t="s">
        <v>22</v>
      </c>
      <c r="D721" t="s">
        <v>23</v>
      </c>
      <c r="E721" t="s">
        <v>22</v>
      </c>
      <c r="F721" t="s">
        <v>23</v>
      </c>
      <c r="G721" t="s">
        <v>2003</v>
      </c>
      <c r="H721" t="s">
        <v>2004</v>
      </c>
      <c r="I721" t="s">
        <v>2014</v>
      </c>
      <c r="J721">
        <v>0</v>
      </c>
      <c r="K721" t="s">
        <v>2015</v>
      </c>
      <c r="L721" t="s">
        <v>28</v>
      </c>
      <c r="M721">
        <v>60</v>
      </c>
      <c r="N721" t="s">
        <v>29</v>
      </c>
      <c r="O721">
        <f t="shared" si="55"/>
        <v>60</v>
      </c>
      <c r="P721">
        <f t="shared" si="56"/>
        <v>60</v>
      </c>
      <c r="Q721" t="s">
        <v>30</v>
      </c>
      <c r="R721">
        <v>45945</v>
      </c>
      <c r="S721">
        <v>401768</v>
      </c>
      <c r="U721">
        <f t="shared" si="54"/>
        <v>0</v>
      </c>
    </row>
    <row r="722" spans="1:21" ht="15.75" x14ac:dyDescent="0.25">
      <c r="A722" t="s">
        <v>2016</v>
      </c>
      <c r="B722">
        <v>43959</v>
      </c>
      <c r="C722" t="s">
        <v>22</v>
      </c>
      <c r="D722" t="s">
        <v>23</v>
      </c>
      <c r="E722" t="s">
        <v>22</v>
      </c>
      <c r="F722" t="s">
        <v>23</v>
      </c>
      <c r="G722" t="s">
        <v>2003</v>
      </c>
      <c r="H722" t="s">
        <v>2004</v>
      </c>
      <c r="I722" t="s">
        <v>2017</v>
      </c>
      <c r="J722">
        <v>0</v>
      </c>
      <c r="K722" t="s">
        <v>2018</v>
      </c>
      <c r="L722" t="s">
        <v>28</v>
      </c>
      <c r="M722">
        <v>60</v>
      </c>
      <c r="N722" t="s">
        <v>29</v>
      </c>
      <c r="O722">
        <f t="shared" si="55"/>
        <v>60</v>
      </c>
      <c r="P722">
        <f t="shared" si="56"/>
        <v>60</v>
      </c>
      <c r="Q722" t="s">
        <v>30</v>
      </c>
      <c r="R722">
        <v>41395</v>
      </c>
      <c r="S722">
        <v>401768</v>
      </c>
      <c r="U722">
        <f t="shared" si="54"/>
        <v>0</v>
      </c>
    </row>
    <row r="723" spans="1:21" ht="15.75" x14ac:dyDescent="0.25">
      <c r="A723" t="s">
        <v>2019</v>
      </c>
      <c r="B723">
        <v>46161</v>
      </c>
      <c r="C723" t="s">
        <v>22</v>
      </c>
      <c r="D723" t="s">
        <v>23</v>
      </c>
      <c r="E723" t="s">
        <v>30</v>
      </c>
      <c r="F723" t="s">
        <v>30</v>
      </c>
      <c r="G723" t="s">
        <v>2003</v>
      </c>
      <c r="H723" t="s">
        <v>2004</v>
      </c>
      <c r="I723" t="s">
        <v>2020</v>
      </c>
      <c r="J723">
        <v>0</v>
      </c>
      <c r="K723" t="s">
        <v>2021</v>
      </c>
      <c r="L723" t="s">
        <v>28</v>
      </c>
      <c r="M723">
        <v>1000</v>
      </c>
      <c r="N723" t="s">
        <v>29</v>
      </c>
      <c r="O723">
        <f t="shared" si="55"/>
        <v>1000</v>
      </c>
      <c r="P723">
        <f t="shared" si="56"/>
        <v>1000</v>
      </c>
      <c r="Q723" t="s">
        <v>30</v>
      </c>
      <c r="R723">
        <v>46161</v>
      </c>
      <c r="S723">
        <v>401768</v>
      </c>
      <c r="U723">
        <f t="shared" si="54"/>
        <v>0</v>
      </c>
    </row>
    <row r="724" spans="1:21" ht="15.75" x14ac:dyDescent="0.25">
      <c r="A724" t="s">
        <v>2022</v>
      </c>
      <c r="B724">
        <v>44566</v>
      </c>
      <c r="C724" t="s">
        <v>22</v>
      </c>
      <c r="D724" t="s">
        <v>23</v>
      </c>
      <c r="E724" t="s">
        <v>22</v>
      </c>
      <c r="F724" t="s">
        <v>23</v>
      </c>
      <c r="G724" t="s">
        <v>2023</v>
      </c>
      <c r="H724" t="s">
        <v>2024</v>
      </c>
      <c r="I724" t="s">
        <v>1900</v>
      </c>
      <c r="J724">
        <v>0</v>
      </c>
      <c r="K724" t="s">
        <v>1901</v>
      </c>
      <c r="L724" t="s">
        <v>28</v>
      </c>
      <c r="M724">
        <v>92.48</v>
      </c>
      <c r="N724" t="s">
        <v>29</v>
      </c>
      <c r="O724">
        <f t="shared" si="55"/>
        <v>92.48</v>
      </c>
      <c r="P724">
        <f t="shared" si="56"/>
        <v>92.48</v>
      </c>
      <c r="Q724" t="s">
        <v>30</v>
      </c>
      <c r="R724">
        <v>44872</v>
      </c>
      <c r="S724">
        <v>401768</v>
      </c>
      <c r="U724">
        <f t="shared" si="54"/>
        <v>0</v>
      </c>
    </row>
    <row r="725" spans="1:21" ht="15.75" x14ac:dyDescent="0.25">
      <c r="A725" t="s">
        <v>2025</v>
      </c>
      <c r="B725">
        <v>44566</v>
      </c>
      <c r="C725" t="s">
        <v>22</v>
      </c>
      <c r="D725" t="s">
        <v>23</v>
      </c>
      <c r="E725" t="s">
        <v>22</v>
      </c>
      <c r="F725" t="s">
        <v>23</v>
      </c>
      <c r="G725" t="s">
        <v>2023</v>
      </c>
      <c r="H725" t="s">
        <v>2024</v>
      </c>
      <c r="I725" t="s">
        <v>1903</v>
      </c>
      <c r="J725">
        <v>0</v>
      </c>
      <c r="K725" t="s">
        <v>1904</v>
      </c>
      <c r="L725" t="s">
        <v>28</v>
      </c>
      <c r="M725">
        <v>97.79</v>
      </c>
      <c r="N725" t="s">
        <v>29</v>
      </c>
      <c r="O725">
        <f t="shared" si="55"/>
        <v>97.79</v>
      </c>
      <c r="P725">
        <f t="shared" si="56"/>
        <v>97.79</v>
      </c>
      <c r="Q725" t="s">
        <v>30</v>
      </c>
      <c r="R725">
        <v>44872</v>
      </c>
      <c r="S725">
        <v>401768</v>
      </c>
      <c r="U725">
        <f t="shared" si="54"/>
        <v>0</v>
      </c>
    </row>
    <row r="726" spans="1:21" ht="15.75" x14ac:dyDescent="0.25">
      <c r="A726" t="s">
        <v>2026</v>
      </c>
      <c r="B726">
        <v>44590</v>
      </c>
      <c r="C726" t="s">
        <v>22</v>
      </c>
      <c r="D726" t="s">
        <v>23</v>
      </c>
      <c r="E726" t="s">
        <v>22</v>
      </c>
      <c r="F726" t="s">
        <v>23</v>
      </c>
      <c r="G726" t="s">
        <v>2023</v>
      </c>
      <c r="H726" t="s">
        <v>2024</v>
      </c>
      <c r="I726" t="s">
        <v>1909</v>
      </c>
      <c r="J726">
        <v>0</v>
      </c>
      <c r="K726" t="s">
        <v>1910</v>
      </c>
      <c r="L726" t="s">
        <v>28</v>
      </c>
      <c r="M726">
        <v>63.29</v>
      </c>
      <c r="N726" t="s">
        <v>29</v>
      </c>
      <c r="O726">
        <f t="shared" si="55"/>
        <v>63.29</v>
      </c>
      <c r="P726">
        <f t="shared" si="56"/>
        <v>63.29</v>
      </c>
      <c r="Q726" t="s">
        <v>30</v>
      </c>
      <c r="R726">
        <v>44872</v>
      </c>
      <c r="S726">
        <v>401768</v>
      </c>
      <c r="U726">
        <f t="shared" si="54"/>
        <v>0</v>
      </c>
    </row>
    <row r="727" spans="1:21" ht="15.75" x14ac:dyDescent="0.25">
      <c r="A727" t="s">
        <v>2027</v>
      </c>
      <c r="B727">
        <v>44590</v>
      </c>
      <c r="C727" t="s">
        <v>22</v>
      </c>
      <c r="D727" t="s">
        <v>23</v>
      </c>
      <c r="E727" t="s">
        <v>22</v>
      </c>
      <c r="F727" t="s">
        <v>23</v>
      </c>
      <c r="G727" t="s">
        <v>2023</v>
      </c>
      <c r="H727" t="s">
        <v>2024</v>
      </c>
      <c r="I727" t="s">
        <v>1912</v>
      </c>
      <c r="J727">
        <v>0</v>
      </c>
      <c r="K727" t="s">
        <v>1913</v>
      </c>
      <c r="L727" t="s">
        <v>28</v>
      </c>
      <c r="M727">
        <v>150.31</v>
      </c>
      <c r="N727" t="s">
        <v>29</v>
      </c>
      <c r="O727">
        <f t="shared" si="55"/>
        <v>150.31</v>
      </c>
      <c r="P727">
        <f t="shared" si="56"/>
        <v>150.31</v>
      </c>
      <c r="Q727" t="s">
        <v>30</v>
      </c>
      <c r="R727">
        <v>44872</v>
      </c>
      <c r="S727">
        <v>401768</v>
      </c>
      <c r="U727">
        <f t="shared" si="54"/>
        <v>0</v>
      </c>
    </row>
    <row r="728" spans="1:21" ht="15.75" x14ac:dyDescent="0.25">
      <c r="A728" t="s">
        <v>2028</v>
      </c>
      <c r="B728">
        <v>44809</v>
      </c>
      <c r="C728" t="s">
        <v>22</v>
      </c>
      <c r="D728" t="s">
        <v>23</v>
      </c>
      <c r="E728" t="s">
        <v>22</v>
      </c>
      <c r="F728" t="s">
        <v>23</v>
      </c>
      <c r="G728" t="s">
        <v>2023</v>
      </c>
      <c r="H728" t="s">
        <v>2024</v>
      </c>
      <c r="I728" t="s">
        <v>67</v>
      </c>
      <c r="J728">
        <v>0</v>
      </c>
      <c r="K728" t="s">
        <v>68</v>
      </c>
      <c r="L728" t="s">
        <v>28</v>
      </c>
      <c r="M728">
        <v>47782</v>
      </c>
      <c r="N728" t="s">
        <v>29</v>
      </c>
      <c r="O728">
        <f t="shared" si="55"/>
        <v>47782</v>
      </c>
      <c r="P728">
        <f t="shared" si="56"/>
        <v>47782</v>
      </c>
      <c r="Q728" t="s">
        <v>30</v>
      </c>
      <c r="R728">
        <v>44809</v>
      </c>
      <c r="S728">
        <v>401768</v>
      </c>
      <c r="U728">
        <f t="shared" si="54"/>
        <v>0</v>
      </c>
    </row>
    <row r="729" spans="1:21" ht="15.75" x14ac:dyDescent="0.25">
      <c r="A729" t="s">
        <v>2029</v>
      </c>
      <c r="B729">
        <v>44810</v>
      </c>
      <c r="C729" t="s">
        <v>22</v>
      </c>
      <c r="D729" t="s">
        <v>23</v>
      </c>
      <c r="E729" t="s">
        <v>22</v>
      </c>
      <c r="F729" t="s">
        <v>23</v>
      </c>
      <c r="G729" t="s">
        <v>2023</v>
      </c>
      <c r="H729" t="s">
        <v>2024</v>
      </c>
      <c r="I729" t="s">
        <v>315</v>
      </c>
      <c r="J729">
        <v>0</v>
      </c>
      <c r="K729" t="s">
        <v>316</v>
      </c>
      <c r="L729" t="s">
        <v>28</v>
      </c>
      <c r="M729">
        <v>47782</v>
      </c>
      <c r="N729" t="s">
        <v>29</v>
      </c>
      <c r="O729">
        <f t="shared" si="55"/>
        <v>47782</v>
      </c>
      <c r="P729">
        <f t="shared" si="56"/>
        <v>47782</v>
      </c>
      <c r="Q729" t="s">
        <v>30</v>
      </c>
      <c r="R729">
        <v>44810</v>
      </c>
      <c r="S729">
        <v>401768</v>
      </c>
      <c r="U729">
        <f t="shared" si="54"/>
        <v>0</v>
      </c>
    </row>
    <row r="730" spans="1:21" ht="15.75" x14ac:dyDescent="0.25">
      <c r="A730" t="s">
        <v>2030</v>
      </c>
      <c r="B730">
        <v>44970</v>
      </c>
      <c r="C730" t="s">
        <v>22</v>
      </c>
      <c r="D730" t="s">
        <v>23</v>
      </c>
      <c r="E730" t="s">
        <v>22</v>
      </c>
      <c r="F730" t="s">
        <v>23</v>
      </c>
      <c r="G730" t="s">
        <v>2031</v>
      </c>
      <c r="H730" t="s">
        <v>2032</v>
      </c>
      <c r="I730" t="s">
        <v>2033</v>
      </c>
      <c r="J730">
        <v>0</v>
      </c>
      <c r="K730" t="s">
        <v>2034</v>
      </c>
      <c r="L730" t="s">
        <v>28</v>
      </c>
      <c r="M730">
        <v>174.5</v>
      </c>
      <c r="N730" t="s">
        <v>29</v>
      </c>
      <c r="O730">
        <f t="shared" si="55"/>
        <v>174.5</v>
      </c>
      <c r="P730">
        <f t="shared" si="56"/>
        <v>174.5</v>
      </c>
      <c r="Q730" t="s">
        <v>30</v>
      </c>
      <c r="R730">
        <v>44970</v>
      </c>
      <c r="S730">
        <v>401768</v>
      </c>
      <c r="U730">
        <f t="shared" si="54"/>
        <v>0</v>
      </c>
    </row>
    <row r="731" spans="1:21" ht="15.75" x14ac:dyDescent="0.25">
      <c r="A731" t="s">
        <v>2035</v>
      </c>
      <c r="B731">
        <v>45131</v>
      </c>
      <c r="C731" t="s">
        <v>22</v>
      </c>
      <c r="D731" t="s">
        <v>23</v>
      </c>
      <c r="E731" t="s">
        <v>22</v>
      </c>
      <c r="F731" t="s">
        <v>23</v>
      </c>
      <c r="G731" t="s">
        <v>2031</v>
      </c>
      <c r="H731" t="s">
        <v>2032</v>
      </c>
      <c r="I731" t="s">
        <v>2036</v>
      </c>
      <c r="J731">
        <v>0</v>
      </c>
      <c r="K731" t="s">
        <v>2037</v>
      </c>
      <c r="L731" t="s">
        <v>28</v>
      </c>
      <c r="M731">
        <v>70</v>
      </c>
      <c r="N731" t="s">
        <v>29</v>
      </c>
      <c r="O731">
        <f t="shared" si="55"/>
        <v>70</v>
      </c>
      <c r="P731">
        <f t="shared" si="56"/>
        <v>70</v>
      </c>
      <c r="Q731" t="s">
        <v>30</v>
      </c>
      <c r="R731">
        <v>45131</v>
      </c>
      <c r="S731">
        <v>401768</v>
      </c>
      <c r="U731">
        <f t="shared" si="54"/>
        <v>0</v>
      </c>
    </row>
    <row r="732" spans="1:21" ht="15.75" x14ac:dyDescent="0.25">
      <c r="A732" t="s">
        <v>2038</v>
      </c>
      <c r="B732">
        <v>45131</v>
      </c>
      <c r="C732" t="s">
        <v>22</v>
      </c>
      <c r="D732" t="s">
        <v>23</v>
      </c>
      <c r="E732" t="s">
        <v>22</v>
      </c>
      <c r="F732" t="s">
        <v>23</v>
      </c>
      <c r="G732" t="s">
        <v>2031</v>
      </c>
      <c r="H732" t="s">
        <v>2032</v>
      </c>
      <c r="I732" t="s">
        <v>2039</v>
      </c>
      <c r="J732">
        <v>0</v>
      </c>
      <c r="K732" t="s">
        <v>2040</v>
      </c>
      <c r="L732" t="s">
        <v>28</v>
      </c>
      <c r="M732">
        <v>156.5</v>
      </c>
      <c r="N732" t="s">
        <v>29</v>
      </c>
      <c r="O732">
        <f t="shared" si="55"/>
        <v>156.5</v>
      </c>
      <c r="P732">
        <f t="shared" si="56"/>
        <v>156.5</v>
      </c>
      <c r="Q732" t="s">
        <v>30</v>
      </c>
      <c r="R732">
        <v>45131</v>
      </c>
      <c r="S732">
        <v>401768</v>
      </c>
      <c r="U732">
        <f t="shared" si="54"/>
        <v>0</v>
      </c>
    </row>
    <row r="733" spans="1:21" ht="15.75" x14ac:dyDescent="0.25">
      <c r="A733" t="s">
        <v>2041</v>
      </c>
      <c r="B733">
        <v>45140</v>
      </c>
      <c r="C733" t="s">
        <v>22</v>
      </c>
      <c r="D733" t="s">
        <v>23</v>
      </c>
      <c r="E733" t="s">
        <v>22</v>
      </c>
      <c r="F733" t="s">
        <v>23</v>
      </c>
      <c r="G733" t="s">
        <v>2031</v>
      </c>
      <c r="H733" t="s">
        <v>2032</v>
      </c>
      <c r="I733" t="s">
        <v>2042</v>
      </c>
      <c r="J733">
        <v>0</v>
      </c>
      <c r="K733" t="s">
        <v>2043</v>
      </c>
      <c r="L733" t="s">
        <v>28</v>
      </c>
      <c r="M733">
        <v>383.6</v>
      </c>
      <c r="N733" t="s">
        <v>29</v>
      </c>
      <c r="O733">
        <f t="shared" si="55"/>
        <v>383.6</v>
      </c>
      <c r="P733">
        <f t="shared" si="56"/>
        <v>383.6</v>
      </c>
      <c r="Q733" t="s">
        <v>30</v>
      </c>
      <c r="R733">
        <v>45377</v>
      </c>
      <c r="S733">
        <v>401768</v>
      </c>
      <c r="T733">
        <v>6000</v>
      </c>
      <c r="U733">
        <f t="shared" si="54"/>
        <v>23.015999999999998</v>
      </c>
    </row>
    <row r="734" spans="1:21" ht="15.75" x14ac:dyDescent="0.25">
      <c r="A734" t="s">
        <v>2044</v>
      </c>
      <c r="B734">
        <v>45140</v>
      </c>
      <c r="C734" t="s">
        <v>22</v>
      </c>
      <c r="D734" t="s">
        <v>23</v>
      </c>
      <c r="E734" t="s">
        <v>22</v>
      </c>
      <c r="F734" t="s">
        <v>23</v>
      </c>
      <c r="G734" t="s">
        <v>2031</v>
      </c>
      <c r="H734" t="s">
        <v>2032</v>
      </c>
      <c r="I734" t="s">
        <v>2045</v>
      </c>
      <c r="J734">
        <v>0</v>
      </c>
      <c r="K734" t="s">
        <v>2046</v>
      </c>
      <c r="L734" t="s">
        <v>28</v>
      </c>
      <c r="M734">
        <v>475.7</v>
      </c>
      <c r="N734" t="s">
        <v>29</v>
      </c>
      <c r="O734">
        <f t="shared" si="55"/>
        <v>475.7</v>
      </c>
      <c r="P734">
        <f t="shared" si="56"/>
        <v>475.7</v>
      </c>
      <c r="Q734" t="s">
        <v>30</v>
      </c>
      <c r="R734">
        <v>45140</v>
      </c>
      <c r="S734">
        <v>401768</v>
      </c>
      <c r="U734">
        <f t="shared" si="54"/>
        <v>0</v>
      </c>
    </row>
    <row r="735" spans="1:21" ht="15.75" x14ac:dyDescent="0.25">
      <c r="A735" t="s">
        <v>2047</v>
      </c>
      <c r="B735">
        <v>45488</v>
      </c>
      <c r="C735" t="s">
        <v>22</v>
      </c>
      <c r="D735" t="s">
        <v>23</v>
      </c>
      <c r="E735" t="s">
        <v>22</v>
      </c>
      <c r="F735" t="s">
        <v>23</v>
      </c>
      <c r="G735" t="s">
        <v>2031</v>
      </c>
      <c r="H735" t="s">
        <v>2032</v>
      </c>
      <c r="I735" t="s">
        <v>2048</v>
      </c>
      <c r="J735">
        <v>0</v>
      </c>
      <c r="K735" t="s">
        <v>2049</v>
      </c>
      <c r="L735" t="s">
        <v>36</v>
      </c>
      <c r="M735">
        <v>9000</v>
      </c>
      <c r="N735" t="s">
        <v>29</v>
      </c>
      <c r="O735">
        <f t="shared" si="55"/>
        <v>9000</v>
      </c>
      <c r="P735">
        <f t="shared" si="56"/>
        <v>9000</v>
      </c>
      <c r="Q735" t="s">
        <v>30</v>
      </c>
      <c r="R735">
        <v>45488</v>
      </c>
      <c r="S735">
        <v>401768</v>
      </c>
      <c r="U735">
        <f t="shared" si="54"/>
        <v>0</v>
      </c>
    </row>
    <row r="736" spans="1:21" ht="15.75" x14ac:dyDescent="0.25">
      <c r="A736" t="s">
        <v>2050</v>
      </c>
      <c r="B736">
        <v>45500</v>
      </c>
      <c r="C736" t="s">
        <v>22</v>
      </c>
      <c r="D736" t="s">
        <v>23</v>
      </c>
      <c r="E736" t="s">
        <v>22</v>
      </c>
      <c r="F736" t="s">
        <v>23</v>
      </c>
      <c r="G736" t="s">
        <v>2031</v>
      </c>
      <c r="H736" t="s">
        <v>2032</v>
      </c>
      <c r="I736" t="s">
        <v>2051</v>
      </c>
      <c r="J736">
        <v>0</v>
      </c>
      <c r="K736" t="s">
        <v>2052</v>
      </c>
      <c r="L736" t="s">
        <v>28</v>
      </c>
      <c r="M736">
        <v>50</v>
      </c>
      <c r="N736" t="s">
        <v>29</v>
      </c>
      <c r="O736">
        <f t="shared" si="55"/>
        <v>50</v>
      </c>
      <c r="P736">
        <f t="shared" si="56"/>
        <v>50</v>
      </c>
      <c r="Q736" t="s">
        <v>30</v>
      </c>
      <c r="R736">
        <v>45500</v>
      </c>
      <c r="S736">
        <v>401768</v>
      </c>
      <c r="U736">
        <f t="shared" si="54"/>
        <v>0</v>
      </c>
    </row>
    <row r="737" spans="1:21" ht="15.75" x14ac:dyDescent="0.25">
      <c r="A737" t="s">
        <v>2053</v>
      </c>
      <c r="B737">
        <v>45500</v>
      </c>
      <c r="C737" t="s">
        <v>22</v>
      </c>
      <c r="D737" t="s">
        <v>23</v>
      </c>
      <c r="E737" t="s">
        <v>22</v>
      </c>
      <c r="F737" t="s">
        <v>23</v>
      </c>
      <c r="G737" t="s">
        <v>2031</v>
      </c>
      <c r="H737" t="s">
        <v>2032</v>
      </c>
      <c r="I737" t="s">
        <v>2054</v>
      </c>
      <c r="J737">
        <v>0</v>
      </c>
      <c r="K737" t="s">
        <v>2055</v>
      </c>
      <c r="L737" t="s">
        <v>28</v>
      </c>
      <c r="M737">
        <v>50</v>
      </c>
      <c r="N737" t="s">
        <v>29</v>
      </c>
      <c r="O737">
        <f t="shared" si="55"/>
        <v>50</v>
      </c>
      <c r="P737">
        <f t="shared" si="56"/>
        <v>50</v>
      </c>
      <c r="Q737" t="s">
        <v>30</v>
      </c>
      <c r="R737">
        <v>45500</v>
      </c>
      <c r="S737">
        <v>401768</v>
      </c>
      <c r="U737">
        <f t="shared" si="54"/>
        <v>0</v>
      </c>
    </row>
    <row r="738" spans="1:21" ht="15.75" x14ac:dyDescent="0.25">
      <c r="A738" t="s">
        <v>2056</v>
      </c>
      <c r="B738">
        <v>45575</v>
      </c>
      <c r="C738" t="s">
        <v>22</v>
      </c>
      <c r="D738" t="s">
        <v>23</v>
      </c>
      <c r="E738" t="s">
        <v>22</v>
      </c>
      <c r="F738" t="s">
        <v>23</v>
      </c>
      <c r="G738" t="s">
        <v>2031</v>
      </c>
      <c r="H738" t="s">
        <v>2032</v>
      </c>
      <c r="I738" t="s">
        <v>2057</v>
      </c>
      <c r="J738">
        <v>0</v>
      </c>
      <c r="K738" t="s">
        <v>2058</v>
      </c>
      <c r="L738" t="s">
        <v>28</v>
      </c>
      <c r="M738">
        <v>489.26</v>
      </c>
      <c r="N738" t="s">
        <v>29</v>
      </c>
      <c r="O738">
        <f t="shared" si="55"/>
        <v>489.26</v>
      </c>
      <c r="P738">
        <f t="shared" si="56"/>
        <v>489.26</v>
      </c>
      <c r="Q738" t="s">
        <v>30</v>
      </c>
      <c r="R738">
        <v>45575</v>
      </c>
      <c r="S738">
        <v>401768</v>
      </c>
      <c r="U738">
        <f t="shared" si="54"/>
        <v>0</v>
      </c>
    </row>
    <row r="739" spans="1:21" ht="15.75" x14ac:dyDescent="0.25">
      <c r="A739" t="s">
        <v>2059</v>
      </c>
      <c r="B739">
        <v>45591</v>
      </c>
      <c r="C739" t="s">
        <v>22</v>
      </c>
      <c r="D739" t="s">
        <v>23</v>
      </c>
      <c r="E739" t="s">
        <v>22</v>
      </c>
      <c r="F739" t="s">
        <v>23</v>
      </c>
      <c r="G739" t="s">
        <v>2031</v>
      </c>
      <c r="H739" t="s">
        <v>2032</v>
      </c>
      <c r="I739" t="s">
        <v>2060</v>
      </c>
      <c r="J739">
        <v>0</v>
      </c>
      <c r="K739" t="s">
        <v>2061</v>
      </c>
      <c r="L739" t="s">
        <v>28</v>
      </c>
      <c r="M739">
        <v>129.29</v>
      </c>
      <c r="N739" t="s">
        <v>29</v>
      </c>
      <c r="O739">
        <f t="shared" si="55"/>
        <v>129.29</v>
      </c>
      <c r="P739">
        <f t="shared" si="56"/>
        <v>129.29</v>
      </c>
      <c r="Q739" t="s">
        <v>30</v>
      </c>
      <c r="R739">
        <v>45591</v>
      </c>
      <c r="S739">
        <v>401768</v>
      </c>
      <c r="U739">
        <f t="shared" si="54"/>
        <v>0</v>
      </c>
    </row>
    <row r="740" spans="1:21" ht="15.75" x14ac:dyDescent="0.25">
      <c r="A740" t="s">
        <v>2062</v>
      </c>
      <c r="B740">
        <v>45818</v>
      </c>
      <c r="C740" t="s">
        <v>22</v>
      </c>
      <c r="D740" t="s">
        <v>23</v>
      </c>
      <c r="E740" t="s">
        <v>22</v>
      </c>
      <c r="F740" t="s">
        <v>23</v>
      </c>
      <c r="G740" t="s">
        <v>2031</v>
      </c>
      <c r="H740" t="s">
        <v>2032</v>
      </c>
      <c r="I740" t="s">
        <v>2063</v>
      </c>
      <c r="J740">
        <v>0</v>
      </c>
      <c r="K740" t="s">
        <v>2064</v>
      </c>
      <c r="L740" t="s">
        <v>28</v>
      </c>
      <c r="M740">
        <v>489.26</v>
      </c>
      <c r="N740" t="s">
        <v>29</v>
      </c>
      <c r="O740">
        <f t="shared" si="55"/>
        <v>489.26</v>
      </c>
      <c r="P740">
        <f t="shared" si="56"/>
        <v>489.26</v>
      </c>
      <c r="Q740" t="s">
        <v>30</v>
      </c>
      <c r="R740">
        <v>45818</v>
      </c>
      <c r="S740">
        <v>401768</v>
      </c>
      <c r="U740">
        <f t="shared" si="54"/>
        <v>0</v>
      </c>
    </row>
    <row r="741" spans="1:21" ht="15.75" x14ac:dyDescent="0.25">
      <c r="A741" t="s">
        <v>2065</v>
      </c>
      <c r="B741">
        <v>43959</v>
      </c>
      <c r="C741" t="s">
        <v>22</v>
      </c>
      <c r="D741" t="s">
        <v>23</v>
      </c>
      <c r="E741" t="s">
        <v>22</v>
      </c>
      <c r="F741" t="s">
        <v>23</v>
      </c>
      <c r="G741" t="s">
        <v>2066</v>
      </c>
      <c r="H741" t="s">
        <v>2067</v>
      </c>
      <c r="I741" t="s">
        <v>346</v>
      </c>
      <c r="J741">
        <v>0</v>
      </c>
      <c r="K741" t="s">
        <v>347</v>
      </c>
      <c r="L741" t="s">
        <v>28</v>
      </c>
      <c r="M741">
        <v>5.96</v>
      </c>
      <c r="N741" t="s">
        <v>160</v>
      </c>
      <c r="O741">
        <v>95</v>
      </c>
      <c r="P741">
        <f t="shared" ref="P741:P783" si="57">O741*M741</f>
        <v>566.20000000000005</v>
      </c>
      <c r="Q741" t="s">
        <v>30</v>
      </c>
      <c r="R741">
        <v>46164</v>
      </c>
      <c r="S741">
        <v>401768</v>
      </c>
      <c r="U741">
        <f t="shared" si="54"/>
        <v>0</v>
      </c>
    </row>
    <row r="742" spans="1:21" ht="15.75" x14ac:dyDescent="0.25">
      <c r="A742" t="s">
        <v>2068</v>
      </c>
      <c r="B742">
        <v>43959</v>
      </c>
      <c r="C742" t="s">
        <v>22</v>
      </c>
      <c r="D742" t="s">
        <v>23</v>
      </c>
      <c r="E742" t="s">
        <v>22</v>
      </c>
      <c r="F742" t="s">
        <v>23</v>
      </c>
      <c r="G742" t="s">
        <v>2066</v>
      </c>
      <c r="H742" t="s">
        <v>2067</v>
      </c>
      <c r="I742" t="s">
        <v>349</v>
      </c>
      <c r="J742">
        <v>0</v>
      </c>
      <c r="K742" t="s">
        <v>350</v>
      </c>
      <c r="L742" t="s">
        <v>28</v>
      </c>
      <c r="M742">
        <v>0.66</v>
      </c>
      <c r="N742" t="s">
        <v>160</v>
      </c>
      <c r="O742">
        <v>95</v>
      </c>
      <c r="P742">
        <f t="shared" si="57"/>
        <v>62.7</v>
      </c>
      <c r="Q742" t="s">
        <v>30</v>
      </c>
      <c r="R742">
        <v>46164</v>
      </c>
      <c r="S742">
        <v>401768</v>
      </c>
      <c r="T742">
        <v>12000</v>
      </c>
      <c r="U742">
        <f t="shared" si="54"/>
        <v>7.524</v>
      </c>
    </row>
    <row r="743" spans="1:21" ht="15.75" x14ac:dyDescent="0.25">
      <c r="A743" t="s">
        <v>2069</v>
      </c>
      <c r="B743">
        <v>43959</v>
      </c>
      <c r="C743" t="s">
        <v>22</v>
      </c>
      <c r="D743" t="s">
        <v>23</v>
      </c>
      <c r="E743" t="s">
        <v>22</v>
      </c>
      <c r="F743" t="s">
        <v>23</v>
      </c>
      <c r="G743" t="s">
        <v>2066</v>
      </c>
      <c r="H743" t="s">
        <v>2067</v>
      </c>
      <c r="I743" t="s">
        <v>364</v>
      </c>
      <c r="J743">
        <v>0</v>
      </c>
      <c r="K743" t="s">
        <v>365</v>
      </c>
      <c r="L743" t="s">
        <v>28</v>
      </c>
      <c r="M743">
        <v>10.050000000000001</v>
      </c>
      <c r="N743" t="s">
        <v>160</v>
      </c>
      <c r="O743">
        <v>95</v>
      </c>
      <c r="P743">
        <f t="shared" si="57"/>
        <v>954.75000000000011</v>
      </c>
      <c r="Q743" t="s">
        <v>30</v>
      </c>
      <c r="R743">
        <v>46164</v>
      </c>
      <c r="S743">
        <v>401768</v>
      </c>
      <c r="U743">
        <f t="shared" si="54"/>
        <v>0</v>
      </c>
    </row>
    <row r="744" spans="1:21" ht="15.75" x14ac:dyDescent="0.25">
      <c r="A744" t="s">
        <v>2070</v>
      </c>
      <c r="B744">
        <v>43959</v>
      </c>
      <c r="C744" t="s">
        <v>22</v>
      </c>
      <c r="D744" t="s">
        <v>23</v>
      </c>
      <c r="E744" t="s">
        <v>22</v>
      </c>
      <c r="F744" t="s">
        <v>23</v>
      </c>
      <c r="G744" t="s">
        <v>2066</v>
      </c>
      <c r="H744" t="s">
        <v>2067</v>
      </c>
      <c r="I744" t="s">
        <v>400</v>
      </c>
      <c r="J744">
        <v>0</v>
      </c>
      <c r="K744" t="s">
        <v>401</v>
      </c>
      <c r="L744" t="s">
        <v>28</v>
      </c>
      <c r="M744">
        <v>9.83</v>
      </c>
      <c r="N744" t="s">
        <v>160</v>
      </c>
      <c r="O744">
        <v>95</v>
      </c>
      <c r="P744">
        <f t="shared" si="57"/>
        <v>933.85</v>
      </c>
      <c r="Q744" t="s">
        <v>30</v>
      </c>
      <c r="R744">
        <v>46164</v>
      </c>
      <c r="S744">
        <v>401768</v>
      </c>
      <c r="T744">
        <v>200</v>
      </c>
      <c r="U744">
        <f t="shared" si="54"/>
        <v>1.8676999999999999</v>
      </c>
    </row>
    <row r="745" spans="1:21" ht="15.75" x14ac:dyDescent="0.25">
      <c r="A745" t="s">
        <v>2071</v>
      </c>
      <c r="B745">
        <v>43959</v>
      </c>
      <c r="C745" t="s">
        <v>22</v>
      </c>
      <c r="D745" t="s">
        <v>23</v>
      </c>
      <c r="E745" t="s">
        <v>22</v>
      </c>
      <c r="F745" t="s">
        <v>23</v>
      </c>
      <c r="G745" t="s">
        <v>2066</v>
      </c>
      <c r="H745" t="s">
        <v>2067</v>
      </c>
      <c r="I745" t="s">
        <v>370</v>
      </c>
      <c r="J745">
        <v>0</v>
      </c>
      <c r="K745" t="s">
        <v>371</v>
      </c>
      <c r="L745" t="s">
        <v>28</v>
      </c>
      <c r="M745">
        <v>5.74</v>
      </c>
      <c r="N745" t="s">
        <v>160</v>
      </c>
      <c r="O745">
        <v>95</v>
      </c>
      <c r="P745">
        <f t="shared" si="57"/>
        <v>545.30000000000007</v>
      </c>
      <c r="Q745" t="s">
        <v>30</v>
      </c>
      <c r="R745">
        <v>46164</v>
      </c>
      <c r="S745">
        <v>401768</v>
      </c>
      <c r="U745">
        <f t="shared" si="54"/>
        <v>0</v>
      </c>
    </row>
    <row r="746" spans="1:21" ht="15.75" x14ac:dyDescent="0.25">
      <c r="A746" t="s">
        <v>2072</v>
      </c>
      <c r="B746">
        <v>43959</v>
      </c>
      <c r="C746" t="s">
        <v>22</v>
      </c>
      <c r="D746" t="s">
        <v>23</v>
      </c>
      <c r="E746" t="s">
        <v>22</v>
      </c>
      <c r="F746" t="s">
        <v>23</v>
      </c>
      <c r="G746" t="s">
        <v>2066</v>
      </c>
      <c r="H746" t="s">
        <v>2067</v>
      </c>
      <c r="I746" t="s">
        <v>373</v>
      </c>
      <c r="J746">
        <v>0</v>
      </c>
      <c r="K746" t="s">
        <v>374</v>
      </c>
      <c r="L746" t="s">
        <v>28</v>
      </c>
      <c r="M746">
        <v>5.74</v>
      </c>
      <c r="N746" t="s">
        <v>160</v>
      </c>
      <c r="O746">
        <v>95</v>
      </c>
      <c r="P746">
        <f t="shared" si="57"/>
        <v>545.30000000000007</v>
      </c>
      <c r="Q746" t="s">
        <v>30</v>
      </c>
      <c r="R746">
        <v>46164</v>
      </c>
      <c r="S746">
        <v>401768</v>
      </c>
      <c r="U746">
        <f t="shared" si="54"/>
        <v>0</v>
      </c>
    </row>
    <row r="747" spans="1:21" ht="15.75" x14ac:dyDescent="0.25">
      <c r="A747" t="s">
        <v>2073</v>
      </c>
      <c r="B747">
        <v>43959</v>
      </c>
      <c r="C747" t="s">
        <v>22</v>
      </c>
      <c r="D747" t="s">
        <v>23</v>
      </c>
      <c r="E747" t="s">
        <v>22</v>
      </c>
      <c r="F747" t="s">
        <v>23</v>
      </c>
      <c r="G747" t="s">
        <v>2066</v>
      </c>
      <c r="H747" t="s">
        <v>2067</v>
      </c>
      <c r="I747" t="s">
        <v>376</v>
      </c>
      <c r="J747">
        <v>0</v>
      </c>
      <c r="K747" t="s">
        <v>377</v>
      </c>
      <c r="L747" t="s">
        <v>28</v>
      </c>
      <c r="M747">
        <v>2.4900000000000002</v>
      </c>
      <c r="N747" t="s">
        <v>160</v>
      </c>
      <c r="O747">
        <v>95</v>
      </c>
      <c r="P747">
        <f t="shared" si="57"/>
        <v>236.55</v>
      </c>
      <c r="Q747" t="s">
        <v>30</v>
      </c>
      <c r="R747">
        <v>45042</v>
      </c>
      <c r="S747">
        <v>401768</v>
      </c>
      <c r="U747">
        <f t="shared" si="54"/>
        <v>0</v>
      </c>
    </row>
    <row r="748" spans="1:21" ht="15.75" x14ac:dyDescent="0.25">
      <c r="A748" t="s">
        <v>2074</v>
      </c>
      <c r="B748">
        <v>43959</v>
      </c>
      <c r="C748" t="s">
        <v>22</v>
      </c>
      <c r="D748" t="s">
        <v>23</v>
      </c>
      <c r="E748" t="s">
        <v>22</v>
      </c>
      <c r="F748" t="s">
        <v>23</v>
      </c>
      <c r="G748" t="s">
        <v>2066</v>
      </c>
      <c r="H748" t="s">
        <v>2067</v>
      </c>
      <c r="I748" t="s">
        <v>394</v>
      </c>
      <c r="J748">
        <v>0</v>
      </c>
      <c r="K748" t="s">
        <v>395</v>
      </c>
      <c r="L748" t="s">
        <v>28</v>
      </c>
      <c r="M748">
        <v>6.92</v>
      </c>
      <c r="N748" t="s">
        <v>160</v>
      </c>
      <c r="O748">
        <v>95</v>
      </c>
      <c r="P748">
        <f t="shared" si="57"/>
        <v>657.4</v>
      </c>
      <c r="Q748" t="s">
        <v>30</v>
      </c>
      <c r="R748">
        <v>46164</v>
      </c>
      <c r="S748">
        <v>401768</v>
      </c>
      <c r="U748">
        <f t="shared" si="54"/>
        <v>0</v>
      </c>
    </row>
    <row r="749" spans="1:21" ht="15.75" x14ac:dyDescent="0.25">
      <c r="A749" t="s">
        <v>2075</v>
      </c>
      <c r="B749">
        <v>43959</v>
      </c>
      <c r="C749" t="s">
        <v>22</v>
      </c>
      <c r="D749" t="s">
        <v>23</v>
      </c>
      <c r="E749" t="s">
        <v>22</v>
      </c>
      <c r="F749" t="s">
        <v>23</v>
      </c>
      <c r="G749" t="s">
        <v>2066</v>
      </c>
      <c r="H749" t="s">
        <v>2067</v>
      </c>
      <c r="I749" t="s">
        <v>397</v>
      </c>
      <c r="J749">
        <v>0</v>
      </c>
      <c r="K749" t="s">
        <v>398</v>
      </c>
      <c r="L749" t="s">
        <v>28</v>
      </c>
      <c r="M749">
        <v>5.26</v>
      </c>
      <c r="N749" t="s">
        <v>160</v>
      </c>
      <c r="O749">
        <v>95</v>
      </c>
      <c r="P749">
        <f t="shared" si="57"/>
        <v>499.7</v>
      </c>
      <c r="Q749" t="s">
        <v>30</v>
      </c>
      <c r="R749">
        <v>46164</v>
      </c>
      <c r="S749">
        <v>401768</v>
      </c>
      <c r="U749">
        <f t="shared" si="54"/>
        <v>0</v>
      </c>
    </row>
    <row r="750" spans="1:21" ht="15.75" x14ac:dyDescent="0.25">
      <c r="A750" t="s">
        <v>2076</v>
      </c>
      <c r="B750">
        <v>46077</v>
      </c>
      <c r="C750" t="s">
        <v>22</v>
      </c>
      <c r="D750" t="s">
        <v>23</v>
      </c>
      <c r="E750" t="s">
        <v>22</v>
      </c>
      <c r="F750" t="s">
        <v>23</v>
      </c>
      <c r="G750" t="s">
        <v>2066</v>
      </c>
      <c r="H750" t="s">
        <v>2067</v>
      </c>
      <c r="I750" t="s">
        <v>2077</v>
      </c>
      <c r="J750">
        <v>0</v>
      </c>
      <c r="K750" t="s">
        <v>2078</v>
      </c>
      <c r="L750" t="s">
        <v>28</v>
      </c>
      <c r="M750">
        <v>4.5999999999999996</v>
      </c>
      <c r="N750" t="s">
        <v>160</v>
      </c>
      <c r="O750">
        <v>95</v>
      </c>
      <c r="P750">
        <f t="shared" si="57"/>
        <v>436.99999999999994</v>
      </c>
      <c r="Q750" t="s">
        <v>30</v>
      </c>
      <c r="R750">
        <v>46164</v>
      </c>
      <c r="S750">
        <v>401768</v>
      </c>
      <c r="U750">
        <f t="shared" si="54"/>
        <v>0</v>
      </c>
    </row>
    <row r="751" spans="1:21" ht="15.75" x14ac:dyDescent="0.25">
      <c r="A751" t="s">
        <v>2079</v>
      </c>
      <c r="B751">
        <v>43959</v>
      </c>
      <c r="C751" t="s">
        <v>22</v>
      </c>
      <c r="D751" t="s">
        <v>23</v>
      </c>
      <c r="E751" t="s">
        <v>22</v>
      </c>
      <c r="F751" t="s">
        <v>23</v>
      </c>
      <c r="G751" t="s">
        <v>2080</v>
      </c>
      <c r="H751" t="s">
        <v>2081</v>
      </c>
      <c r="I751" t="s">
        <v>346</v>
      </c>
      <c r="J751">
        <v>0</v>
      </c>
      <c r="K751" t="s">
        <v>347</v>
      </c>
      <c r="L751" t="s">
        <v>28</v>
      </c>
      <c r="M751">
        <v>4.34</v>
      </c>
      <c r="N751" t="s">
        <v>160</v>
      </c>
      <c r="O751">
        <v>95</v>
      </c>
      <c r="P751">
        <f t="shared" si="57"/>
        <v>412.3</v>
      </c>
      <c r="Q751" t="s">
        <v>30</v>
      </c>
      <c r="R751">
        <v>42765</v>
      </c>
      <c r="S751">
        <v>401768</v>
      </c>
      <c r="U751">
        <f t="shared" si="54"/>
        <v>0</v>
      </c>
    </row>
    <row r="752" spans="1:21" ht="15.75" x14ac:dyDescent="0.25">
      <c r="A752" t="s">
        <v>2082</v>
      </c>
      <c r="B752">
        <v>43959</v>
      </c>
      <c r="C752" t="s">
        <v>22</v>
      </c>
      <c r="D752" t="s">
        <v>23</v>
      </c>
      <c r="E752" t="s">
        <v>22</v>
      </c>
      <c r="F752" t="s">
        <v>23</v>
      </c>
      <c r="G752" t="s">
        <v>2080</v>
      </c>
      <c r="H752" t="s">
        <v>2081</v>
      </c>
      <c r="I752" t="s">
        <v>2083</v>
      </c>
      <c r="J752">
        <v>0</v>
      </c>
      <c r="K752" t="s">
        <v>2084</v>
      </c>
      <c r="L752" t="s">
        <v>28</v>
      </c>
      <c r="M752">
        <v>7.4999999999999997E-2</v>
      </c>
      <c r="N752" t="s">
        <v>160</v>
      </c>
      <c r="O752">
        <v>95</v>
      </c>
      <c r="P752">
        <f t="shared" si="57"/>
        <v>7.125</v>
      </c>
      <c r="Q752" t="s">
        <v>30</v>
      </c>
      <c r="R752">
        <v>42634</v>
      </c>
      <c r="S752">
        <v>401768</v>
      </c>
      <c r="U752">
        <f t="shared" si="54"/>
        <v>0</v>
      </c>
    </row>
    <row r="753" spans="1:21" ht="15.75" x14ac:dyDescent="0.25">
      <c r="A753" t="s">
        <v>2085</v>
      </c>
      <c r="B753">
        <v>43959</v>
      </c>
      <c r="C753" t="s">
        <v>22</v>
      </c>
      <c r="D753" t="s">
        <v>23</v>
      </c>
      <c r="E753" t="s">
        <v>22</v>
      </c>
      <c r="F753" t="s">
        <v>23</v>
      </c>
      <c r="G753" t="s">
        <v>2080</v>
      </c>
      <c r="H753" t="s">
        <v>2081</v>
      </c>
      <c r="I753" t="s">
        <v>2086</v>
      </c>
      <c r="J753">
        <v>0</v>
      </c>
      <c r="K753" t="s">
        <v>2087</v>
      </c>
      <c r="L753" t="s">
        <v>28</v>
      </c>
      <c r="M753">
        <v>2.85</v>
      </c>
      <c r="N753" t="s">
        <v>160</v>
      </c>
      <c r="O753">
        <v>95</v>
      </c>
      <c r="P753">
        <f t="shared" si="57"/>
        <v>270.75</v>
      </c>
      <c r="Q753" t="s">
        <v>30</v>
      </c>
      <c r="R753">
        <v>42718</v>
      </c>
      <c r="S753">
        <v>401768</v>
      </c>
      <c r="U753">
        <f t="shared" si="54"/>
        <v>0</v>
      </c>
    </row>
    <row r="754" spans="1:21" ht="15.75" x14ac:dyDescent="0.25">
      <c r="A754" t="s">
        <v>2088</v>
      </c>
      <c r="B754">
        <v>43959</v>
      </c>
      <c r="C754" t="s">
        <v>22</v>
      </c>
      <c r="D754" t="s">
        <v>23</v>
      </c>
      <c r="E754" t="s">
        <v>22</v>
      </c>
      <c r="F754" t="s">
        <v>23</v>
      </c>
      <c r="G754" t="s">
        <v>2080</v>
      </c>
      <c r="H754" t="s">
        <v>2081</v>
      </c>
      <c r="I754" t="s">
        <v>349</v>
      </c>
      <c r="J754">
        <v>0</v>
      </c>
      <c r="K754" t="s">
        <v>350</v>
      </c>
      <c r="L754" t="s">
        <v>28</v>
      </c>
      <c r="M754">
        <v>0.48</v>
      </c>
      <c r="N754" t="s">
        <v>160</v>
      </c>
      <c r="O754">
        <v>95</v>
      </c>
      <c r="P754">
        <f t="shared" si="57"/>
        <v>45.6</v>
      </c>
      <c r="Q754" t="s">
        <v>30</v>
      </c>
      <c r="R754">
        <v>44509</v>
      </c>
      <c r="S754">
        <v>401768</v>
      </c>
      <c r="U754">
        <f t="shared" si="54"/>
        <v>0</v>
      </c>
    </row>
    <row r="755" spans="1:21" ht="15.75" x14ac:dyDescent="0.25">
      <c r="A755" t="s">
        <v>2089</v>
      </c>
      <c r="B755">
        <v>43959</v>
      </c>
      <c r="C755" t="s">
        <v>22</v>
      </c>
      <c r="D755" t="s">
        <v>23</v>
      </c>
      <c r="E755" t="s">
        <v>22</v>
      </c>
      <c r="F755" t="s">
        <v>23</v>
      </c>
      <c r="G755" t="s">
        <v>2080</v>
      </c>
      <c r="H755" t="s">
        <v>2081</v>
      </c>
      <c r="I755" t="s">
        <v>352</v>
      </c>
      <c r="J755">
        <v>0</v>
      </c>
      <c r="K755" t="s">
        <v>353</v>
      </c>
      <c r="L755" t="s">
        <v>28</v>
      </c>
      <c r="M755">
        <v>0.78</v>
      </c>
      <c r="N755" t="s">
        <v>160</v>
      </c>
      <c r="O755">
        <v>95</v>
      </c>
      <c r="P755">
        <f t="shared" si="57"/>
        <v>74.100000000000009</v>
      </c>
      <c r="Q755" t="s">
        <v>30</v>
      </c>
      <c r="R755">
        <v>42214</v>
      </c>
      <c r="S755">
        <v>401768</v>
      </c>
      <c r="U755">
        <f t="shared" si="54"/>
        <v>0</v>
      </c>
    </row>
    <row r="756" spans="1:21" ht="15.75" x14ac:dyDescent="0.25">
      <c r="A756" t="s">
        <v>2090</v>
      </c>
      <c r="B756">
        <v>43959</v>
      </c>
      <c r="C756" t="s">
        <v>22</v>
      </c>
      <c r="D756" t="s">
        <v>23</v>
      </c>
      <c r="E756" t="s">
        <v>22</v>
      </c>
      <c r="F756" t="s">
        <v>23</v>
      </c>
      <c r="G756" t="s">
        <v>2080</v>
      </c>
      <c r="H756" t="s">
        <v>2081</v>
      </c>
      <c r="I756" t="s">
        <v>2091</v>
      </c>
      <c r="J756">
        <v>0</v>
      </c>
      <c r="K756" t="s">
        <v>2092</v>
      </c>
      <c r="L756" t="s">
        <v>28</v>
      </c>
      <c r="M756">
        <v>5.61</v>
      </c>
      <c r="N756" t="s">
        <v>160</v>
      </c>
      <c r="O756">
        <v>95</v>
      </c>
      <c r="P756">
        <f t="shared" si="57"/>
        <v>532.95000000000005</v>
      </c>
      <c r="Q756" t="s">
        <v>30</v>
      </c>
      <c r="R756">
        <v>42422</v>
      </c>
      <c r="S756">
        <v>401768</v>
      </c>
      <c r="U756">
        <f t="shared" si="54"/>
        <v>0</v>
      </c>
    </row>
    <row r="757" spans="1:21" ht="15.75" x14ac:dyDescent="0.25">
      <c r="A757" t="s">
        <v>2093</v>
      </c>
      <c r="B757">
        <v>43959</v>
      </c>
      <c r="C757" t="s">
        <v>22</v>
      </c>
      <c r="D757" t="s">
        <v>23</v>
      </c>
      <c r="E757" t="s">
        <v>22</v>
      </c>
      <c r="F757" t="s">
        <v>23</v>
      </c>
      <c r="G757" t="s">
        <v>2080</v>
      </c>
      <c r="H757" t="s">
        <v>2081</v>
      </c>
      <c r="I757" t="s">
        <v>355</v>
      </c>
      <c r="J757">
        <v>0</v>
      </c>
      <c r="K757" t="s">
        <v>356</v>
      </c>
      <c r="L757" t="s">
        <v>28</v>
      </c>
      <c r="M757">
        <v>0.6</v>
      </c>
      <c r="N757" t="s">
        <v>160</v>
      </c>
      <c r="O757">
        <v>95</v>
      </c>
      <c r="P757">
        <f t="shared" si="57"/>
        <v>57</v>
      </c>
      <c r="Q757" t="s">
        <v>30</v>
      </c>
      <c r="R757">
        <v>42479</v>
      </c>
      <c r="S757">
        <v>401768</v>
      </c>
      <c r="U757">
        <f t="shared" si="54"/>
        <v>0</v>
      </c>
    </row>
    <row r="758" spans="1:21" ht="15.75" x14ac:dyDescent="0.25">
      <c r="A758" t="s">
        <v>2094</v>
      </c>
      <c r="B758">
        <v>43959</v>
      </c>
      <c r="C758" t="s">
        <v>22</v>
      </c>
      <c r="D758" t="s">
        <v>23</v>
      </c>
      <c r="E758" t="s">
        <v>22</v>
      </c>
      <c r="F758" t="s">
        <v>23</v>
      </c>
      <c r="G758" t="s">
        <v>2080</v>
      </c>
      <c r="H758" t="s">
        <v>2081</v>
      </c>
      <c r="I758" t="s">
        <v>2095</v>
      </c>
      <c r="J758">
        <v>0</v>
      </c>
      <c r="K758" t="s">
        <v>2096</v>
      </c>
      <c r="L758" t="s">
        <v>28</v>
      </c>
      <c r="M758">
        <v>7.24</v>
      </c>
      <c r="N758" t="s">
        <v>160</v>
      </c>
      <c r="O758">
        <v>95</v>
      </c>
      <c r="P758">
        <f t="shared" si="57"/>
        <v>687.80000000000007</v>
      </c>
      <c r="Q758" t="s">
        <v>30</v>
      </c>
      <c r="R758">
        <v>44639</v>
      </c>
      <c r="S758">
        <v>401768</v>
      </c>
      <c r="U758">
        <f t="shared" si="54"/>
        <v>0</v>
      </c>
    </row>
    <row r="759" spans="1:21" ht="15.75" x14ac:dyDescent="0.25">
      <c r="A759" t="s">
        <v>2097</v>
      </c>
      <c r="B759">
        <v>43959</v>
      </c>
      <c r="C759" t="s">
        <v>22</v>
      </c>
      <c r="D759" t="s">
        <v>23</v>
      </c>
      <c r="E759" t="s">
        <v>22</v>
      </c>
      <c r="F759" t="s">
        <v>23</v>
      </c>
      <c r="G759" t="s">
        <v>2080</v>
      </c>
      <c r="H759" t="s">
        <v>2081</v>
      </c>
      <c r="I759" t="s">
        <v>358</v>
      </c>
      <c r="J759">
        <v>0</v>
      </c>
      <c r="K759" t="s">
        <v>359</v>
      </c>
      <c r="L759" t="s">
        <v>28</v>
      </c>
      <c r="M759">
        <v>5.75</v>
      </c>
      <c r="N759" t="s">
        <v>160</v>
      </c>
      <c r="O759">
        <v>95</v>
      </c>
      <c r="P759">
        <f t="shared" si="57"/>
        <v>546.25</v>
      </c>
      <c r="Q759" t="s">
        <v>30</v>
      </c>
      <c r="R759">
        <v>42422</v>
      </c>
      <c r="S759">
        <v>401768</v>
      </c>
      <c r="U759">
        <f t="shared" si="54"/>
        <v>0</v>
      </c>
    </row>
    <row r="760" spans="1:21" ht="15.75" x14ac:dyDescent="0.25">
      <c r="A760" t="s">
        <v>2098</v>
      </c>
      <c r="B760">
        <v>43959</v>
      </c>
      <c r="C760" t="s">
        <v>22</v>
      </c>
      <c r="D760" t="s">
        <v>23</v>
      </c>
      <c r="E760" t="s">
        <v>22</v>
      </c>
      <c r="F760" t="s">
        <v>23</v>
      </c>
      <c r="G760" t="s">
        <v>2080</v>
      </c>
      <c r="H760" t="s">
        <v>2081</v>
      </c>
      <c r="I760" t="s">
        <v>2099</v>
      </c>
      <c r="J760">
        <v>0</v>
      </c>
      <c r="K760" t="s">
        <v>2100</v>
      </c>
      <c r="L760" t="s">
        <v>28</v>
      </c>
      <c r="M760">
        <v>5.75</v>
      </c>
      <c r="N760" t="s">
        <v>160</v>
      </c>
      <c r="O760">
        <v>95</v>
      </c>
      <c r="P760">
        <f t="shared" si="57"/>
        <v>546.25</v>
      </c>
      <c r="Q760" t="s">
        <v>30</v>
      </c>
      <c r="R760">
        <v>42422</v>
      </c>
      <c r="S760">
        <v>401768</v>
      </c>
      <c r="U760">
        <f t="shared" si="54"/>
        <v>0</v>
      </c>
    </row>
    <row r="761" spans="1:21" ht="15.75" x14ac:dyDescent="0.25">
      <c r="A761" t="s">
        <v>2101</v>
      </c>
      <c r="B761">
        <v>43959</v>
      </c>
      <c r="C761" t="s">
        <v>22</v>
      </c>
      <c r="D761" t="s">
        <v>23</v>
      </c>
      <c r="E761" t="s">
        <v>22</v>
      </c>
      <c r="F761" t="s">
        <v>23</v>
      </c>
      <c r="G761" t="s">
        <v>2080</v>
      </c>
      <c r="H761" t="s">
        <v>2081</v>
      </c>
      <c r="I761" t="s">
        <v>364</v>
      </c>
      <c r="J761">
        <v>0</v>
      </c>
      <c r="K761" t="s">
        <v>365</v>
      </c>
      <c r="L761" t="s">
        <v>28</v>
      </c>
      <c r="M761">
        <v>9.77</v>
      </c>
      <c r="N761" t="s">
        <v>160</v>
      </c>
      <c r="O761">
        <v>95</v>
      </c>
      <c r="P761">
        <f t="shared" si="57"/>
        <v>928.15</v>
      </c>
      <c r="Q761" t="s">
        <v>30</v>
      </c>
      <c r="R761">
        <v>43033</v>
      </c>
      <c r="S761">
        <v>401768</v>
      </c>
      <c r="U761">
        <f t="shared" si="54"/>
        <v>0</v>
      </c>
    </row>
    <row r="762" spans="1:21" ht="15.75" x14ac:dyDescent="0.25">
      <c r="A762" t="s">
        <v>2102</v>
      </c>
      <c r="B762">
        <v>43959</v>
      </c>
      <c r="C762" t="s">
        <v>22</v>
      </c>
      <c r="D762" t="s">
        <v>23</v>
      </c>
      <c r="E762" t="s">
        <v>22</v>
      </c>
      <c r="F762" t="s">
        <v>23</v>
      </c>
      <c r="G762" t="s">
        <v>2080</v>
      </c>
      <c r="H762" t="s">
        <v>2081</v>
      </c>
      <c r="I762" t="s">
        <v>367</v>
      </c>
      <c r="J762">
        <v>0</v>
      </c>
      <c r="K762" t="s">
        <v>368</v>
      </c>
      <c r="L762" t="s">
        <v>28</v>
      </c>
      <c r="M762">
        <v>16.75722</v>
      </c>
      <c r="N762" t="s">
        <v>160</v>
      </c>
      <c r="O762">
        <v>95</v>
      </c>
      <c r="P762">
        <f t="shared" si="57"/>
        <v>1591.9358999999999</v>
      </c>
      <c r="Q762" t="s">
        <v>30</v>
      </c>
      <c r="R762">
        <v>43040</v>
      </c>
      <c r="S762">
        <v>401768</v>
      </c>
      <c r="U762">
        <f t="shared" si="54"/>
        <v>0</v>
      </c>
    </row>
    <row r="763" spans="1:21" ht="15.75" x14ac:dyDescent="0.25">
      <c r="A763" t="s">
        <v>2103</v>
      </c>
      <c r="B763">
        <v>43959</v>
      </c>
      <c r="C763" t="s">
        <v>22</v>
      </c>
      <c r="D763" t="s">
        <v>23</v>
      </c>
      <c r="E763" t="s">
        <v>22</v>
      </c>
      <c r="F763" t="s">
        <v>23</v>
      </c>
      <c r="G763" t="s">
        <v>2080</v>
      </c>
      <c r="H763" t="s">
        <v>2081</v>
      </c>
      <c r="I763" t="s">
        <v>382</v>
      </c>
      <c r="J763">
        <v>0</v>
      </c>
      <c r="K763" t="s">
        <v>383</v>
      </c>
      <c r="L763" t="s">
        <v>28</v>
      </c>
      <c r="M763">
        <v>20.29</v>
      </c>
      <c r="N763" t="s">
        <v>160</v>
      </c>
      <c r="O763">
        <v>95</v>
      </c>
      <c r="P763">
        <f t="shared" si="57"/>
        <v>1927.55</v>
      </c>
      <c r="Q763" t="s">
        <v>30</v>
      </c>
      <c r="R763">
        <v>42884</v>
      </c>
      <c r="S763">
        <v>401768</v>
      </c>
      <c r="U763">
        <f t="shared" si="54"/>
        <v>0</v>
      </c>
    </row>
    <row r="764" spans="1:21" ht="15.75" x14ac:dyDescent="0.25">
      <c r="A764" t="s">
        <v>2104</v>
      </c>
      <c r="B764">
        <v>43959</v>
      </c>
      <c r="C764" t="s">
        <v>22</v>
      </c>
      <c r="D764" t="s">
        <v>23</v>
      </c>
      <c r="E764" t="s">
        <v>22</v>
      </c>
      <c r="F764" t="s">
        <v>23</v>
      </c>
      <c r="G764" t="s">
        <v>2080</v>
      </c>
      <c r="H764" t="s">
        <v>2081</v>
      </c>
      <c r="I764" t="s">
        <v>2105</v>
      </c>
      <c r="J764">
        <v>0</v>
      </c>
      <c r="K764" t="s">
        <v>2106</v>
      </c>
      <c r="L764" t="s">
        <v>28</v>
      </c>
      <c r="M764">
        <v>16.899999999999999</v>
      </c>
      <c r="N764" t="s">
        <v>160</v>
      </c>
      <c r="O764">
        <v>95</v>
      </c>
      <c r="P764">
        <f t="shared" si="57"/>
        <v>1605.4999999999998</v>
      </c>
      <c r="Q764" t="s">
        <v>30</v>
      </c>
      <c r="R764">
        <v>42535</v>
      </c>
      <c r="S764">
        <v>401768</v>
      </c>
      <c r="U764">
        <f t="shared" si="54"/>
        <v>0</v>
      </c>
    </row>
    <row r="765" spans="1:21" ht="15.75" x14ac:dyDescent="0.25">
      <c r="A765" t="s">
        <v>2107</v>
      </c>
      <c r="B765">
        <v>43959</v>
      </c>
      <c r="C765" t="s">
        <v>22</v>
      </c>
      <c r="D765" t="s">
        <v>23</v>
      </c>
      <c r="E765" t="s">
        <v>22</v>
      </c>
      <c r="F765" t="s">
        <v>23</v>
      </c>
      <c r="G765" t="s">
        <v>2080</v>
      </c>
      <c r="H765" t="s">
        <v>2081</v>
      </c>
      <c r="I765" t="s">
        <v>2108</v>
      </c>
      <c r="J765">
        <v>0</v>
      </c>
      <c r="K765" t="s">
        <v>2109</v>
      </c>
      <c r="L765" t="s">
        <v>36</v>
      </c>
      <c r="M765">
        <v>21.5</v>
      </c>
      <c r="N765" t="s">
        <v>160</v>
      </c>
      <c r="O765">
        <v>95</v>
      </c>
      <c r="P765">
        <f t="shared" si="57"/>
        <v>2042.5</v>
      </c>
      <c r="Q765" t="s">
        <v>30</v>
      </c>
      <c r="R765">
        <v>42310</v>
      </c>
      <c r="S765">
        <v>401768</v>
      </c>
      <c r="U765">
        <f t="shared" si="54"/>
        <v>0</v>
      </c>
    </row>
    <row r="766" spans="1:21" ht="15.75" x14ac:dyDescent="0.25">
      <c r="A766" t="s">
        <v>2110</v>
      </c>
      <c r="B766">
        <v>43959</v>
      </c>
      <c r="C766" t="s">
        <v>22</v>
      </c>
      <c r="D766" t="s">
        <v>23</v>
      </c>
      <c r="E766" t="s">
        <v>22</v>
      </c>
      <c r="F766" t="s">
        <v>23</v>
      </c>
      <c r="G766" t="s">
        <v>2080</v>
      </c>
      <c r="H766" t="s">
        <v>2081</v>
      </c>
      <c r="I766" t="s">
        <v>391</v>
      </c>
      <c r="J766">
        <v>0</v>
      </c>
      <c r="K766" t="s">
        <v>392</v>
      </c>
      <c r="L766" t="s">
        <v>28</v>
      </c>
      <c r="M766">
        <v>22.64</v>
      </c>
      <c r="N766" t="s">
        <v>160</v>
      </c>
      <c r="O766">
        <v>95</v>
      </c>
      <c r="P766">
        <f t="shared" si="57"/>
        <v>2150.8000000000002</v>
      </c>
      <c r="Q766" t="s">
        <v>30</v>
      </c>
      <c r="R766">
        <v>42798</v>
      </c>
      <c r="S766">
        <v>401768</v>
      </c>
      <c r="U766">
        <f t="shared" si="54"/>
        <v>0</v>
      </c>
    </row>
    <row r="767" spans="1:21" ht="15.75" x14ac:dyDescent="0.25">
      <c r="A767" t="s">
        <v>2111</v>
      </c>
      <c r="B767">
        <v>43959</v>
      </c>
      <c r="C767" t="s">
        <v>22</v>
      </c>
      <c r="D767" t="s">
        <v>23</v>
      </c>
      <c r="E767" t="s">
        <v>22</v>
      </c>
      <c r="F767" t="s">
        <v>23</v>
      </c>
      <c r="G767" t="s">
        <v>2080</v>
      </c>
      <c r="H767" t="s">
        <v>2081</v>
      </c>
      <c r="I767" t="s">
        <v>394</v>
      </c>
      <c r="J767">
        <v>0</v>
      </c>
      <c r="K767" t="s">
        <v>395</v>
      </c>
      <c r="L767" t="s">
        <v>28</v>
      </c>
      <c r="M767">
        <v>4.8600000000000003</v>
      </c>
      <c r="N767" t="s">
        <v>160</v>
      </c>
      <c r="O767">
        <v>95</v>
      </c>
      <c r="P767">
        <f t="shared" si="57"/>
        <v>461.70000000000005</v>
      </c>
      <c r="Q767" t="s">
        <v>30</v>
      </c>
      <c r="R767">
        <v>42906</v>
      </c>
      <c r="S767">
        <v>401768</v>
      </c>
      <c r="U767">
        <f t="shared" si="54"/>
        <v>0</v>
      </c>
    </row>
    <row r="768" spans="1:21" ht="15.75" x14ac:dyDescent="0.25">
      <c r="A768" t="s">
        <v>2112</v>
      </c>
      <c r="B768">
        <v>43959</v>
      </c>
      <c r="C768" t="s">
        <v>22</v>
      </c>
      <c r="D768" t="s">
        <v>23</v>
      </c>
      <c r="E768" t="s">
        <v>22</v>
      </c>
      <c r="F768" t="s">
        <v>23</v>
      </c>
      <c r="G768" t="s">
        <v>2113</v>
      </c>
      <c r="H768" t="s">
        <v>2114</v>
      </c>
      <c r="I768" t="s">
        <v>349</v>
      </c>
      <c r="J768">
        <v>0</v>
      </c>
      <c r="K768" t="s">
        <v>350</v>
      </c>
      <c r="L768" t="s">
        <v>28</v>
      </c>
      <c r="M768">
        <v>0.66</v>
      </c>
      <c r="N768" t="s">
        <v>160</v>
      </c>
      <c r="O768">
        <v>95</v>
      </c>
      <c r="P768">
        <f t="shared" si="57"/>
        <v>62.7</v>
      </c>
      <c r="Q768" t="s">
        <v>30</v>
      </c>
      <c r="R768">
        <v>46172</v>
      </c>
      <c r="S768">
        <v>401768</v>
      </c>
      <c r="U768">
        <f t="shared" si="54"/>
        <v>0</v>
      </c>
    </row>
    <row r="769" spans="1:21" ht="15.75" x14ac:dyDescent="0.25">
      <c r="A769" t="s">
        <v>2115</v>
      </c>
      <c r="B769">
        <v>43959</v>
      </c>
      <c r="C769" t="s">
        <v>22</v>
      </c>
      <c r="D769" t="s">
        <v>23</v>
      </c>
      <c r="E769" t="s">
        <v>22</v>
      </c>
      <c r="F769" t="s">
        <v>23</v>
      </c>
      <c r="G769" t="s">
        <v>2113</v>
      </c>
      <c r="H769" t="s">
        <v>2114</v>
      </c>
      <c r="I769" t="s">
        <v>352</v>
      </c>
      <c r="J769">
        <v>0</v>
      </c>
      <c r="K769" t="s">
        <v>353</v>
      </c>
      <c r="L769" t="s">
        <v>28</v>
      </c>
      <c r="M769">
        <v>16</v>
      </c>
      <c r="N769" t="s">
        <v>160</v>
      </c>
      <c r="O769">
        <v>95</v>
      </c>
      <c r="P769">
        <f t="shared" si="57"/>
        <v>1520</v>
      </c>
      <c r="Q769" t="s">
        <v>30</v>
      </c>
      <c r="R769">
        <v>43280</v>
      </c>
      <c r="S769">
        <v>401768</v>
      </c>
      <c r="U769">
        <f t="shared" si="54"/>
        <v>0</v>
      </c>
    </row>
    <row r="770" spans="1:21" ht="15.75" x14ac:dyDescent="0.25">
      <c r="A770" t="s">
        <v>2116</v>
      </c>
      <c r="B770">
        <v>43959</v>
      </c>
      <c r="C770" t="s">
        <v>22</v>
      </c>
      <c r="D770" t="s">
        <v>23</v>
      </c>
      <c r="E770" t="s">
        <v>22</v>
      </c>
      <c r="F770" t="s">
        <v>23</v>
      </c>
      <c r="G770" t="s">
        <v>2113</v>
      </c>
      <c r="H770" t="s">
        <v>2114</v>
      </c>
      <c r="I770" t="s">
        <v>2095</v>
      </c>
      <c r="J770">
        <v>0</v>
      </c>
      <c r="K770" t="s">
        <v>2096</v>
      </c>
      <c r="L770" t="s">
        <v>28</v>
      </c>
      <c r="M770">
        <v>7.24</v>
      </c>
      <c r="N770" t="s">
        <v>160</v>
      </c>
      <c r="O770">
        <v>95</v>
      </c>
      <c r="P770">
        <f t="shared" si="57"/>
        <v>687.80000000000007</v>
      </c>
      <c r="Q770" t="s">
        <v>30</v>
      </c>
      <c r="R770">
        <v>44566</v>
      </c>
      <c r="S770">
        <v>401768</v>
      </c>
      <c r="U770">
        <f t="shared" si="54"/>
        <v>0</v>
      </c>
    </row>
    <row r="771" spans="1:21" ht="15.75" x14ac:dyDescent="0.25">
      <c r="A771" t="s">
        <v>2117</v>
      </c>
      <c r="B771">
        <v>43959</v>
      </c>
      <c r="C771" t="s">
        <v>22</v>
      </c>
      <c r="D771" t="s">
        <v>23</v>
      </c>
      <c r="E771" t="s">
        <v>22</v>
      </c>
      <c r="F771" t="s">
        <v>23</v>
      </c>
      <c r="G771" t="s">
        <v>2113</v>
      </c>
      <c r="H771" t="s">
        <v>2114</v>
      </c>
      <c r="I771" t="s">
        <v>367</v>
      </c>
      <c r="J771">
        <v>0</v>
      </c>
      <c r="K771" t="s">
        <v>368</v>
      </c>
      <c r="L771" t="s">
        <v>28</v>
      </c>
      <c r="M771">
        <v>16.899999999999999</v>
      </c>
      <c r="N771" t="s">
        <v>160</v>
      </c>
      <c r="O771">
        <v>95</v>
      </c>
      <c r="P771">
        <f t="shared" si="57"/>
        <v>1605.4999999999998</v>
      </c>
      <c r="Q771" t="s">
        <v>30</v>
      </c>
      <c r="R771">
        <v>42060</v>
      </c>
      <c r="S771">
        <v>401768</v>
      </c>
      <c r="U771">
        <f t="shared" ref="U771:U834" si="58">T771*P771/100000</f>
        <v>0</v>
      </c>
    </row>
    <row r="772" spans="1:21" ht="15.75" x14ac:dyDescent="0.25">
      <c r="A772" t="s">
        <v>2118</v>
      </c>
      <c r="B772">
        <v>43959</v>
      </c>
      <c r="C772" t="s">
        <v>22</v>
      </c>
      <c r="D772" t="s">
        <v>23</v>
      </c>
      <c r="E772" t="s">
        <v>22</v>
      </c>
      <c r="F772" t="s">
        <v>23</v>
      </c>
      <c r="G772" t="s">
        <v>2113</v>
      </c>
      <c r="H772" t="s">
        <v>2114</v>
      </c>
      <c r="I772" t="s">
        <v>400</v>
      </c>
      <c r="J772">
        <v>0</v>
      </c>
      <c r="K772" t="s">
        <v>401</v>
      </c>
      <c r="L772" t="s">
        <v>28</v>
      </c>
      <c r="M772">
        <v>8.9</v>
      </c>
      <c r="N772" t="s">
        <v>160</v>
      </c>
      <c r="O772">
        <v>95</v>
      </c>
      <c r="P772">
        <f t="shared" si="57"/>
        <v>845.5</v>
      </c>
      <c r="Q772" t="s">
        <v>30</v>
      </c>
      <c r="R772">
        <v>46172</v>
      </c>
      <c r="S772">
        <v>401768</v>
      </c>
      <c r="T772">
        <v>200</v>
      </c>
      <c r="U772">
        <f t="shared" si="58"/>
        <v>1.6910000000000001</v>
      </c>
    </row>
    <row r="773" spans="1:21" ht="15.75" x14ac:dyDescent="0.25">
      <c r="A773" t="s">
        <v>2119</v>
      </c>
      <c r="B773">
        <v>43959</v>
      </c>
      <c r="C773" t="s">
        <v>22</v>
      </c>
      <c r="D773" t="s">
        <v>23</v>
      </c>
      <c r="E773" t="s">
        <v>22</v>
      </c>
      <c r="F773" t="s">
        <v>23</v>
      </c>
      <c r="G773" t="s">
        <v>2113</v>
      </c>
      <c r="H773" t="s">
        <v>2114</v>
      </c>
      <c r="I773" t="s">
        <v>370</v>
      </c>
      <c r="J773">
        <v>0</v>
      </c>
      <c r="K773" t="s">
        <v>371</v>
      </c>
      <c r="L773" t="s">
        <v>28</v>
      </c>
      <c r="M773">
        <v>4.6100000000000003</v>
      </c>
      <c r="N773" t="s">
        <v>160</v>
      </c>
      <c r="O773">
        <v>95</v>
      </c>
      <c r="P773">
        <f t="shared" si="57"/>
        <v>437.95000000000005</v>
      </c>
      <c r="Q773" t="s">
        <v>30</v>
      </c>
      <c r="R773">
        <v>43909</v>
      </c>
      <c r="S773">
        <v>401768</v>
      </c>
      <c r="U773">
        <f t="shared" si="58"/>
        <v>0</v>
      </c>
    </row>
    <row r="774" spans="1:21" ht="15.75" x14ac:dyDescent="0.25">
      <c r="A774" t="s">
        <v>2120</v>
      </c>
      <c r="B774">
        <v>43959</v>
      </c>
      <c r="C774" t="s">
        <v>22</v>
      </c>
      <c r="D774" t="s">
        <v>23</v>
      </c>
      <c r="E774" t="s">
        <v>22</v>
      </c>
      <c r="F774" t="s">
        <v>23</v>
      </c>
      <c r="G774" t="s">
        <v>2113</v>
      </c>
      <c r="H774" t="s">
        <v>2114</v>
      </c>
      <c r="I774" t="s">
        <v>373</v>
      </c>
      <c r="J774">
        <v>0</v>
      </c>
      <c r="K774" t="s">
        <v>374</v>
      </c>
      <c r="L774" t="s">
        <v>28</v>
      </c>
      <c r="M774">
        <v>5.74</v>
      </c>
      <c r="N774" t="s">
        <v>160</v>
      </c>
      <c r="O774">
        <v>95</v>
      </c>
      <c r="P774">
        <f t="shared" si="57"/>
        <v>545.30000000000007</v>
      </c>
      <c r="Q774" t="s">
        <v>30</v>
      </c>
      <c r="R774">
        <v>46172</v>
      </c>
      <c r="S774">
        <v>401768</v>
      </c>
      <c r="U774">
        <f t="shared" si="58"/>
        <v>0</v>
      </c>
    </row>
    <row r="775" spans="1:21" ht="15.75" x14ac:dyDescent="0.25">
      <c r="A775" t="s">
        <v>2121</v>
      </c>
      <c r="B775">
        <v>43959</v>
      </c>
      <c r="C775" t="s">
        <v>22</v>
      </c>
      <c r="D775" t="s">
        <v>23</v>
      </c>
      <c r="E775" t="s">
        <v>22</v>
      </c>
      <c r="F775" t="s">
        <v>23</v>
      </c>
      <c r="G775" t="s">
        <v>2113</v>
      </c>
      <c r="H775" t="s">
        <v>2114</v>
      </c>
      <c r="I775" t="s">
        <v>376</v>
      </c>
      <c r="J775">
        <v>0</v>
      </c>
      <c r="K775" t="s">
        <v>377</v>
      </c>
      <c r="L775" t="s">
        <v>28</v>
      </c>
      <c r="M775">
        <v>2.4900000000000002</v>
      </c>
      <c r="N775" t="s">
        <v>160</v>
      </c>
      <c r="O775">
        <v>95</v>
      </c>
      <c r="P775">
        <f t="shared" si="57"/>
        <v>236.55</v>
      </c>
      <c r="Q775" t="s">
        <v>30</v>
      </c>
      <c r="R775">
        <v>44957</v>
      </c>
      <c r="S775">
        <v>401768</v>
      </c>
      <c r="U775">
        <f t="shared" si="58"/>
        <v>0</v>
      </c>
    </row>
    <row r="776" spans="1:21" ht="15.75" x14ac:dyDescent="0.25">
      <c r="A776" t="s">
        <v>2122</v>
      </c>
      <c r="B776">
        <v>43959</v>
      </c>
      <c r="C776" t="s">
        <v>22</v>
      </c>
      <c r="D776" t="s">
        <v>23</v>
      </c>
      <c r="E776" t="s">
        <v>22</v>
      </c>
      <c r="F776" t="s">
        <v>23</v>
      </c>
      <c r="G776" t="s">
        <v>2113</v>
      </c>
      <c r="H776" t="s">
        <v>2114</v>
      </c>
      <c r="I776" t="s">
        <v>409</v>
      </c>
      <c r="J776">
        <v>0</v>
      </c>
      <c r="K776" t="s">
        <v>410</v>
      </c>
      <c r="L776" t="s">
        <v>28</v>
      </c>
      <c r="M776">
        <v>5.13</v>
      </c>
      <c r="N776" t="s">
        <v>160</v>
      </c>
      <c r="O776">
        <v>95</v>
      </c>
      <c r="P776">
        <f t="shared" si="57"/>
        <v>487.34999999999997</v>
      </c>
      <c r="Q776" t="s">
        <v>30</v>
      </c>
      <c r="R776">
        <v>46172</v>
      </c>
      <c r="S776">
        <v>401768</v>
      </c>
      <c r="U776">
        <f t="shared" si="58"/>
        <v>0</v>
      </c>
    </row>
    <row r="777" spans="1:21" ht="15.75" x14ac:dyDescent="0.25">
      <c r="A777" t="s">
        <v>2123</v>
      </c>
      <c r="B777">
        <v>43959</v>
      </c>
      <c r="C777" t="s">
        <v>22</v>
      </c>
      <c r="D777" t="s">
        <v>23</v>
      </c>
      <c r="E777" t="s">
        <v>22</v>
      </c>
      <c r="F777" t="s">
        <v>23</v>
      </c>
      <c r="G777" t="s">
        <v>2113</v>
      </c>
      <c r="H777" t="s">
        <v>2114</v>
      </c>
      <c r="I777" t="s">
        <v>379</v>
      </c>
      <c r="J777">
        <v>0</v>
      </c>
      <c r="K777" t="s">
        <v>380</v>
      </c>
      <c r="L777" t="s">
        <v>28</v>
      </c>
      <c r="M777">
        <v>22.59</v>
      </c>
      <c r="N777" t="s">
        <v>160</v>
      </c>
      <c r="O777">
        <v>95</v>
      </c>
      <c r="P777">
        <f t="shared" si="57"/>
        <v>2146.0500000000002</v>
      </c>
      <c r="Q777" t="s">
        <v>30</v>
      </c>
      <c r="R777">
        <v>44509</v>
      </c>
      <c r="S777">
        <v>401768</v>
      </c>
      <c r="U777">
        <f t="shared" si="58"/>
        <v>0</v>
      </c>
    </row>
    <row r="778" spans="1:21" ht="15.75" x14ac:dyDescent="0.25">
      <c r="A778" t="s">
        <v>2124</v>
      </c>
      <c r="B778">
        <v>43959</v>
      </c>
      <c r="C778" t="s">
        <v>22</v>
      </c>
      <c r="D778" t="s">
        <v>23</v>
      </c>
      <c r="E778" t="s">
        <v>22</v>
      </c>
      <c r="F778" t="s">
        <v>23</v>
      </c>
      <c r="G778" t="s">
        <v>2113</v>
      </c>
      <c r="H778" t="s">
        <v>2114</v>
      </c>
      <c r="I778" t="s">
        <v>382</v>
      </c>
      <c r="J778">
        <v>0</v>
      </c>
      <c r="K778" t="s">
        <v>383</v>
      </c>
      <c r="L778" t="s">
        <v>28</v>
      </c>
      <c r="M778">
        <v>27.46</v>
      </c>
      <c r="N778" t="s">
        <v>160</v>
      </c>
      <c r="O778">
        <v>95</v>
      </c>
      <c r="P778">
        <f t="shared" si="57"/>
        <v>2608.7000000000003</v>
      </c>
      <c r="Q778" t="s">
        <v>30</v>
      </c>
      <c r="R778">
        <v>46172</v>
      </c>
      <c r="S778">
        <v>401768</v>
      </c>
      <c r="U778">
        <f t="shared" si="58"/>
        <v>0</v>
      </c>
    </row>
    <row r="779" spans="1:21" ht="15.75" x14ac:dyDescent="0.25">
      <c r="A779" t="s">
        <v>2125</v>
      </c>
      <c r="B779">
        <v>43959</v>
      </c>
      <c r="C779" t="s">
        <v>22</v>
      </c>
      <c r="D779" t="s">
        <v>23</v>
      </c>
      <c r="E779" t="s">
        <v>22</v>
      </c>
      <c r="F779" t="s">
        <v>23</v>
      </c>
      <c r="G779" t="s">
        <v>2113</v>
      </c>
      <c r="H779" t="s">
        <v>2114</v>
      </c>
      <c r="I779" t="s">
        <v>2126</v>
      </c>
      <c r="J779">
        <v>0</v>
      </c>
      <c r="K779" t="s">
        <v>2127</v>
      </c>
      <c r="L779" t="s">
        <v>28</v>
      </c>
      <c r="M779">
        <v>0</v>
      </c>
      <c r="N779" t="s">
        <v>160</v>
      </c>
      <c r="O779">
        <v>95</v>
      </c>
      <c r="P779">
        <f t="shared" si="57"/>
        <v>0</v>
      </c>
      <c r="Q779" t="s">
        <v>30</v>
      </c>
      <c r="R779">
        <v>42060</v>
      </c>
      <c r="S779">
        <v>401768</v>
      </c>
      <c r="U779">
        <f t="shared" si="58"/>
        <v>0</v>
      </c>
    </row>
    <row r="780" spans="1:21" ht="15.75" x14ac:dyDescent="0.25">
      <c r="A780" t="s">
        <v>2128</v>
      </c>
      <c r="B780">
        <v>43959</v>
      </c>
      <c r="C780" t="s">
        <v>22</v>
      </c>
      <c r="D780" t="s">
        <v>23</v>
      </c>
      <c r="E780" t="s">
        <v>22</v>
      </c>
      <c r="F780" t="s">
        <v>23</v>
      </c>
      <c r="G780" t="s">
        <v>2113</v>
      </c>
      <c r="H780" t="s">
        <v>2114</v>
      </c>
      <c r="I780" t="s">
        <v>2105</v>
      </c>
      <c r="J780">
        <v>0</v>
      </c>
      <c r="K780" t="s">
        <v>2106</v>
      </c>
      <c r="L780" t="s">
        <v>28</v>
      </c>
      <c r="M780">
        <v>16.899999999999999</v>
      </c>
      <c r="N780" t="s">
        <v>160</v>
      </c>
      <c r="O780">
        <v>95</v>
      </c>
      <c r="P780">
        <f t="shared" si="57"/>
        <v>1605.4999999999998</v>
      </c>
      <c r="Q780" t="s">
        <v>30</v>
      </c>
      <c r="R780">
        <v>42241</v>
      </c>
      <c r="S780">
        <v>401768</v>
      </c>
      <c r="U780">
        <f t="shared" si="58"/>
        <v>0</v>
      </c>
    </row>
    <row r="781" spans="1:21" ht="15.75" x14ac:dyDescent="0.25">
      <c r="A781" t="s">
        <v>2129</v>
      </c>
      <c r="B781">
        <v>43959</v>
      </c>
      <c r="C781" t="s">
        <v>22</v>
      </c>
      <c r="D781" t="s">
        <v>23</v>
      </c>
      <c r="E781" t="s">
        <v>22</v>
      </c>
      <c r="F781" t="s">
        <v>23</v>
      </c>
      <c r="G781" t="s">
        <v>2113</v>
      </c>
      <c r="H781" t="s">
        <v>2114</v>
      </c>
      <c r="I781" t="s">
        <v>394</v>
      </c>
      <c r="J781">
        <v>0</v>
      </c>
      <c r="K781" t="s">
        <v>395</v>
      </c>
      <c r="L781" t="s">
        <v>28</v>
      </c>
      <c r="M781">
        <v>0</v>
      </c>
      <c r="N781" t="s">
        <v>160</v>
      </c>
      <c r="O781">
        <v>95</v>
      </c>
      <c r="P781">
        <f t="shared" si="57"/>
        <v>0</v>
      </c>
      <c r="Q781" t="s">
        <v>30</v>
      </c>
      <c r="R781">
        <v>43330</v>
      </c>
      <c r="S781">
        <v>401768</v>
      </c>
      <c r="U781">
        <f t="shared" si="58"/>
        <v>0</v>
      </c>
    </row>
    <row r="782" spans="1:21" ht="15.75" x14ac:dyDescent="0.25">
      <c r="A782" t="s">
        <v>2130</v>
      </c>
      <c r="B782">
        <v>44202</v>
      </c>
      <c r="C782" t="s">
        <v>22</v>
      </c>
      <c r="D782" t="s">
        <v>23</v>
      </c>
      <c r="E782" t="s">
        <v>22</v>
      </c>
      <c r="F782" t="s">
        <v>23</v>
      </c>
      <c r="G782" t="s">
        <v>2113</v>
      </c>
      <c r="H782" t="s">
        <v>2114</v>
      </c>
      <c r="I782" t="s">
        <v>355</v>
      </c>
      <c r="J782">
        <v>0</v>
      </c>
      <c r="K782" t="s">
        <v>356</v>
      </c>
      <c r="L782" t="s">
        <v>28</v>
      </c>
      <c r="M782">
        <v>0.62</v>
      </c>
      <c r="N782" t="s">
        <v>160</v>
      </c>
      <c r="O782">
        <v>95</v>
      </c>
      <c r="P782">
        <f t="shared" si="57"/>
        <v>58.9</v>
      </c>
      <c r="Q782" t="s">
        <v>30</v>
      </c>
      <c r="R782">
        <v>46172</v>
      </c>
      <c r="S782">
        <v>401768</v>
      </c>
      <c r="U782">
        <f t="shared" si="58"/>
        <v>0</v>
      </c>
    </row>
    <row r="783" spans="1:21" ht="15.75" x14ac:dyDescent="0.25">
      <c r="A783" t="s">
        <v>2131</v>
      </c>
      <c r="B783">
        <v>46122</v>
      </c>
      <c r="C783" t="s">
        <v>22</v>
      </c>
      <c r="D783" t="s">
        <v>23</v>
      </c>
      <c r="E783" t="s">
        <v>22</v>
      </c>
      <c r="F783" t="s">
        <v>23</v>
      </c>
      <c r="G783" t="s">
        <v>2113</v>
      </c>
      <c r="H783" t="s">
        <v>2114</v>
      </c>
      <c r="I783" t="s">
        <v>2077</v>
      </c>
      <c r="J783">
        <v>0</v>
      </c>
      <c r="K783" t="s">
        <v>2078</v>
      </c>
      <c r="L783" t="s">
        <v>28</v>
      </c>
      <c r="M783">
        <v>7.5</v>
      </c>
      <c r="N783" t="s">
        <v>160</v>
      </c>
      <c r="O783">
        <v>95</v>
      </c>
      <c r="P783">
        <f t="shared" si="57"/>
        <v>712.5</v>
      </c>
      <c r="Q783" t="s">
        <v>30</v>
      </c>
      <c r="R783">
        <v>46134</v>
      </c>
      <c r="S783">
        <v>401768</v>
      </c>
      <c r="U783">
        <f t="shared" si="58"/>
        <v>0</v>
      </c>
    </row>
  </sheetData>
  <pageMargins left="0.7" right="0.7" top="0.75" bottom="0.75" header="0.3" footer="0.3"/>
  <ignoredErrors>
    <ignoredError sqref="A1:U7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Navaneethakrishnan v</dc:creator>
  <cp:lastModifiedBy>Navaneethakrishnan v</cp:lastModifiedBy>
  <dcterms:created xsi:type="dcterms:W3CDTF">2026-06-08T10:33:50Z</dcterms:created>
  <dcterms:modified xsi:type="dcterms:W3CDTF">2026-06-12T12:54:36Z</dcterms:modified>
</cp:coreProperties>
</file>